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ansy\Master thesis\MCDA\"/>
    </mc:Choice>
  </mc:AlternateContent>
  <xr:revisionPtr revIDLastSave="0" documentId="13_ncr:1_{CBEE233D-29DA-4124-9166-F6B411D4887A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Overview" sheetId="1" r:id="rId1"/>
    <sheet name="energy_data_per_scenario" sheetId="5" r:id="rId2"/>
    <sheet name="Energy_LoI" sheetId="15" r:id="rId3"/>
    <sheet name="Results_energy_scenarios" sheetId="12" r:id="rId4"/>
  </sheets>
  <definedNames>
    <definedName name="_xlnm._FilterDatabase" localSheetId="0" hidden="1">Overview!$A$2:$CO$2</definedName>
    <definedName name="_xlnm._FilterDatabase" localSheetId="3" hidden="1">Results_energy_scenarios!$A$2:$C$2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5" l="1"/>
  <c r="E30" i="5"/>
  <c r="D31" i="5"/>
  <c r="E32" i="5"/>
  <c r="L31" i="5"/>
  <c r="K31" i="5"/>
  <c r="E31" i="5"/>
  <c r="H36" i="1"/>
  <c r="R269" i="15" l="1"/>
  <c r="I279" i="15"/>
  <c r="I280" i="15" s="1"/>
  <c r="K219" i="12"/>
  <c r="I277" i="15"/>
  <c r="K222" i="12"/>
  <c r="I269" i="15"/>
  <c r="I270" i="15" s="1"/>
  <c r="K210" i="12"/>
  <c r="I267" i="15"/>
  <c r="I268" i="15" s="1"/>
  <c r="I271" i="15"/>
  <c r="I272" i="15" s="1"/>
  <c r="K212" i="12"/>
  <c r="J213" i="12"/>
  <c r="J212" i="12"/>
  <c r="I278" i="15" l="1"/>
  <c r="S39" i="15"/>
  <c r="S40" i="15"/>
  <c r="J217" i="12"/>
  <c r="Q268" i="15" l="1"/>
  <c r="Q267" i="15"/>
  <c r="Q266" i="15"/>
  <c r="K112" i="15"/>
  <c r="K114" i="15"/>
  <c r="J112" i="15"/>
  <c r="J114" i="15"/>
  <c r="E254" i="15"/>
  <c r="E250" i="15"/>
  <c r="E248" i="15"/>
  <c r="G243" i="15"/>
  <c r="H242" i="15"/>
  <c r="G242" i="15"/>
  <c r="H241" i="15"/>
  <c r="G241" i="15"/>
  <c r="H240" i="15"/>
  <c r="G240" i="15"/>
  <c r="H239" i="15"/>
  <c r="G239" i="15"/>
  <c r="G238" i="15"/>
  <c r="G236" i="15"/>
  <c r="G235" i="15"/>
  <c r="H223" i="15"/>
  <c r="G222" i="15"/>
  <c r="H221" i="15"/>
  <c r="G221" i="15"/>
  <c r="G218" i="15"/>
  <c r="G197" i="15" s="1"/>
  <c r="H217" i="15"/>
  <c r="G217" i="15"/>
  <c r="H215" i="15"/>
  <c r="G215" i="15"/>
  <c r="G214" i="15"/>
  <c r="H213" i="15"/>
  <c r="G213" i="15"/>
  <c r="H208" i="15"/>
  <c r="G208" i="15"/>
  <c r="G207" i="15"/>
  <c r="F194" i="15"/>
  <c r="G193" i="15"/>
  <c r="S38" i="15" l="1"/>
  <c r="G206" i="15"/>
  <c r="G227" i="15"/>
  <c r="G233" i="15"/>
  <c r="G219" i="15"/>
  <c r="G203" i="15"/>
  <c r="G192" i="15" s="1"/>
  <c r="H236" i="15"/>
  <c r="E260" i="15"/>
  <c r="H222" i="15"/>
  <c r="G226" i="15"/>
  <c r="G237" i="15" s="1"/>
  <c r="G246" i="15" l="1"/>
  <c r="H226" i="15"/>
  <c r="G225" i="15"/>
  <c r="H238" i="15"/>
  <c r="CP40" i="1"/>
  <c r="AD40" i="1"/>
  <c r="H167" i="12" l="1"/>
  <c r="AD56" i="1"/>
  <c r="BJ56" i="1" s="1"/>
  <c r="AE56" i="1"/>
  <c r="AU56" i="1" s="1"/>
  <c r="AF56" i="1"/>
  <c r="BL56" i="1" s="1"/>
  <c r="AG56" i="1"/>
  <c r="CC56" i="1" s="1"/>
  <c r="AH56" i="1"/>
  <c r="CD56" i="1" s="1"/>
  <c r="AI56" i="1"/>
  <c r="CE56" i="1" s="1"/>
  <c r="AJ56" i="1"/>
  <c r="AZ56" i="1" s="1"/>
  <c r="AK56" i="1"/>
  <c r="BQ56" i="1" s="1"/>
  <c r="AL56" i="1"/>
  <c r="CH56" i="1" s="1"/>
  <c r="AM56" i="1"/>
  <c r="BC56" i="1" s="1"/>
  <c r="AN56" i="1"/>
  <c r="BD56" i="1" s="1"/>
  <c r="AO56" i="1"/>
  <c r="BE56" i="1" s="1"/>
  <c r="AP56" i="1"/>
  <c r="BV56" i="1" s="1"/>
  <c r="AQ56" i="1"/>
  <c r="CM56" i="1" s="1"/>
  <c r="AR56" i="1"/>
  <c r="CN56" i="1" s="1"/>
  <c r="AS56" i="1"/>
  <c r="CO56" i="1" s="1"/>
  <c r="CA56" i="1"/>
  <c r="CJ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E190" i="12"/>
  <c r="E186" i="12"/>
  <c r="E188" i="12"/>
  <c r="G158" i="12"/>
  <c r="F146" i="12"/>
  <c r="G17" i="12"/>
  <c r="G60" i="12"/>
  <c r="G106" i="12"/>
  <c r="CB56" i="1" l="1"/>
  <c r="AV56" i="1"/>
  <c r="CK56" i="1"/>
  <c r="BU56" i="1"/>
  <c r="CL56" i="1"/>
  <c r="BK56" i="1"/>
  <c r="BT56" i="1"/>
  <c r="BS56" i="1"/>
  <c r="CI56" i="1"/>
  <c r="BZ56" i="1"/>
  <c r="BP56" i="1"/>
  <c r="BG56" i="1"/>
  <c r="AX56" i="1"/>
  <c r="CF56" i="1"/>
  <c r="BW56" i="1"/>
  <c r="BN56" i="1"/>
  <c r="AT56" i="1"/>
  <c r="BB56" i="1"/>
  <c r="BR56" i="1"/>
  <c r="BH56" i="1"/>
  <c r="AY56" i="1"/>
  <c r="BX56" i="1"/>
  <c r="BO56" i="1"/>
  <c r="BF56" i="1"/>
  <c r="AW56" i="1"/>
  <c r="BM56" i="1"/>
  <c r="J167" i="12"/>
  <c r="L167" i="12"/>
  <c r="K167" i="12"/>
  <c r="J223" i="15" s="1"/>
  <c r="AO167" i="12"/>
  <c r="AN167" i="12"/>
  <c r="U167" i="12"/>
  <c r="AI167" i="12"/>
  <c r="T167" i="12"/>
  <c r="AG167" i="12"/>
  <c r="S167" i="12"/>
  <c r="AF167" i="12"/>
  <c r="R167" i="12"/>
  <c r="AE167" i="12"/>
  <c r="AD167" i="12"/>
  <c r="AC167" i="12"/>
  <c r="AM167" i="12"/>
  <c r="X167" i="12"/>
  <c r="AL167" i="12"/>
  <c r="W167" i="12"/>
  <c r="N167" i="12"/>
  <c r="AK167" i="12"/>
  <c r="AB167" i="12"/>
  <c r="P167" i="12"/>
  <c r="O167" i="12"/>
  <c r="V167" i="12"/>
  <c r="M167" i="12"/>
  <c r="AJ167" i="12"/>
  <c r="AA167" i="12"/>
  <c r="E192" i="12"/>
  <c r="Y167" i="12"/>
  <c r="Q167" i="12"/>
  <c r="Z167" i="12"/>
  <c r="AH167" i="12"/>
  <c r="BI56" i="1"/>
  <c r="CG56" i="1"/>
  <c r="BY56" i="1"/>
  <c r="BA56" i="1"/>
  <c r="H154" i="12"/>
  <c r="G154" i="12"/>
  <c r="G153" i="12"/>
  <c r="G145" i="12"/>
  <c r="G162" i="12"/>
  <c r="G159" i="12"/>
  <c r="H159" i="12"/>
  <c r="H157" i="12"/>
  <c r="G157" i="12"/>
  <c r="G165" i="12"/>
  <c r="H165" i="12"/>
  <c r="G161" i="12"/>
  <c r="H161" i="12"/>
  <c r="G166" i="12"/>
  <c r="G183" i="12"/>
  <c r="H182" i="12"/>
  <c r="G182" i="12"/>
  <c r="H181" i="12"/>
  <c r="G181" i="12"/>
  <c r="H180" i="12"/>
  <c r="G180" i="12"/>
  <c r="H179" i="12"/>
  <c r="G179" i="12"/>
  <c r="G178" i="12"/>
  <c r="G176" i="12"/>
  <c r="D3" i="5"/>
  <c r="D5" i="5"/>
  <c r="D4" i="5"/>
  <c r="K223" i="15" l="1"/>
  <c r="H196" i="15"/>
  <c r="H218" i="15"/>
  <c r="H228" i="15"/>
  <c r="G152" i="12"/>
  <c r="G151" i="12"/>
  <c r="G163" i="12"/>
  <c r="G171" i="12"/>
  <c r="G149" i="12"/>
  <c r="G170" i="12"/>
  <c r="H170" i="12" s="1"/>
  <c r="G173" i="12"/>
  <c r="W457" i="12" s="1"/>
  <c r="H172" i="12"/>
  <c r="H162" i="12"/>
  <c r="H148" i="12"/>
  <c r="H166" i="12"/>
  <c r="H176" i="12"/>
  <c r="G175" i="12"/>
  <c r="U457" i="12" l="1"/>
  <c r="Y457" i="12"/>
  <c r="X457" i="12"/>
  <c r="K457" i="12"/>
  <c r="Q457" i="12"/>
  <c r="R457" i="12"/>
  <c r="L457" i="12"/>
  <c r="N457" i="12"/>
  <c r="O457" i="12"/>
  <c r="P457" i="12"/>
  <c r="M457" i="12"/>
  <c r="T457" i="12"/>
  <c r="J457" i="12"/>
  <c r="S457" i="12"/>
  <c r="V457" i="12"/>
  <c r="G144" i="12"/>
  <c r="G177" i="12"/>
  <c r="G169" i="12"/>
  <c r="H178" i="12"/>
  <c r="G184" i="12" l="1"/>
  <c r="G185" i="15"/>
  <c r="E184" i="15"/>
  <c r="E180" i="15"/>
  <c r="G179" i="15"/>
  <c r="E178" i="15"/>
  <c r="G177" i="15"/>
  <c r="G176" i="15"/>
  <c r="E175" i="15"/>
  <c r="E171" i="15"/>
  <c r="H166" i="15"/>
  <c r="G166" i="15"/>
  <c r="H164" i="15"/>
  <c r="G164" i="15"/>
  <c r="H163" i="15"/>
  <c r="G163" i="15"/>
  <c r="H162" i="15"/>
  <c r="G162" i="15"/>
  <c r="H161" i="15"/>
  <c r="G161" i="15"/>
  <c r="H160" i="15"/>
  <c r="G160" i="15"/>
  <c r="G156" i="15"/>
  <c r="H156" i="15" s="1"/>
  <c r="G155" i="15"/>
  <c r="G154" i="15"/>
  <c r="H151" i="15"/>
  <c r="G148" i="15"/>
  <c r="G145" i="15"/>
  <c r="H144" i="15"/>
  <c r="G144" i="15"/>
  <c r="H140" i="15"/>
  <c r="G138" i="15"/>
  <c r="H137" i="15"/>
  <c r="G133" i="15"/>
  <c r="H132" i="15"/>
  <c r="H129" i="15"/>
  <c r="G129" i="15"/>
  <c r="F128" i="15"/>
  <c r="H127" i="15"/>
  <c r="G127" i="15"/>
  <c r="E115" i="15"/>
  <c r="G114" i="15"/>
  <c r="G112" i="15"/>
  <c r="E107" i="15"/>
  <c r="H101" i="15"/>
  <c r="G101" i="15"/>
  <c r="H100" i="15"/>
  <c r="G100" i="15"/>
  <c r="H99" i="15"/>
  <c r="G99" i="15"/>
  <c r="H98" i="15"/>
  <c r="G98" i="15"/>
  <c r="H97" i="15"/>
  <c r="F96" i="15"/>
  <c r="H95" i="15"/>
  <c r="G95" i="15"/>
  <c r="G94" i="15"/>
  <c r="G93" i="15"/>
  <c r="G92" i="15"/>
  <c r="H89" i="15"/>
  <c r="G86" i="15"/>
  <c r="H85" i="15"/>
  <c r="G83" i="15"/>
  <c r="H82" i="15"/>
  <c r="G82" i="15"/>
  <c r="H78" i="15"/>
  <c r="G76" i="15"/>
  <c r="H75" i="15"/>
  <c r="H70" i="15"/>
  <c r="G70" i="15"/>
  <c r="F69" i="15"/>
  <c r="E61" i="15"/>
  <c r="G60" i="15"/>
  <c r="E59" i="15"/>
  <c r="E55" i="15"/>
  <c r="E53" i="15"/>
  <c r="G52" i="15"/>
  <c r="E51" i="15"/>
  <c r="E47" i="15"/>
  <c r="H41" i="15"/>
  <c r="G41" i="15"/>
  <c r="H40" i="15"/>
  <c r="G40" i="15"/>
  <c r="H39" i="15"/>
  <c r="G39" i="15"/>
  <c r="H38" i="15"/>
  <c r="G38" i="15"/>
  <c r="G37" i="15"/>
  <c r="G36" i="15"/>
  <c r="G33" i="15"/>
  <c r="G32" i="15"/>
  <c r="H31" i="15"/>
  <c r="G30" i="15"/>
  <c r="H26" i="15"/>
  <c r="G26" i="15"/>
  <c r="H24" i="15"/>
  <c r="H23" i="15"/>
  <c r="G19" i="15"/>
  <c r="H18" i="15"/>
  <c r="G18" i="15"/>
  <c r="G17" i="15"/>
  <c r="G14" i="15"/>
  <c r="H13" i="15"/>
  <c r="H10" i="15"/>
  <c r="G10" i="15"/>
  <c r="F9" i="15"/>
  <c r="H8" i="15"/>
  <c r="G8" i="15"/>
  <c r="G7" i="15"/>
  <c r="T200" i="12"/>
  <c r="AL5" i="1"/>
  <c r="R177" i="12" s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R159" i="12" s="1"/>
  <c r="AL22" i="1"/>
  <c r="AL23" i="1"/>
  <c r="R146" i="12" s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R183" i="12" s="1"/>
  <c r="AL37" i="1"/>
  <c r="AL38" i="1"/>
  <c r="AL39" i="1"/>
  <c r="AL40" i="1"/>
  <c r="AL41" i="1"/>
  <c r="AL42" i="1"/>
  <c r="R186" i="12" s="1"/>
  <c r="AL43" i="1"/>
  <c r="R188" i="12" s="1"/>
  <c r="AL44" i="1"/>
  <c r="AL45" i="1"/>
  <c r="AL46" i="1"/>
  <c r="AL47" i="1"/>
  <c r="AL48" i="1"/>
  <c r="AL49" i="1"/>
  <c r="AL50" i="1"/>
  <c r="AL51" i="1"/>
  <c r="AL52" i="1"/>
  <c r="AL53" i="1"/>
  <c r="AL54" i="1"/>
  <c r="R181" i="12" s="1"/>
  <c r="AL55" i="1"/>
  <c r="R180" i="12" s="1"/>
  <c r="AK5" i="1"/>
  <c r="Q177" i="12" s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Q159" i="12" s="1"/>
  <c r="AK22" i="1"/>
  <c r="AK23" i="1"/>
  <c r="Q146" i="12" s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Q183" i="12" s="1"/>
  <c r="AK37" i="1"/>
  <c r="AK38" i="1"/>
  <c r="AK39" i="1"/>
  <c r="AK40" i="1"/>
  <c r="AK41" i="1"/>
  <c r="AK42" i="1"/>
  <c r="Q186" i="12" s="1"/>
  <c r="AK43" i="1"/>
  <c r="Q188" i="12" s="1"/>
  <c r="AK44" i="1"/>
  <c r="AK45" i="1"/>
  <c r="AK46" i="1"/>
  <c r="AK47" i="1"/>
  <c r="AK48" i="1"/>
  <c r="AK49" i="1"/>
  <c r="AK50" i="1"/>
  <c r="AK51" i="1"/>
  <c r="AK52" i="1"/>
  <c r="AK53" i="1"/>
  <c r="AK54" i="1"/>
  <c r="Q181" i="12" s="1"/>
  <c r="AK55" i="1"/>
  <c r="Q180" i="12" s="1"/>
  <c r="AL4" i="1"/>
  <c r="AK4" i="1"/>
  <c r="R169" i="12" l="1"/>
  <c r="Q169" i="12"/>
  <c r="R178" i="12"/>
  <c r="R170" i="12"/>
  <c r="Q178" i="12"/>
  <c r="Q170" i="12"/>
  <c r="H30" i="15"/>
  <c r="H93" i="15"/>
  <c r="G34" i="15"/>
  <c r="I33" i="15" s="1"/>
  <c r="G62" i="15"/>
  <c r="E186" i="15"/>
  <c r="I178" i="15" s="1"/>
  <c r="G152" i="15"/>
  <c r="H37" i="15"/>
  <c r="G90" i="15"/>
  <c r="G54" i="15"/>
  <c r="H83" i="15"/>
  <c r="E63" i="15"/>
  <c r="I47" i="15" s="1"/>
  <c r="E119" i="15"/>
  <c r="I107" i="15" s="1"/>
  <c r="M200" i="12"/>
  <c r="Y236" i="12"/>
  <c r="Y241" i="12" s="1"/>
  <c r="X235" i="12"/>
  <c r="X234" i="12"/>
  <c r="X238" i="12"/>
  <c r="X236" i="12"/>
  <c r="W236" i="12"/>
  <c r="W241" i="12" s="1"/>
  <c r="V235" i="12"/>
  <c r="V236" i="12"/>
  <c r="V238" i="12"/>
  <c r="V234" i="12"/>
  <c r="M201" i="12" l="1"/>
  <c r="X241" i="12"/>
  <c r="V241" i="12"/>
  <c r="I19" i="15"/>
  <c r="I83" i="15"/>
  <c r="I18" i="15"/>
  <c r="I184" i="15"/>
  <c r="I26" i="15"/>
  <c r="I24" i="15"/>
  <c r="I175" i="15"/>
  <c r="I31" i="15"/>
  <c r="I171" i="15"/>
  <c r="I138" i="15"/>
  <c r="I76" i="15"/>
  <c r="I180" i="15"/>
  <c r="I30" i="15"/>
  <c r="I147" i="15"/>
  <c r="I151" i="15"/>
  <c r="I144" i="15"/>
  <c r="I137" i="15"/>
  <c r="I55" i="15"/>
  <c r="I53" i="15"/>
  <c r="I51" i="15"/>
  <c r="I115" i="15"/>
  <c r="I113" i="15"/>
  <c r="I111" i="15"/>
  <c r="I85" i="15"/>
  <c r="I89" i="15"/>
  <c r="I82" i="15"/>
  <c r="I145" i="15"/>
  <c r="I61" i="15"/>
  <c r="I59" i="15"/>
  <c r="U234" i="12"/>
  <c r="U236" i="12"/>
  <c r="U235" i="12"/>
  <c r="T236" i="12"/>
  <c r="T241" i="12" s="1"/>
  <c r="S235" i="12"/>
  <c r="S234" i="12"/>
  <c r="S236" i="12"/>
  <c r="R235" i="12"/>
  <c r="R234" i="12"/>
  <c r="R236" i="12"/>
  <c r="Q236" i="12"/>
  <c r="Q235" i="12"/>
  <c r="Q234" i="12"/>
  <c r="P236" i="12"/>
  <c r="P235" i="12"/>
  <c r="P234" i="12"/>
  <c r="O236" i="12"/>
  <c r="O241" i="12" s="1"/>
  <c r="N236" i="12"/>
  <c r="N235" i="12"/>
  <c r="N234" i="12"/>
  <c r="M234" i="12"/>
  <c r="M202" i="12" s="1"/>
  <c r="L237" i="12"/>
  <c r="L236" i="12"/>
  <c r="L234" i="12"/>
  <c r="M205" i="12"/>
  <c r="J234" i="12"/>
  <c r="M235" i="12"/>
  <c r="M236" i="12"/>
  <c r="J256" i="12"/>
  <c r="L262" i="12"/>
  <c r="L235" i="12"/>
  <c r="P241" i="12" l="1"/>
  <c r="N241" i="12"/>
  <c r="R241" i="12"/>
  <c r="Q241" i="12"/>
  <c r="S241" i="12"/>
  <c r="I34" i="15"/>
  <c r="I186" i="15"/>
  <c r="I90" i="15"/>
  <c r="I119" i="15"/>
  <c r="I152" i="15"/>
  <c r="I63" i="15"/>
  <c r="U241" i="12"/>
  <c r="L241" i="12"/>
  <c r="M241" i="12"/>
  <c r="L200" i="12"/>
  <c r="N200" i="12"/>
  <c r="O200" i="12"/>
  <c r="P200" i="12"/>
  <c r="Q200" i="12"/>
  <c r="R200" i="12"/>
  <c r="S200" i="12"/>
  <c r="T205" i="12"/>
  <c r="U200" i="12"/>
  <c r="V200" i="12"/>
  <c r="W200" i="12"/>
  <c r="X200" i="12"/>
  <c r="Y200" i="12"/>
  <c r="T202" i="12"/>
  <c r="T203" i="12"/>
  <c r="T204" i="12"/>
  <c r="T207" i="12"/>
  <c r="T208" i="12"/>
  <c r="T209" i="12"/>
  <c r="L210" i="12"/>
  <c r="M210" i="12"/>
  <c r="N210" i="12"/>
  <c r="O210" i="12"/>
  <c r="P210" i="12"/>
  <c r="Q210" i="12"/>
  <c r="R210" i="12"/>
  <c r="S210" i="12"/>
  <c r="T210" i="12"/>
  <c r="U210" i="12"/>
  <c r="V210" i="12"/>
  <c r="W210" i="12"/>
  <c r="X210" i="12"/>
  <c r="Y210" i="12"/>
  <c r="L219" i="12"/>
  <c r="M219" i="12"/>
  <c r="N219" i="12"/>
  <c r="O219" i="12"/>
  <c r="P219" i="12"/>
  <c r="Q219" i="12"/>
  <c r="R219" i="12"/>
  <c r="S219" i="12"/>
  <c r="T219" i="12"/>
  <c r="U219" i="12"/>
  <c r="V219" i="12"/>
  <c r="W219" i="12"/>
  <c r="X219" i="12"/>
  <c r="Y219" i="12"/>
  <c r="L222" i="12"/>
  <c r="M222" i="12"/>
  <c r="N222" i="12"/>
  <c r="O222" i="12"/>
  <c r="P222" i="12"/>
  <c r="Q222" i="12"/>
  <c r="R222" i="12"/>
  <c r="S222" i="12"/>
  <c r="T222" i="12"/>
  <c r="U222" i="12"/>
  <c r="V222" i="12"/>
  <c r="W222" i="12"/>
  <c r="X222" i="12"/>
  <c r="Y222" i="12"/>
  <c r="K262" i="12"/>
  <c r="K236" i="12"/>
  <c r="K235" i="12"/>
  <c r="K234" i="12"/>
  <c r="S205" i="12" l="1"/>
  <c r="Y205" i="12"/>
  <c r="Q205" i="12"/>
  <c r="U205" i="12"/>
  <c r="L205" i="12"/>
  <c r="X205" i="12"/>
  <c r="R205" i="12"/>
  <c r="W205" i="12"/>
  <c r="O205" i="12"/>
  <c r="P205" i="12"/>
  <c r="V205" i="12"/>
  <c r="N205" i="12"/>
  <c r="L203" i="12"/>
  <c r="L207" i="12"/>
  <c r="T201" i="12"/>
  <c r="L204" i="12"/>
  <c r="U202" i="12"/>
  <c r="T206" i="12"/>
  <c r="L206" i="12"/>
  <c r="L201" i="12"/>
  <c r="K224" i="12"/>
  <c r="U201" i="12"/>
  <c r="S201" i="12"/>
  <c r="R203" i="12"/>
  <c r="O227" i="12"/>
  <c r="V224" i="12"/>
  <c r="N224" i="12"/>
  <c r="Y204" i="12"/>
  <c r="Q202" i="12"/>
  <c r="P202" i="12"/>
  <c r="W201" i="12"/>
  <c r="O201" i="12"/>
  <c r="X225" i="12"/>
  <c r="P225" i="12"/>
  <c r="W224" i="12"/>
  <c r="M223" i="12"/>
  <c r="V201" i="12"/>
  <c r="N201" i="12"/>
  <c r="X202" i="12"/>
  <c r="T223" i="12"/>
  <c r="L223" i="12"/>
  <c r="S224" i="12"/>
  <c r="R226" i="12"/>
  <c r="M209" i="12"/>
  <c r="U223" i="12"/>
  <c r="U207" i="12"/>
  <c r="Y225" i="12"/>
  <c r="Q224" i="12"/>
  <c r="L208" i="12"/>
  <c r="M204" i="12"/>
  <c r="O202" i="12"/>
  <c r="U203" i="12"/>
  <c r="L209" i="12"/>
  <c r="L202" i="12"/>
  <c r="M207" i="12"/>
  <c r="W203" i="12"/>
  <c r="U206" i="12"/>
  <c r="K223" i="12"/>
  <c r="N202" i="12"/>
  <c r="U230" i="12"/>
  <c r="M229" i="12"/>
  <c r="M228" i="12"/>
  <c r="U225" i="12"/>
  <c r="K241" i="12"/>
  <c r="U208" i="12"/>
  <c r="M206" i="12"/>
  <c r="Q208" i="12"/>
  <c r="P208" i="12"/>
  <c r="O209" i="12"/>
  <c r="O208" i="12"/>
  <c r="N209" i="12"/>
  <c r="M208" i="12"/>
  <c r="M203" i="12"/>
  <c r="U228" i="12"/>
  <c r="U204" i="12"/>
  <c r="V226" i="12"/>
  <c r="U226" i="12"/>
  <c r="V230" i="12"/>
  <c r="N230" i="12"/>
  <c r="M225" i="12"/>
  <c r="M230" i="12"/>
  <c r="U224" i="12"/>
  <c r="P203" i="12"/>
  <c r="M226" i="12"/>
  <c r="M224" i="12"/>
  <c r="O203" i="12"/>
  <c r="V229" i="12"/>
  <c r="W225" i="12"/>
  <c r="O207" i="12"/>
  <c r="O225" i="12"/>
  <c r="S209" i="12"/>
  <c r="N225" i="12"/>
  <c r="W229" i="12"/>
  <c r="U229" i="12"/>
  <c r="V225" i="12"/>
  <c r="T230" i="12"/>
  <c r="S227" i="12"/>
  <c r="L226" i="12"/>
  <c r="L230" i="12"/>
  <c r="T226" i="12"/>
  <c r="L224" i="12"/>
  <c r="S204" i="12"/>
  <c r="L228" i="12"/>
  <c r="Q204" i="12"/>
  <c r="Y230" i="12"/>
  <c r="P226" i="12"/>
  <c r="X230" i="12"/>
  <c r="X226" i="12"/>
  <c r="V209" i="12"/>
  <c r="Y203" i="12"/>
  <c r="S230" i="12"/>
  <c r="S226" i="12"/>
  <c r="R230" i="12"/>
  <c r="Q226" i="12"/>
  <c r="Q230" i="12"/>
  <c r="Y226" i="12"/>
  <c r="W209" i="12"/>
  <c r="W207" i="12"/>
  <c r="N203" i="12"/>
  <c r="P230" i="12"/>
  <c r="O229" i="12"/>
  <c r="O226" i="12"/>
  <c r="V207" i="12"/>
  <c r="W230" i="12"/>
  <c r="O230" i="12"/>
  <c r="N229" i="12"/>
  <c r="W226" i="12"/>
  <c r="N226" i="12"/>
  <c r="U209" i="12"/>
  <c r="X203" i="12"/>
  <c r="S223" i="12"/>
  <c r="R223" i="12"/>
  <c r="R204" i="12"/>
  <c r="K230" i="12"/>
  <c r="L225" i="12"/>
  <c r="L229" i="12"/>
  <c r="R227" i="12"/>
  <c r="P204" i="12"/>
  <c r="K226" i="12"/>
  <c r="S229" i="12"/>
  <c r="S228" i="12"/>
  <c r="S225" i="12"/>
  <c r="R209" i="12"/>
  <c r="X208" i="12"/>
  <c r="N208" i="12"/>
  <c r="N207" i="12"/>
  <c r="W204" i="12"/>
  <c r="O204" i="12"/>
  <c r="W202" i="12"/>
  <c r="K229" i="12"/>
  <c r="K228" i="12"/>
  <c r="K227" i="12"/>
  <c r="T229" i="12"/>
  <c r="T225" i="12"/>
  <c r="Y208" i="12"/>
  <c r="X204" i="12"/>
  <c r="V203" i="12"/>
  <c r="K225" i="12"/>
  <c r="R229" i="12"/>
  <c r="R228" i="12"/>
  <c r="R225" i="12"/>
  <c r="R224" i="12"/>
  <c r="Q209" i="12"/>
  <c r="W208" i="12"/>
  <c r="V204" i="12"/>
  <c r="N204" i="12"/>
  <c r="V202" i="12"/>
  <c r="T228" i="12"/>
  <c r="T224" i="12"/>
  <c r="X209" i="12"/>
  <c r="P209" i="12"/>
  <c r="V208" i="12"/>
  <c r="Q203" i="12"/>
  <c r="Q227" i="12"/>
  <c r="Q228" i="12"/>
  <c r="Y224" i="12"/>
  <c r="W223" i="12"/>
  <c r="O223" i="12"/>
  <c r="S207" i="12"/>
  <c r="Y206" i="12"/>
  <c r="Q206" i="12"/>
  <c r="S202" i="12"/>
  <c r="Y201" i="12"/>
  <c r="Q201" i="12"/>
  <c r="Y223" i="12"/>
  <c r="Y209" i="12"/>
  <c r="S206" i="12"/>
  <c r="P227" i="12"/>
  <c r="X223" i="12"/>
  <c r="W227" i="12"/>
  <c r="N227" i="12"/>
  <c r="P224" i="12"/>
  <c r="R207" i="12"/>
  <c r="X206" i="12"/>
  <c r="P206" i="12"/>
  <c r="R202" i="12"/>
  <c r="X201" i="12"/>
  <c r="P201" i="12"/>
  <c r="Y227" i="12"/>
  <c r="X227" i="12"/>
  <c r="R201" i="12"/>
  <c r="Y228" i="12"/>
  <c r="P228" i="12"/>
  <c r="V223" i="12"/>
  <c r="Y229" i="12"/>
  <c r="Q229" i="12"/>
  <c r="W228" i="12"/>
  <c r="O228" i="12"/>
  <c r="U227" i="12"/>
  <c r="M227" i="12"/>
  <c r="Q225" i="12"/>
  <c r="O224" i="12"/>
  <c r="S208" i="12"/>
  <c r="Y207" i="12"/>
  <c r="Q207" i="12"/>
  <c r="W206" i="12"/>
  <c r="O206" i="12"/>
  <c r="S203" i="12"/>
  <c r="Y202" i="12"/>
  <c r="Q223" i="12"/>
  <c r="P223" i="12"/>
  <c r="R206" i="12"/>
  <c r="X228" i="12"/>
  <c r="V227" i="12"/>
  <c r="X224" i="12"/>
  <c r="N223" i="12"/>
  <c r="X229" i="12"/>
  <c r="P229" i="12"/>
  <c r="V228" i="12"/>
  <c r="N228" i="12"/>
  <c r="T227" i="12"/>
  <c r="L227" i="12"/>
  <c r="R208" i="12"/>
  <c r="X207" i="12"/>
  <c r="P207" i="12"/>
  <c r="V206" i="12"/>
  <c r="N206" i="12"/>
  <c r="J210" i="12"/>
  <c r="K243" i="12"/>
  <c r="K214" i="12" s="1"/>
  <c r="I273" i="15" s="1"/>
  <c r="L243" i="12"/>
  <c r="M243" i="12"/>
  <c r="N243" i="12"/>
  <c r="O243" i="12"/>
  <c r="P243" i="12"/>
  <c r="Q243" i="12"/>
  <c r="R243" i="12"/>
  <c r="S243" i="12"/>
  <c r="T243" i="12"/>
  <c r="U243" i="12"/>
  <c r="V243" i="12"/>
  <c r="W243" i="12"/>
  <c r="X243" i="12"/>
  <c r="Y243" i="12"/>
  <c r="K249" i="12"/>
  <c r="L249" i="12"/>
  <c r="M249" i="12"/>
  <c r="N249" i="12"/>
  <c r="O249" i="12"/>
  <c r="P249" i="12"/>
  <c r="Q249" i="12"/>
  <c r="R249" i="12"/>
  <c r="S249" i="12"/>
  <c r="T249" i="12"/>
  <c r="U249" i="12"/>
  <c r="V249" i="12"/>
  <c r="W249" i="12"/>
  <c r="X249" i="12"/>
  <c r="Y249" i="12"/>
  <c r="J262" i="12"/>
  <c r="K254" i="12"/>
  <c r="J254" i="12"/>
  <c r="K251" i="12"/>
  <c r="J251" i="12"/>
  <c r="J249" i="12"/>
  <c r="J243" i="12"/>
  <c r="J215" i="12" s="1"/>
  <c r="J241" i="12"/>
  <c r="J214" i="12" l="1"/>
  <c r="J216" i="12"/>
  <c r="U212" i="12"/>
  <c r="U216" i="12"/>
  <c r="U215" i="12"/>
  <c r="U214" i="12"/>
  <c r="U213" i="12"/>
  <c r="U217" i="12"/>
  <c r="T215" i="12"/>
  <c r="T214" i="12"/>
  <c r="T212" i="12"/>
  <c r="T216" i="12"/>
  <c r="T217" i="12"/>
  <c r="T213" i="12"/>
  <c r="M212" i="12"/>
  <c r="M216" i="12"/>
  <c r="M214" i="12"/>
  <c r="M215" i="12"/>
  <c r="M213" i="12"/>
  <c r="M217" i="12"/>
  <c r="K217" i="12"/>
  <c r="I276" i="15" s="1"/>
  <c r="K213" i="12"/>
  <c r="K216" i="12"/>
  <c r="I275" i="15" s="1"/>
  <c r="K215" i="12"/>
  <c r="I274" i="15" s="1"/>
  <c r="S37" i="15" s="1"/>
  <c r="N215" i="12"/>
  <c r="N212" i="12"/>
  <c r="N216" i="12"/>
  <c r="N213" i="12"/>
  <c r="N217" i="12"/>
  <c r="N214" i="12"/>
  <c r="L215" i="12"/>
  <c r="L214" i="12"/>
  <c r="L212" i="12"/>
  <c r="L217" i="12"/>
  <c r="L216" i="12"/>
  <c r="L213" i="12"/>
  <c r="R213" i="12"/>
  <c r="R215" i="12"/>
  <c r="R214" i="12"/>
  <c r="R217" i="12"/>
  <c r="R216" i="12"/>
  <c r="R212" i="12"/>
  <c r="X216" i="12"/>
  <c r="X215" i="12"/>
  <c r="X213" i="12"/>
  <c r="X217" i="12"/>
  <c r="X212" i="12"/>
  <c r="X214" i="12"/>
  <c r="P213" i="12"/>
  <c r="P217" i="12"/>
  <c r="P215" i="12"/>
  <c r="P216" i="12"/>
  <c r="P212" i="12"/>
  <c r="P214" i="12"/>
  <c r="V212" i="12"/>
  <c r="V216" i="12"/>
  <c r="V215" i="12"/>
  <c r="V217" i="12"/>
  <c r="V213" i="12"/>
  <c r="V214" i="12"/>
  <c r="S215" i="12"/>
  <c r="S213" i="12"/>
  <c r="S214" i="12"/>
  <c r="S217" i="12"/>
  <c r="S212" i="12"/>
  <c r="S216" i="12"/>
  <c r="Y214" i="12"/>
  <c r="Y216" i="12"/>
  <c r="Y213" i="12"/>
  <c r="Y217" i="12"/>
  <c r="Y212" i="12"/>
  <c r="Y215" i="12"/>
  <c r="Q214" i="12"/>
  <c r="Q213" i="12"/>
  <c r="Q217" i="12"/>
  <c r="Q216" i="12"/>
  <c r="Q212" i="12"/>
  <c r="Q215" i="12"/>
  <c r="W213" i="12"/>
  <c r="W217" i="12"/>
  <c r="W215" i="12"/>
  <c r="W212" i="12"/>
  <c r="W216" i="12"/>
  <c r="W214" i="12"/>
  <c r="O213" i="12"/>
  <c r="O217" i="12"/>
  <c r="O212" i="12"/>
  <c r="O216" i="12"/>
  <c r="O215" i="12"/>
  <c r="O214" i="12"/>
  <c r="Z25" i="1"/>
  <c r="Z14" i="1"/>
  <c r="Q165" i="12" l="1"/>
  <c r="R165" i="12"/>
  <c r="J211" i="12"/>
  <c r="Y211" i="12"/>
  <c r="K211" i="12"/>
  <c r="L211" i="12"/>
  <c r="R211" i="12"/>
  <c r="T211" i="12"/>
  <c r="X211" i="12"/>
  <c r="S211" i="12"/>
  <c r="M211" i="12"/>
  <c r="U211" i="12"/>
  <c r="O211" i="12"/>
  <c r="W211" i="12"/>
  <c r="V211" i="12"/>
  <c r="Q211" i="12"/>
  <c r="P211" i="12"/>
  <c r="N211" i="12"/>
  <c r="J222" i="12" l="1"/>
  <c r="J219" i="12"/>
  <c r="J223" i="12" l="1"/>
  <c r="J225" i="12"/>
  <c r="J229" i="12"/>
  <c r="J230" i="12"/>
  <c r="J226" i="12"/>
  <c r="J224" i="12"/>
  <c r="J227" i="12"/>
  <c r="J228" i="12"/>
  <c r="K200" i="12" l="1"/>
  <c r="J200" i="12"/>
  <c r="J209" i="12" l="1"/>
  <c r="K205" i="12"/>
  <c r="J205" i="12"/>
  <c r="K208" i="12"/>
  <c r="K209" i="12"/>
  <c r="K203" i="12"/>
  <c r="I265" i="15" s="1"/>
  <c r="K201" i="12"/>
  <c r="I266" i="15" s="1"/>
  <c r="K202" i="12"/>
  <c r="K207" i="12"/>
  <c r="K204" i="12"/>
  <c r="K206" i="12"/>
  <c r="J202" i="12"/>
  <c r="J203" i="12"/>
  <c r="J204" i="12"/>
  <c r="J208" i="12"/>
  <c r="J201" i="12"/>
  <c r="J207" i="12"/>
  <c r="J206" i="12"/>
  <c r="AA34" i="1"/>
  <c r="AA33" i="1"/>
  <c r="AA32" i="1"/>
  <c r="S36" i="15" l="1"/>
  <c r="S35" i="15"/>
  <c r="R190" i="12"/>
  <c r="Q190" i="12"/>
  <c r="H106" i="12"/>
  <c r="H60" i="12"/>
  <c r="H17" i="12"/>
  <c r="I27" i="1" l="1"/>
  <c r="H27" i="1"/>
  <c r="G27" i="1"/>
  <c r="G139" i="12" l="1"/>
  <c r="G133" i="12"/>
  <c r="G132" i="12"/>
  <c r="G86" i="12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AD39" i="1"/>
  <c r="AE39" i="1"/>
  <c r="AF39" i="1"/>
  <c r="AG39" i="1"/>
  <c r="AH39" i="1"/>
  <c r="AI39" i="1"/>
  <c r="AJ39" i="1"/>
  <c r="AM39" i="1"/>
  <c r="AN39" i="1"/>
  <c r="T153" i="12" s="1"/>
  <c r="AO39" i="1"/>
  <c r="U153" i="12" s="1"/>
  <c r="AP39" i="1"/>
  <c r="V153" i="12" s="1"/>
  <c r="AQ39" i="1"/>
  <c r="W153" i="12" s="1"/>
  <c r="AR39" i="1"/>
  <c r="X153" i="12" s="1"/>
  <c r="AS39" i="1"/>
  <c r="Y153" i="12" s="1"/>
  <c r="Z39" i="1"/>
  <c r="Z8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AD30" i="1"/>
  <c r="AE30" i="1"/>
  <c r="AF30" i="1"/>
  <c r="AG30" i="1"/>
  <c r="AH30" i="1"/>
  <c r="AI30" i="1"/>
  <c r="AJ30" i="1"/>
  <c r="AM30" i="1"/>
  <c r="AN30" i="1"/>
  <c r="AO30" i="1"/>
  <c r="AP30" i="1"/>
  <c r="AQ30" i="1"/>
  <c r="AR30" i="1"/>
  <c r="AS30" i="1"/>
  <c r="AD31" i="1"/>
  <c r="AE31" i="1"/>
  <c r="AF31" i="1"/>
  <c r="AG31" i="1"/>
  <c r="AH31" i="1"/>
  <c r="AI31" i="1"/>
  <c r="AJ31" i="1"/>
  <c r="AM31" i="1"/>
  <c r="AN31" i="1"/>
  <c r="AO31" i="1"/>
  <c r="AP31" i="1"/>
  <c r="AQ31" i="1"/>
  <c r="AR31" i="1"/>
  <c r="AS31" i="1"/>
  <c r="Z31" i="1"/>
  <c r="Z30" i="1"/>
  <c r="G40" i="12"/>
  <c r="G46" i="12"/>
  <c r="M153" i="12" l="1"/>
  <c r="AK153" i="12"/>
  <c r="AC153" i="12"/>
  <c r="L153" i="12"/>
  <c r="AJ153" i="12"/>
  <c r="AB153" i="12"/>
  <c r="K153" i="12"/>
  <c r="J207" i="15" s="1"/>
  <c r="AI153" i="12"/>
  <c r="AA153" i="12"/>
  <c r="K207" i="15" s="1"/>
  <c r="J153" i="12"/>
  <c r="AH153" i="12"/>
  <c r="Z153" i="12"/>
  <c r="S153" i="12"/>
  <c r="AO153" i="12"/>
  <c r="AG153" i="12"/>
  <c r="R153" i="12"/>
  <c r="Q153" i="12"/>
  <c r="P153" i="12"/>
  <c r="AN153" i="12"/>
  <c r="AF153" i="12"/>
  <c r="O153" i="12"/>
  <c r="AM153" i="12"/>
  <c r="AE153" i="12"/>
  <c r="N153" i="12"/>
  <c r="AL153" i="12"/>
  <c r="AD153" i="12"/>
  <c r="Z133" i="12"/>
  <c r="V133" i="12"/>
  <c r="N133" i="12"/>
  <c r="Y133" i="12"/>
  <c r="Q133" i="12"/>
  <c r="AO133" i="12"/>
  <c r="AG133" i="12"/>
  <c r="X133" i="12"/>
  <c r="P133" i="12"/>
  <c r="AN133" i="12"/>
  <c r="AF133" i="12"/>
  <c r="W133" i="12"/>
  <c r="O133" i="12"/>
  <c r="AM133" i="12"/>
  <c r="AE133" i="12"/>
  <c r="AL133" i="12"/>
  <c r="AD133" i="12"/>
  <c r="U133" i="12"/>
  <c r="M133" i="12"/>
  <c r="AK133" i="12"/>
  <c r="AC133" i="12"/>
  <c r="T133" i="12"/>
  <c r="L133" i="12"/>
  <c r="AJ133" i="12"/>
  <c r="AB133" i="12"/>
  <c r="S133" i="12"/>
  <c r="K133" i="12"/>
  <c r="J177" i="15" s="1"/>
  <c r="AI133" i="12"/>
  <c r="AA133" i="12"/>
  <c r="K177" i="15" s="1"/>
  <c r="R133" i="12"/>
  <c r="AH133" i="12"/>
  <c r="J133" i="12"/>
  <c r="G116" i="12"/>
  <c r="G70" i="12"/>
  <c r="G28" i="12"/>
  <c r="Z10" i="1"/>
  <c r="Z15" i="1"/>
  <c r="G135" i="12"/>
  <c r="E134" i="12"/>
  <c r="E131" i="12"/>
  <c r="E138" i="12"/>
  <c r="G88" i="12"/>
  <c r="R157" i="12" l="1"/>
  <c r="Q157" i="12"/>
  <c r="Q17" i="12"/>
  <c r="R17" i="12"/>
  <c r="Q106" i="12"/>
  <c r="R60" i="12"/>
  <c r="R106" i="12"/>
  <c r="Q60" i="12"/>
  <c r="Q161" i="12"/>
  <c r="R161" i="12"/>
  <c r="E41" i="12"/>
  <c r="E39" i="12"/>
  <c r="E47" i="12"/>
  <c r="E45" i="12"/>
  <c r="G42" i="12" l="1"/>
  <c r="G48" i="12"/>
  <c r="CP23" i="1"/>
  <c r="Z146" i="12" s="1"/>
  <c r="CP14" i="1" l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AE14" i="1"/>
  <c r="AF14" i="1"/>
  <c r="AG14" i="1"/>
  <c r="AH14" i="1"/>
  <c r="AI14" i="1"/>
  <c r="AJ14" i="1"/>
  <c r="AM14" i="1"/>
  <c r="AN14" i="1"/>
  <c r="AO14" i="1"/>
  <c r="AP14" i="1"/>
  <c r="AQ14" i="1"/>
  <c r="AR14" i="1"/>
  <c r="AS14" i="1"/>
  <c r="AE15" i="1"/>
  <c r="AF15" i="1"/>
  <c r="AG15" i="1"/>
  <c r="AH15" i="1"/>
  <c r="AI15" i="1"/>
  <c r="AJ15" i="1"/>
  <c r="AM15" i="1"/>
  <c r="AN15" i="1"/>
  <c r="AO15" i="1"/>
  <c r="AP15" i="1"/>
  <c r="AQ15" i="1"/>
  <c r="AR15" i="1"/>
  <c r="AS15" i="1"/>
  <c r="AD15" i="1"/>
  <c r="AD14" i="1"/>
  <c r="AD23" i="1" l="1"/>
  <c r="J146" i="12" s="1"/>
  <c r="G108" i="12"/>
  <c r="G101" i="12"/>
  <c r="H100" i="12"/>
  <c r="H97" i="12"/>
  <c r="G97" i="12"/>
  <c r="F96" i="12"/>
  <c r="H95" i="12"/>
  <c r="G95" i="12"/>
  <c r="Q95" i="12" l="1"/>
  <c r="R95" i="12"/>
  <c r="J96" i="12"/>
  <c r="Z96" i="12"/>
  <c r="H103" i="12"/>
  <c r="G118" i="12"/>
  <c r="H147" i="15" s="1"/>
  <c r="H108" i="12"/>
  <c r="G112" i="12"/>
  <c r="H113" i="12"/>
  <c r="G104" i="12"/>
  <c r="G109" i="12"/>
  <c r="G139" i="15" l="1"/>
  <c r="H138" i="15"/>
  <c r="H118" i="12"/>
  <c r="G105" i="12"/>
  <c r="G114" i="12"/>
  <c r="H111" i="12"/>
  <c r="H104" i="12"/>
  <c r="E136" i="12"/>
  <c r="E129" i="12"/>
  <c r="H126" i="12"/>
  <c r="H124" i="12"/>
  <c r="H123" i="12"/>
  <c r="H122" i="12"/>
  <c r="G126" i="12"/>
  <c r="H121" i="12"/>
  <c r="H120" i="12"/>
  <c r="I36" i="1"/>
  <c r="G124" i="12"/>
  <c r="G123" i="12"/>
  <c r="G122" i="12"/>
  <c r="G120" i="12"/>
  <c r="G121" i="12"/>
  <c r="G117" i="12"/>
  <c r="H109" i="12" s="1"/>
  <c r="G62" i="12"/>
  <c r="H75" i="12"/>
  <c r="H57" i="12"/>
  <c r="H67" i="12"/>
  <c r="G5" i="12"/>
  <c r="H54" i="12"/>
  <c r="G54" i="12"/>
  <c r="F74" i="12"/>
  <c r="F53" i="12"/>
  <c r="G66" i="12"/>
  <c r="H65" i="12"/>
  <c r="H145" i="15" l="1"/>
  <c r="G165" i="15"/>
  <c r="H155" i="15"/>
  <c r="E140" i="12"/>
  <c r="I129" i="12" s="1"/>
  <c r="I113" i="12"/>
  <c r="I103" i="12"/>
  <c r="I111" i="12"/>
  <c r="I108" i="12"/>
  <c r="I109" i="12"/>
  <c r="I104" i="12"/>
  <c r="G125" i="12"/>
  <c r="H117" i="12"/>
  <c r="J53" i="12"/>
  <c r="Z53" i="12"/>
  <c r="E89" i="12"/>
  <c r="E83" i="12"/>
  <c r="G127" i="12" l="1"/>
  <c r="I126" i="12" s="1"/>
  <c r="J318" i="12" s="1"/>
  <c r="G169" i="15"/>
  <c r="J326" i="12"/>
  <c r="J325" i="12"/>
  <c r="I136" i="12"/>
  <c r="I125" i="12"/>
  <c r="J316" i="12" s="1"/>
  <c r="I120" i="12"/>
  <c r="J319" i="12" s="1"/>
  <c r="I121" i="12"/>
  <c r="J317" i="12" s="1"/>
  <c r="I124" i="12"/>
  <c r="I122" i="12"/>
  <c r="I123" i="12"/>
  <c r="I117" i="12"/>
  <c r="I131" i="12"/>
  <c r="I134" i="12"/>
  <c r="I138" i="12"/>
  <c r="I114" i="12"/>
  <c r="E91" i="12"/>
  <c r="I89" i="12" s="1"/>
  <c r="J308" i="12" s="1"/>
  <c r="H73" i="12"/>
  <c r="G73" i="12"/>
  <c r="G72" i="12"/>
  <c r="H79" i="12"/>
  <c r="G79" i="12"/>
  <c r="H78" i="12"/>
  <c r="H77" i="12"/>
  <c r="G77" i="12"/>
  <c r="G78" i="12"/>
  <c r="G71" i="12"/>
  <c r="H76" i="12"/>
  <c r="G76" i="12"/>
  <c r="E43" i="12"/>
  <c r="E37" i="12"/>
  <c r="G24" i="12"/>
  <c r="H18" i="12"/>
  <c r="G12" i="12"/>
  <c r="G6" i="12"/>
  <c r="H6" i="12"/>
  <c r="CP24" i="1"/>
  <c r="F7" i="12"/>
  <c r="H11" i="12"/>
  <c r="G8" i="12"/>
  <c r="H8" i="12"/>
  <c r="CP36" i="1"/>
  <c r="Z183" i="12" s="1"/>
  <c r="J441" i="12" s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AD36" i="1"/>
  <c r="J183" i="12" s="1"/>
  <c r="J334" i="12" s="1"/>
  <c r="AE36" i="1"/>
  <c r="AF36" i="1"/>
  <c r="AG36" i="1"/>
  <c r="AH36" i="1"/>
  <c r="AI36" i="1"/>
  <c r="AJ36" i="1"/>
  <c r="Q125" i="12"/>
  <c r="R125" i="12"/>
  <c r="AM36" i="1"/>
  <c r="AN36" i="1"/>
  <c r="AO36" i="1"/>
  <c r="AP36" i="1"/>
  <c r="AQ36" i="1"/>
  <c r="AR36" i="1"/>
  <c r="AS36" i="1"/>
  <c r="G36" i="1"/>
  <c r="Q6" i="12" l="1"/>
  <c r="R6" i="12"/>
  <c r="I165" i="15"/>
  <c r="W125" i="12"/>
  <c r="W183" i="12"/>
  <c r="O125" i="12"/>
  <c r="O183" i="12"/>
  <c r="AM125" i="12"/>
  <c r="AM183" i="12"/>
  <c r="W441" i="12" s="1"/>
  <c r="AE125" i="12"/>
  <c r="O410" i="12" s="1"/>
  <c r="AE183" i="12"/>
  <c r="O441" i="12" s="1"/>
  <c r="U125" i="12"/>
  <c r="U183" i="12"/>
  <c r="AK125" i="12"/>
  <c r="U410" i="12" s="1"/>
  <c r="AK183" i="12"/>
  <c r="U441" i="12" s="1"/>
  <c r="AC125" i="12"/>
  <c r="AC183" i="12"/>
  <c r="M441" i="12" s="1"/>
  <c r="V125" i="12"/>
  <c r="V183" i="12"/>
  <c r="M125" i="12"/>
  <c r="M183" i="12"/>
  <c r="L125" i="12"/>
  <c r="L183" i="12"/>
  <c r="AJ125" i="12"/>
  <c r="T410" i="12" s="1"/>
  <c r="AJ183" i="12"/>
  <c r="T441" i="12" s="1"/>
  <c r="AB125" i="12"/>
  <c r="AB183" i="12"/>
  <c r="L441" i="12" s="1"/>
  <c r="S125" i="12"/>
  <c r="S183" i="12"/>
  <c r="K125" i="12"/>
  <c r="J165" i="15" s="1"/>
  <c r="K183" i="12"/>
  <c r="J243" i="15" s="1"/>
  <c r="AI125" i="12"/>
  <c r="AI183" i="12"/>
  <c r="S441" i="12" s="1"/>
  <c r="AA125" i="12"/>
  <c r="K165" i="15" s="1"/>
  <c r="AA183" i="12"/>
  <c r="I118" i="12"/>
  <c r="AL125" i="12"/>
  <c r="V410" i="12" s="1"/>
  <c r="AL183" i="12"/>
  <c r="V441" i="12" s="1"/>
  <c r="AH125" i="12"/>
  <c r="R410" i="12" s="1"/>
  <c r="AH183" i="12"/>
  <c r="R441" i="12" s="1"/>
  <c r="N125" i="12"/>
  <c r="N183" i="12"/>
  <c r="T125" i="12"/>
  <c r="T183" i="12"/>
  <c r="Y125" i="12"/>
  <c r="Y183" i="12"/>
  <c r="AO125" i="12"/>
  <c r="AO183" i="12"/>
  <c r="Y441" i="12" s="1"/>
  <c r="AG125" i="12"/>
  <c r="AG183" i="12"/>
  <c r="Q441" i="12" s="1"/>
  <c r="J125" i="12"/>
  <c r="AD125" i="12"/>
  <c r="N410" i="12" s="1"/>
  <c r="AD183" i="12"/>
  <c r="N441" i="12" s="1"/>
  <c r="X125" i="12"/>
  <c r="X183" i="12"/>
  <c r="P125" i="12"/>
  <c r="P183" i="12"/>
  <c r="AN125" i="12"/>
  <c r="AN183" i="12"/>
  <c r="X441" i="12" s="1"/>
  <c r="AF125" i="12"/>
  <c r="P410" i="12" s="1"/>
  <c r="AF183" i="12"/>
  <c r="P441" i="12" s="1"/>
  <c r="G102" i="15"/>
  <c r="G105" i="15" s="1"/>
  <c r="G42" i="15"/>
  <c r="I161" i="15"/>
  <c r="I164" i="15"/>
  <c r="I156" i="15"/>
  <c r="I155" i="15"/>
  <c r="I162" i="15"/>
  <c r="I163" i="15"/>
  <c r="I166" i="15"/>
  <c r="I160" i="15"/>
  <c r="K250" i="12"/>
  <c r="J250" i="12"/>
  <c r="G34" i="12"/>
  <c r="J332" i="12"/>
  <c r="J331" i="12"/>
  <c r="J320" i="12"/>
  <c r="I83" i="12"/>
  <c r="J309" i="12" s="1"/>
  <c r="I140" i="12"/>
  <c r="E49" i="12"/>
  <c r="I37" i="12" s="1"/>
  <c r="J287" i="12" s="1"/>
  <c r="I87" i="12"/>
  <c r="I85" i="12"/>
  <c r="I127" i="12"/>
  <c r="Z125" i="12"/>
  <c r="Z74" i="12"/>
  <c r="G80" i="12"/>
  <c r="J7" i="12"/>
  <c r="Z7" i="12"/>
  <c r="G14" i="12"/>
  <c r="G13" i="12"/>
  <c r="H14" i="12"/>
  <c r="Z5" i="1"/>
  <c r="H62" i="12"/>
  <c r="G63" i="12"/>
  <c r="G58" i="12"/>
  <c r="K441" i="12" l="1"/>
  <c r="K243" i="15"/>
  <c r="Y410" i="12"/>
  <c r="S410" i="12"/>
  <c r="M410" i="12"/>
  <c r="X410" i="12"/>
  <c r="Q410" i="12"/>
  <c r="W410" i="12"/>
  <c r="L410" i="12"/>
  <c r="K410" i="12"/>
  <c r="Q160" i="12"/>
  <c r="R160" i="12"/>
  <c r="G45" i="15"/>
  <c r="I102" i="15"/>
  <c r="I93" i="15"/>
  <c r="I99" i="15"/>
  <c r="I101" i="15"/>
  <c r="I98" i="15"/>
  <c r="I95" i="15"/>
  <c r="I100" i="15"/>
  <c r="I169" i="15"/>
  <c r="G77" i="15"/>
  <c r="H76" i="15"/>
  <c r="J410" i="12"/>
  <c r="J311" i="12"/>
  <c r="I43" i="12"/>
  <c r="J286" i="12" s="1"/>
  <c r="I91" i="12"/>
  <c r="AC80" i="12"/>
  <c r="G81" i="12"/>
  <c r="V34" i="12"/>
  <c r="I45" i="12"/>
  <c r="I41" i="12"/>
  <c r="I47" i="12"/>
  <c r="I39" i="12"/>
  <c r="R34" i="12"/>
  <c r="AG80" i="12"/>
  <c r="AA80" i="12"/>
  <c r="K102" i="15" s="1"/>
  <c r="AC34" i="12"/>
  <c r="AN34" i="12"/>
  <c r="AE34" i="12"/>
  <c r="AM34" i="12"/>
  <c r="AO34" i="12"/>
  <c r="K34" i="12"/>
  <c r="J42" i="15" s="1"/>
  <c r="O80" i="12"/>
  <c r="S34" i="12"/>
  <c r="O34" i="12"/>
  <c r="L80" i="12"/>
  <c r="L34" i="12"/>
  <c r="U34" i="12"/>
  <c r="Z34" i="12"/>
  <c r="M34" i="12"/>
  <c r="AH34" i="12"/>
  <c r="Y34" i="12"/>
  <c r="AB34" i="12"/>
  <c r="Q34" i="12"/>
  <c r="AG34" i="12"/>
  <c r="AK80" i="12"/>
  <c r="AK34" i="12"/>
  <c r="T34" i="12"/>
  <c r="P34" i="12"/>
  <c r="W34" i="12"/>
  <c r="AA34" i="12"/>
  <c r="K42" i="15" s="1"/>
  <c r="AD34" i="12"/>
  <c r="X34" i="12"/>
  <c r="AI80" i="12"/>
  <c r="AI34" i="12"/>
  <c r="AL34" i="12"/>
  <c r="N34" i="12"/>
  <c r="J34" i="12"/>
  <c r="AJ34" i="12"/>
  <c r="AF34" i="12"/>
  <c r="AM80" i="12"/>
  <c r="M80" i="12"/>
  <c r="W80" i="12"/>
  <c r="AJ80" i="12"/>
  <c r="Q80" i="12"/>
  <c r="S80" i="12"/>
  <c r="AO80" i="12"/>
  <c r="AL80" i="12"/>
  <c r="AF80" i="12"/>
  <c r="Y80" i="12"/>
  <c r="J80" i="12"/>
  <c r="K80" i="12"/>
  <c r="J102" i="15" s="1"/>
  <c r="AN80" i="12"/>
  <c r="AB80" i="12"/>
  <c r="G68" i="12"/>
  <c r="V80" i="12"/>
  <c r="P80" i="12"/>
  <c r="Z80" i="12"/>
  <c r="T80" i="12"/>
  <c r="AD80" i="12"/>
  <c r="U80" i="12"/>
  <c r="N80" i="12"/>
  <c r="AH80" i="12"/>
  <c r="AE80" i="12"/>
  <c r="X80" i="12"/>
  <c r="R80" i="12"/>
  <c r="G59" i="12"/>
  <c r="H58" i="12"/>
  <c r="H71" i="12"/>
  <c r="H63" i="12"/>
  <c r="I42" i="15" l="1"/>
  <c r="I105" i="15"/>
  <c r="I40" i="15"/>
  <c r="I38" i="15"/>
  <c r="I39" i="15"/>
  <c r="I37" i="15"/>
  <c r="I41" i="15"/>
  <c r="L381" i="12"/>
  <c r="X381" i="12"/>
  <c r="Q381" i="12"/>
  <c r="M381" i="12"/>
  <c r="N381" i="12"/>
  <c r="T381" i="12"/>
  <c r="T218" i="12"/>
  <c r="S381" i="12"/>
  <c r="U381" i="12"/>
  <c r="P381" i="12"/>
  <c r="W381" i="12"/>
  <c r="V381" i="12"/>
  <c r="O381" i="12"/>
  <c r="R381" i="12"/>
  <c r="Y381" i="12"/>
  <c r="K381" i="12"/>
  <c r="J381" i="12"/>
  <c r="X218" i="12"/>
  <c r="P218" i="12"/>
  <c r="W218" i="12"/>
  <c r="O218" i="12"/>
  <c r="Q218" i="12"/>
  <c r="R218" i="12"/>
  <c r="S218" i="12"/>
  <c r="U218" i="12"/>
  <c r="L218" i="12"/>
  <c r="V218" i="12"/>
  <c r="M218" i="12"/>
  <c r="Y218" i="12"/>
  <c r="N218" i="12"/>
  <c r="K218" i="12"/>
  <c r="J218" i="12"/>
  <c r="I58" i="12"/>
  <c r="J302" i="12" s="1"/>
  <c r="J289" i="12"/>
  <c r="I49" i="12"/>
  <c r="I67" i="12"/>
  <c r="I65" i="12"/>
  <c r="I62" i="12"/>
  <c r="I71" i="12"/>
  <c r="I78" i="12"/>
  <c r="I77" i="12"/>
  <c r="I76" i="12"/>
  <c r="J295" i="12" s="1"/>
  <c r="I79" i="12"/>
  <c r="I73" i="12"/>
  <c r="J296" i="12" s="1"/>
  <c r="I63" i="12"/>
  <c r="I80" i="12"/>
  <c r="J294" i="12" s="1"/>
  <c r="H33" i="12"/>
  <c r="H32" i="12"/>
  <c r="H31" i="12"/>
  <c r="H30" i="12"/>
  <c r="G33" i="12"/>
  <c r="G32" i="12"/>
  <c r="G31" i="12"/>
  <c r="G30" i="12"/>
  <c r="G29" i="12"/>
  <c r="BB5" i="1"/>
  <c r="BB13" i="1"/>
  <c r="R18" i="12"/>
  <c r="R74" i="12"/>
  <c r="R47" i="12"/>
  <c r="BA5" i="1"/>
  <c r="Q18" i="12"/>
  <c r="Q74" i="12"/>
  <c r="Q47" i="12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CP10" i="1"/>
  <c r="Z161" i="12" s="1"/>
  <c r="CQ10" i="1"/>
  <c r="AA161" i="12" s="1"/>
  <c r="K217" i="15" s="1"/>
  <c r="CR10" i="1"/>
  <c r="AB161" i="12" s="1"/>
  <c r="CS10" i="1"/>
  <c r="AC161" i="12" s="1"/>
  <c r="CT10" i="1"/>
  <c r="AD161" i="12" s="1"/>
  <c r="CU10" i="1"/>
  <c r="AE161" i="12" s="1"/>
  <c r="CV10" i="1"/>
  <c r="AF161" i="12" s="1"/>
  <c r="CW10" i="1"/>
  <c r="AG161" i="12" s="1"/>
  <c r="CX10" i="1"/>
  <c r="AH161" i="12" s="1"/>
  <c r="CY10" i="1"/>
  <c r="AI161" i="12" s="1"/>
  <c r="CZ10" i="1"/>
  <c r="AJ161" i="12" s="1"/>
  <c r="DA10" i="1"/>
  <c r="AK161" i="12" s="1"/>
  <c r="DB10" i="1"/>
  <c r="AL161" i="12" s="1"/>
  <c r="DC10" i="1"/>
  <c r="AM161" i="12" s="1"/>
  <c r="DD10" i="1"/>
  <c r="AN161" i="12" s="1"/>
  <c r="DE10" i="1"/>
  <c r="AO161" i="12" s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CP13" i="1"/>
  <c r="Z165" i="12" s="1"/>
  <c r="CQ13" i="1"/>
  <c r="AA165" i="12" s="1"/>
  <c r="K221" i="15" s="1"/>
  <c r="CR13" i="1"/>
  <c r="AB165" i="12" s="1"/>
  <c r="CS13" i="1"/>
  <c r="AC165" i="12" s="1"/>
  <c r="CT13" i="1"/>
  <c r="AD165" i="12" s="1"/>
  <c r="CU13" i="1"/>
  <c r="AE165" i="12" s="1"/>
  <c r="CV13" i="1"/>
  <c r="AF165" i="12" s="1"/>
  <c r="CW13" i="1"/>
  <c r="AG165" i="12" s="1"/>
  <c r="CX13" i="1"/>
  <c r="AH165" i="12" s="1"/>
  <c r="CY13" i="1"/>
  <c r="AI165" i="12" s="1"/>
  <c r="CZ13" i="1"/>
  <c r="AJ165" i="12" s="1"/>
  <c r="DA13" i="1"/>
  <c r="AK165" i="12" s="1"/>
  <c r="DB13" i="1"/>
  <c r="AL165" i="12" s="1"/>
  <c r="DC13" i="1"/>
  <c r="AM165" i="12" s="1"/>
  <c r="DD13" i="1"/>
  <c r="AN165" i="12" s="1"/>
  <c r="DE13" i="1"/>
  <c r="AO165" i="12" s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CP21" i="1"/>
  <c r="Z159" i="12" s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CQ23" i="1"/>
  <c r="AA146" i="12" s="1"/>
  <c r="K194" i="15" s="1"/>
  <c r="CR23" i="1"/>
  <c r="AB146" i="12" s="1"/>
  <c r="CS23" i="1"/>
  <c r="AC146" i="12" s="1"/>
  <c r="CT23" i="1"/>
  <c r="AD146" i="12" s="1"/>
  <c r="CU23" i="1"/>
  <c r="AE146" i="12" s="1"/>
  <c r="CV23" i="1"/>
  <c r="AF146" i="12" s="1"/>
  <c r="CW23" i="1"/>
  <c r="AG146" i="12" s="1"/>
  <c r="CX23" i="1"/>
  <c r="AH146" i="12" s="1"/>
  <c r="CY23" i="1"/>
  <c r="AI146" i="12" s="1"/>
  <c r="CZ23" i="1"/>
  <c r="AJ146" i="12" s="1"/>
  <c r="DA23" i="1"/>
  <c r="AK146" i="12" s="1"/>
  <c r="DB23" i="1"/>
  <c r="AL146" i="12" s="1"/>
  <c r="DC23" i="1"/>
  <c r="AM146" i="12" s="1"/>
  <c r="DD23" i="1"/>
  <c r="AN146" i="12" s="1"/>
  <c r="DE23" i="1"/>
  <c r="AO146" i="12" s="1"/>
  <c r="CQ24" i="1"/>
  <c r="AA74" i="12" s="1"/>
  <c r="K96" i="15" s="1"/>
  <c r="CR24" i="1"/>
  <c r="AB74" i="12" s="1"/>
  <c r="CS24" i="1"/>
  <c r="AC74" i="12" s="1"/>
  <c r="CT24" i="1"/>
  <c r="AD74" i="12" s="1"/>
  <c r="CU24" i="1"/>
  <c r="AE74" i="12" s="1"/>
  <c r="CV24" i="1"/>
  <c r="AF74" i="12" s="1"/>
  <c r="CW24" i="1"/>
  <c r="AG74" i="12" s="1"/>
  <c r="CX24" i="1"/>
  <c r="AH74" i="12" s="1"/>
  <c r="CY24" i="1"/>
  <c r="AI74" i="12" s="1"/>
  <c r="CZ24" i="1"/>
  <c r="AJ74" i="12" s="1"/>
  <c r="DA24" i="1"/>
  <c r="AK74" i="12" s="1"/>
  <c r="DB24" i="1"/>
  <c r="AL74" i="12" s="1"/>
  <c r="DC24" i="1"/>
  <c r="AM74" i="12" s="1"/>
  <c r="DD24" i="1"/>
  <c r="AN74" i="12" s="1"/>
  <c r="DE24" i="1"/>
  <c r="AO74" i="12" s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CP32" i="1"/>
  <c r="CQ32" i="1"/>
  <c r="CR32" i="1"/>
  <c r="CS32" i="1"/>
  <c r="AC43" i="12" s="1"/>
  <c r="CT32" i="1"/>
  <c r="AD43" i="12" s="1"/>
  <c r="CU32" i="1"/>
  <c r="CV32" i="1"/>
  <c r="AF43" i="12" s="1"/>
  <c r="CW32" i="1"/>
  <c r="CX32" i="1"/>
  <c r="CY32" i="1"/>
  <c r="CZ32" i="1"/>
  <c r="DA32" i="1"/>
  <c r="AK43" i="12" s="1"/>
  <c r="DB32" i="1"/>
  <c r="DC32" i="1"/>
  <c r="DD32" i="1"/>
  <c r="AN43" i="12" s="1"/>
  <c r="DE32" i="1"/>
  <c r="AO43" i="12" s="1"/>
  <c r="CP33" i="1"/>
  <c r="Z190" i="12" s="1"/>
  <c r="CQ33" i="1"/>
  <c r="AA190" i="12" s="1"/>
  <c r="K254" i="15" s="1"/>
  <c r="CR33" i="1"/>
  <c r="AB190" i="12" s="1"/>
  <c r="CS33" i="1"/>
  <c r="AC190" i="12" s="1"/>
  <c r="CT33" i="1"/>
  <c r="AD190" i="12" s="1"/>
  <c r="CU33" i="1"/>
  <c r="AE190" i="12" s="1"/>
  <c r="CV33" i="1"/>
  <c r="AF190" i="12" s="1"/>
  <c r="CW33" i="1"/>
  <c r="AG190" i="12" s="1"/>
  <c r="CX33" i="1"/>
  <c r="AH190" i="12" s="1"/>
  <c r="CY33" i="1"/>
  <c r="AI190" i="12" s="1"/>
  <c r="CZ33" i="1"/>
  <c r="AJ190" i="12" s="1"/>
  <c r="DA33" i="1"/>
  <c r="AK190" i="12" s="1"/>
  <c r="DB33" i="1"/>
  <c r="AL190" i="12" s="1"/>
  <c r="DC33" i="1"/>
  <c r="AM190" i="12" s="1"/>
  <c r="DD33" i="1"/>
  <c r="AN190" i="12" s="1"/>
  <c r="DE33" i="1"/>
  <c r="AO190" i="12" s="1"/>
  <c r="CP34" i="1"/>
  <c r="Z47" i="12" s="1"/>
  <c r="CQ34" i="1"/>
  <c r="AA47" i="12" s="1"/>
  <c r="K61" i="15" s="1"/>
  <c r="CR34" i="1"/>
  <c r="AB47" i="12" s="1"/>
  <c r="CS34" i="1"/>
  <c r="AC47" i="12" s="1"/>
  <c r="CT34" i="1"/>
  <c r="AD47" i="12" s="1"/>
  <c r="CU34" i="1"/>
  <c r="AE47" i="12" s="1"/>
  <c r="CV34" i="1"/>
  <c r="AF47" i="12" s="1"/>
  <c r="CW34" i="1"/>
  <c r="AG47" i="12" s="1"/>
  <c r="CX34" i="1"/>
  <c r="AH47" i="12" s="1"/>
  <c r="CY34" i="1"/>
  <c r="AI47" i="12" s="1"/>
  <c r="CZ34" i="1"/>
  <c r="AJ47" i="12" s="1"/>
  <c r="DA34" i="1"/>
  <c r="AK47" i="12" s="1"/>
  <c r="DB34" i="1"/>
  <c r="AL47" i="12" s="1"/>
  <c r="DC34" i="1"/>
  <c r="AM47" i="12" s="1"/>
  <c r="DD34" i="1"/>
  <c r="AN47" i="12" s="1"/>
  <c r="DE34" i="1"/>
  <c r="AO47" i="12" s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CP42" i="1"/>
  <c r="Z186" i="12" s="1"/>
  <c r="J464" i="12" s="1"/>
  <c r="CQ42" i="1"/>
  <c r="AA186" i="12" s="1"/>
  <c r="CR42" i="1"/>
  <c r="CS42" i="1"/>
  <c r="AC186" i="12" s="1"/>
  <c r="M464" i="12" s="1"/>
  <c r="CT42" i="1"/>
  <c r="AD186" i="12" s="1"/>
  <c r="N464" i="12" s="1"/>
  <c r="CU42" i="1"/>
  <c r="AE186" i="12" s="1"/>
  <c r="O464" i="12" s="1"/>
  <c r="CV42" i="1"/>
  <c r="CW42" i="1"/>
  <c r="CX42" i="1"/>
  <c r="AH186" i="12" s="1"/>
  <c r="R464" i="12" s="1"/>
  <c r="CY42" i="1"/>
  <c r="AI186" i="12" s="1"/>
  <c r="S464" i="12" s="1"/>
  <c r="CZ42" i="1"/>
  <c r="AJ186" i="12" s="1"/>
  <c r="T464" i="12" s="1"/>
  <c r="DA42" i="1"/>
  <c r="DB42" i="1"/>
  <c r="AL186" i="12" s="1"/>
  <c r="V464" i="12" s="1"/>
  <c r="DC42" i="1"/>
  <c r="AM186" i="12" s="1"/>
  <c r="W464" i="12" s="1"/>
  <c r="DD42" i="1"/>
  <c r="DE42" i="1"/>
  <c r="CP43" i="1"/>
  <c r="Z188" i="12" s="1"/>
  <c r="CQ43" i="1"/>
  <c r="AA188" i="12" s="1"/>
  <c r="K250" i="15" s="1"/>
  <c r="CR43" i="1"/>
  <c r="AB188" i="12" s="1"/>
  <c r="CS43" i="1"/>
  <c r="AC188" i="12" s="1"/>
  <c r="CT43" i="1"/>
  <c r="AD188" i="12" s="1"/>
  <c r="CU43" i="1"/>
  <c r="AE188" i="12" s="1"/>
  <c r="CV43" i="1"/>
  <c r="AF188" i="12" s="1"/>
  <c r="CW43" i="1"/>
  <c r="AG188" i="12" s="1"/>
  <c r="CX43" i="1"/>
  <c r="AH188" i="12" s="1"/>
  <c r="CY43" i="1"/>
  <c r="AI188" i="12" s="1"/>
  <c r="CZ43" i="1"/>
  <c r="AJ188" i="12" s="1"/>
  <c r="DA43" i="1"/>
  <c r="AK188" i="12" s="1"/>
  <c r="DB43" i="1"/>
  <c r="AL188" i="12" s="1"/>
  <c r="DC43" i="1"/>
  <c r="AM188" i="12" s="1"/>
  <c r="DD43" i="1"/>
  <c r="AN188" i="12" s="1"/>
  <c r="DE43" i="1"/>
  <c r="AO188" i="12" s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CP54" i="1"/>
  <c r="Z181" i="12" s="1"/>
  <c r="J444" i="12" s="1"/>
  <c r="CQ54" i="1"/>
  <c r="AA181" i="12" s="1"/>
  <c r="CR54" i="1"/>
  <c r="AB181" i="12" s="1"/>
  <c r="L444" i="12" s="1"/>
  <c r="CS54" i="1"/>
  <c r="AC181" i="12" s="1"/>
  <c r="M444" i="12" s="1"/>
  <c r="CT54" i="1"/>
  <c r="AD181" i="12" s="1"/>
  <c r="N444" i="12" s="1"/>
  <c r="CU54" i="1"/>
  <c r="AE181" i="12" s="1"/>
  <c r="O444" i="12" s="1"/>
  <c r="CV54" i="1"/>
  <c r="AF181" i="12" s="1"/>
  <c r="P444" i="12" s="1"/>
  <c r="CW54" i="1"/>
  <c r="AG181" i="12" s="1"/>
  <c r="Q444" i="12" s="1"/>
  <c r="CX54" i="1"/>
  <c r="AH181" i="12" s="1"/>
  <c r="R444" i="12" s="1"/>
  <c r="CY54" i="1"/>
  <c r="AI181" i="12" s="1"/>
  <c r="S444" i="12" s="1"/>
  <c r="CZ54" i="1"/>
  <c r="AJ181" i="12" s="1"/>
  <c r="T444" i="12" s="1"/>
  <c r="DA54" i="1"/>
  <c r="AK181" i="12" s="1"/>
  <c r="U444" i="12" s="1"/>
  <c r="DB54" i="1"/>
  <c r="AL181" i="12" s="1"/>
  <c r="V444" i="12" s="1"/>
  <c r="DC54" i="1"/>
  <c r="AM181" i="12" s="1"/>
  <c r="W444" i="12" s="1"/>
  <c r="DD54" i="1"/>
  <c r="AN181" i="12" s="1"/>
  <c r="X444" i="12" s="1"/>
  <c r="DE54" i="1"/>
  <c r="AO181" i="12" s="1"/>
  <c r="Y444" i="12" s="1"/>
  <c r="CP55" i="1"/>
  <c r="Z180" i="12" s="1"/>
  <c r="J443" i="12" s="1"/>
  <c r="CQ55" i="1"/>
  <c r="AA180" i="12" s="1"/>
  <c r="CR55" i="1"/>
  <c r="AB180" i="12" s="1"/>
  <c r="L443" i="12" s="1"/>
  <c r="CS55" i="1"/>
  <c r="AC180" i="12" s="1"/>
  <c r="M443" i="12" s="1"/>
  <c r="CT55" i="1"/>
  <c r="AD180" i="12" s="1"/>
  <c r="N443" i="12" s="1"/>
  <c r="CU55" i="1"/>
  <c r="AE180" i="12" s="1"/>
  <c r="O443" i="12" s="1"/>
  <c r="CV55" i="1"/>
  <c r="AF180" i="12" s="1"/>
  <c r="P443" i="12" s="1"/>
  <c r="CW55" i="1"/>
  <c r="AG180" i="12" s="1"/>
  <c r="Q443" i="12" s="1"/>
  <c r="CX55" i="1"/>
  <c r="AH180" i="12" s="1"/>
  <c r="R443" i="12" s="1"/>
  <c r="CY55" i="1"/>
  <c r="AI180" i="12" s="1"/>
  <c r="S443" i="12" s="1"/>
  <c r="CZ55" i="1"/>
  <c r="AJ180" i="12" s="1"/>
  <c r="T443" i="12" s="1"/>
  <c r="DA55" i="1"/>
  <c r="AK180" i="12" s="1"/>
  <c r="U443" i="12" s="1"/>
  <c r="DB55" i="1"/>
  <c r="AL180" i="12" s="1"/>
  <c r="V443" i="12" s="1"/>
  <c r="DC55" i="1"/>
  <c r="AM180" i="12" s="1"/>
  <c r="W443" i="12" s="1"/>
  <c r="DD55" i="1"/>
  <c r="AN180" i="12" s="1"/>
  <c r="X443" i="12" s="1"/>
  <c r="DE55" i="1"/>
  <c r="AO180" i="12" s="1"/>
  <c r="Y443" i="12" s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CP4" i="1"/>
  <c r="AD4" i="1"/>
  <c r="H23" i="12"/>
  <c r="H20" i="12"/>
  <c r="G25" i="12"/>
  <c r="H33" i="15" s="1"/>
  <c r="G22" i="12"/>
  <c r="G20" i="12"/>
  <c r="G15" i="12"/>
  <c r="Z37" i="1"/>
  <c r="AD37" i="1"/>
  <c r="AE37" i="1"/>
  <c r="AF37" i="1"/>
  <c r="AG37" i="1"/>
  <c r="AH37" i="1"/>
  <c r="AI37" i="1"/>
  <c r="AJ37" i="1"/>
  <c r="BB37" i="1"/>
  <c r="AM37" i="1"/>
  <c r="AN37" i="1"/>
  <c r="AO37" i="1"/>
  <c r="AP37" i="1"/>
  <c r="AQ37" i="1"/>
  <c r="AR37" i="1"/>
  <c r="AS37" i="1"/>
  <c r="AD5" i="1"/>
  <c r="AE5" i="1"/>
  <c r="AF5" i="1"/>
  <c r="AG5" i="1"/>
  <c r="AH5" i="1"/>
  <c r="AI5" i="1"/>
  <c r="AJ5" i="1"/>
  <c r="AM5" i="1"/>
  <c r="AN5" i="1"/>
  <c r="AO5" i="1"/>
  <c r="AP5" i="1"/>
  <c r="AQ5" i="1"/>
  <c r="AR5" i="1"/>
  <c r="AS5" i="1"/>
  <c r="AD6" i="1"/>
  <c r="AE6" i="1"/>
  <c r="AF6" i="1"/>
  <c r="AG6" i="1"/>
  <c r="AH6" i="1"/>
  <c r="AI6" i="1"/>
  <c r="AJ6" i="1"/>
  <c r="AM6" i="1"/>
  <c r="AN6" i="1"/>
  <c r="AO6" i="1"/>
  <c r="AP6" i="1"/>
  <c r="AQ6" i="1"/>
  <c r="AR6" i="1"/>
  <c r="AS6" i="1"/>
  <c r="AD7" i="1"/>
  <c r="AE7" i="1"/>
  <c r="AF7" i="1"/>
  <c r="AG7" i="1"/>
  <c r="AH7" i="1"/>
  <c r="AI7" i="1"/>
  <c r="AJ7" i="1"/>
  <c r="AM7" i="1"/>
  <c r="AN7" i="1"/>
  <c r="AO7" i="1"/>
  <c r="AP7" i="1"/>
  <c r="AQ7" i="1"/>
  <c r="AR7" i="1"/>
  <c r="AS7" i="1"/>
  <c r="Z7" i="1"/>
  <c r="Z6" i="1"/>
  <c r="BA6" i="1" s="1"/>
  <c r="AD13" i="1"/>
  <c r="AE13" i="1"/>
  <c r="K165" i="12" s="1"/>
  <c r="J221" i="15" s="1"/>
  <c r="AF13" i="1"/>
  <c r="L165" i="12" s="1"/>
  <c r="AG13" i="1"/>
  <c r="M165" i="12" s="1"/>
  <c r="AH13" i="1"/>
  <c r="N165" i="12" s="1"/>
  <c r="AI13" i="1"/>
  <c r="O165" i="12" s="1"/>
  <c r="AJ13" i="1"/>
  <c r="AM13" i="1"/>
  <c r="S165" i="12" s="1"/>
  <c r="AN13" i="1"/>
  <c r="T165" i="12" s="1"/>
  <c r="AO13" i="1"/>
  <c r="U165" i="12" s="1"/>
  <c r="AP13" i="1"/>
  <c r="V165" i="12" s="1"/>
  <c r="AQ13" i="1"/>
  <c r="W165" i="12" s="1"/>
  <c r="AR13" i="1"/>
  <c r="X165" i="12" s="1"/>
  <c r="AS13" i="1"/>
  <c r="Y165" i="12" s="1"/>
  <c r="F31" i="5"/>
  <c r="G31" i="5"/>
  <c r="H31" i="5"/>
  <c r="I31" i="5"/>
  <c r="J31" i="5"/>
  <c r="F30" i="5"/>
  <c r="G30" i="5"/>
  <c r="H30" i="5"/>
  <c r="I30" i="5"/>
  <c r="J30" i="5"/>
  <c r="K30" i="5"/>
  <c r="L30" i="5"/>
  <c r="M30" i="5"/>
  <c r="N30" i="5"/>
  <c r="O30" i="5"/>
  <c r="O29" i="5"/>
  <c r="O31" i="5"/>
  <c r="AO95" i="12" l="1"/>
  <c r="AO6" i="12"/>
  <c r="AG95" i="12"/>
  <c r="AG6" i="12"/>
  <c r="AN95" i="12"/>
  <c r="AN6" i="12"/>
  <c r="AF95" i="12"/>
  <c r="AF6" i="12"/>
  <c r="AH95" i="12"/>
  <c r="AH6" i="12"/>
  <c r="AM95" i="12"/>
  <c r="AM6" i="12"/>
  <c r="AE95" i="12"/>
  <c r="AE6" i="12"/>
  <c r="Z95" i="12"/>
  <c r="Z6" i="12"/>
  <c r="AL95" i="12"/>
  <c r="AL6" i="12"/>
  <c r="AD95" i="12"/>
  <c r="AD6" i="12"/>
  <c r="AK95" i="12"/>
  <c r="AK6" i="12"/>
  <c r="AC95" i="12"/>
  <c r="AC6" i="12"/>
  <c r="AJ95" i="12"/>
  <c r="AJ6" i="12"/>
  <c r="AB95" i="12"/>
  <c r="AB6" i="12"/>
  <c r="AI95" i="12"/>
  <c r="AI6" i="12"/>
  <c r="AA95" i="12"/>
  <c r="AA6" i="12"/>
  <c r="K8" i="15" s="1"/>
  <c r="K443" i="12"/>
  <c r="K240" i="15"/>
  <c r="K444" i="12"/>
  <c r="K241" i="15"/>
  <c r="K464" i="12"/>
  <c r="K248" i="15"/>
  <c r="AM178" i="12"/>
  <c r="AM170" i="12"/>
  <c r="AE178" i="12"/>
  <c r="AE170" i="12"/>
  <c r="AM160" i="12"/>
  <c r="W452" i="12" s="1"/>
  <c r="AM177" i="12"/>
  <c r="AM169" i="12"/>
  <c r="AE160" i="12"/>
  <c r="O452" i="12" s="1"/>
  <c r="AE177" i="12"/>
  <c r="AE169" i="12"/>
  <c r="AL178" i="12"/>
  <c r="AL170" i="12"/>
  <c r="AD178" i="12"/>
  <c r="AD170" i="12"/>
  <c r="AL160" i="12"/>
  <c r="V452" i="12" s="1"/>
  <c r="AL169" i="12"/>
  <c r="AL177" i="12"/>
  <c r="AD160" i="12"/>
  <c r="N452" i="12" s="1"/>
  <c r="AD169" i="12"/>
  <c r="AD177" i="12"/>
  <c r="AK178" i="12"/>
  <c r="AK170" i="12"/>
  <c r="AC178" i="12"/>
  <c r="AC170" i="12"/>
  <c r="AK160" i="12"/>
  <c r="U452" i="12" s="1"/>
  <c r="AK177" i="12"/>
  <c r="AK169" i="12"/>
  <c r="AC160" i="12"/>
  <c r="M452" i="12" s="1"/>
  <c r="AC169" i="12"/>
  <c r="AC177" i="12"/>
  <c r="AJ178" i="12"/>
  <c r="AJ170" i="12"/>
  <c r="AB178" i="12"/>
  <c r="AB170" i="12"/>
  <c r="AJ160" i="12"/>
  <c r="T452" i="12" s="1"/>
  <c r="AJ169" i="12"/>
  <c r="AJ177" i="12"/>
  <c r="AB160" i="12"/>
  <c r="L452" i="12" s="1"/>
  <c r="AB169" i="12"/>
  <c r="AB177" i="12"/>
  <c r="AI178" i="12"/>
  <c r="AI170" i="12"/>
  <c r="AA178" i="12"/>
  <c r="K238" i="15" s="1"/>
  <c r="AA170" i="12"/>
  <c r="K226" i="15" s="1"/>
  <c r="AI160" i="12"/>
  <c r="S452" i="12" s="1"/>
  <c r="AI169" i="12"/>
  <c r="AI177" i="12"/>
  <c r="AA160" i="12"/>
  <c r="AA177" i="12"/>
  <c r="K237" i="15" s="1"/>
  <c r="AA169" i="12"/>
  <c r="K225" i="15" s="1"/>
  <c r="AH178" i="12"/>
  <c r="AH170" i="12"/>
  <c r="Z178" i="12"/>
  <c r="Z170" i="12"/>
  <c r="AH160" i="12"/>
  <c r="R452" i="12" s="1"/>
  <c r="AH177" i="12"/>
  <c r="AH169" i="12"/>
  <c r="Z160" i="12"/>
  <c r="J452" i="12" s="1"/>
  <c r="Z169" i="12"/>
  <c r="Z177" i="12"/>
  <c r="AO178" i="12"/>
  <c r="AO170" i="12"/>
  <c r="AG178" i="12"/>
  <c r="AG170" i="12"/>
  <c r="AO160" i="12"/>
  <c r="Y452" i="12" s="1"/>
  <c r="AO169" i="12"/>
  <c r="AO177" i="12"/>
  <c r="AG160" i="12"/>
  <c r="Q452" i="12" s="1"/>
  <c r="AG169" i="12"/>
  <c r="AG177" i="12"/>
  <c r="AN178" i="12"/>
  <c r="AN170" i="12"/>
  <c r="AF178" i="12"/>
  <c r="AF170" i="12"/>
  <c r="AN160" i="12"/>
  <c r="X452" i="12" s="1"/>
  <c r="AN169" i="12"/>
  <c r="AN177" i="12"/>
  <c r="AF160" i="12"/>
  <c r="P452" i="12" s="1"/>
  <c r="AF177" i="12"/>
  <c r="AF169" i="12"/>
  <c r="V160" i="12"/>
  <c r="V177" i="12"/>
  <c r="V169" i="12"/>
  <c r="L160" i="12"/>
  <c r="L169" i="12"/>
  <c r="L177" i="12"/>
  <c r="U160" i="12"/>
  <c r="U177" i="12"/>
  <c r="U169" i="12"/>
  <c r="K160" i="12"/>
  <c r="J216" i="15" s="1"/>
  <c r="K177" i="12"/>
  <c r="J237" i="15" s="1"/>
  <c r="K169" i="12"/>
  <c r="J225" i="15" s="1"/>
  <c r="T160" i="12"/>
  <c r="T169" i="12"/>
  <c r="T177" i="12"/>
  <c r="J160" i="12"/>
  <c r="J169" i="12"/>
  <c r="J177" i="12"/>
  <c r="S160" i="12"/>
  <c r="S169" i="12"/>
  <c r="S177" i="12"/>
  <c r="P160" i="12"/>
  <c r="P169" i="12"/>
  <c r="P177" i="12"/>
  <c r="Y160" i="12"/>
  <c r="Y177" i="12"/>
  <c r="Y169" i="12"/>
  <c r="O160" i="12"/>
  <c r="O177" i="12"/>
  <c r="O169" i="12"/>
  <c r="X160" i="12"/>
  <c r="X177" i="12"/>
  <c r="X169" i="12"/>
  <c r="N160" i="12"/>
  <c r="N177" i="12"/>
  <c r="N169" i="12"/>
  <c r="W160" i="12"/>
  <c r="W169" i="12"/>
  <c r="W177" i="12"/>
  <c r="M160" i="12"/>
  <c r="M169" i="12"/>
  <c r="M177" i="12"/>
  <c r="J165" i="12"/>
  <c r="J108" i="12"/>
  <c r="J62" i="12"/>
  <c r="P165" i="12"/>
  <c r="P108" i="12"/>
  <c r="AN37" i="12"/>
  <c r="X376" i="12" s="1"/>
  <c r="AN186" i="12"/>
  <c r="X464" i="12" s="1"/>
  <c r="AF37" i="12"/>
  <c r="P376" i="12" s="1"/>
  <c r="AF186" i="12"/>
  <c r="P464" i="12" s="1"/>
  <c r="AL18" i="12"/>
  <c r="AL159" i="12"/>
  <c r="AD18" i="12"/>
  <c r="AD159" i="12"/>
  <c r="AL157" i="12"/>
  <c r="AL17" i="12"/>
  <c r="AL60" i="12"/>
  <c r="AL106" i="12"/>
  <c r="AD157" i="12"/>
  <c r="AD60" i="12"/>
  <c r="AD106" i="12"/>
  <c r="AD17" i="12"/>
  <c r="AK18" i="12"/>
  <c r="AK159" i="12"/>
  <c r="AC18" i="12"/>
  <c r="AC159" i="12"/>
  <c r="AK157" i="12"/>
  <c r="AK60" i="12"/>
  <c r="AK17" i="12"/>
  <c r="AK106" i="12"/>
  <c r="AC157" i="12"/>
  <c r="AC60" i="12"/>
  <c r="AC106" i="12"/>
  <c r="AC17" i="12"/>
  <c r="AJ18" i="12"/>
  <c r="AJ159" i="12"/>
  <c r="AB18" i="12"/>
  <c r="AB159" i="12"/>
  <c r="AJ157" i="12"/>
  <c r="AJ17" i="12"/>
  <c r="AJ60" i="12"/>
  <c r="AJ106" i="12"/>
  <c r="AB157" i="12"/>
  <c r="AB60" i="12"/>
  <c r="AB106" i="12"/>
  <c r="AB17" i="12"/>
  <c r="AK37" i="12"/>
  <c r="AK186" i="12"/>
  <c r="U464" i="12" s="1"/>
  <c r="AI18" i="12"/>
  <c r="AI159" i="12"/>
  <c r="AA18" i="12"/>
  <c r="K24" i="15" s="1"/>
  <c r="AA159" i="12"/>
  <c r="K215" i="15" s="1"/>
  <c r="AI157" i="12"/>
  <c r="AI17" i="12"/>
  <c r="AI106" i="12"/>
  <c r="AI60" i="12"/>
  <c r="AA157" i="12"/>
  <c r="K213" i="15" s="1"/>
  <c r="AA106" i="12"/>
  <c r="K140" i="15" s="1"/>
  <c r="AA17" i="12"/>
  <c r="K23" i="15" s="1"/>
  <c r="AA60" i="12"/>
  <c r="K78" i="15" s="1"/>
  <c r="AB37" i="12"/>
  <c r="L376" i="12" s="1"/>
  <c r="AB186" i="12"/>
  <c r="L464" i="12" s="1"/>
  <c r="AH18" i="12"/>
  <c r="AH159" i="12"/>
  <c r="AH157" i="12"/>
  <c r="AH106" i="12"/>
  <c r="AH17" i="12"/>
  <c r="AH60" i="12"/>
  <c r="Z157" i="12"/>
  <c r="Z60" i="12"/>
  <c r="Z106" i="12"/>
  <c r="Z17" i="12"/>
  <c r="AO18" i="12"/>
  <c r="AO159" i="12"/>
  <c r="AG18" i="12"/>
  <c r="AG159" i="12"/>
  <c r="AO157" i="12"/>
  <c r="AO60" i="12"/>
  <c r="AO17" i="12"/>
  <c r="AO106" i="12"/>
  <c r="AG157" i="12"/>
  <c r="AG106" i="12"/>
  <c r="AG17" i="12"/>
  <c r="AG60" i="12"/>
  <c r="AN18" i="12"/>
  <c r="AN159" i="12"/>
  <c r="AF18" i="12"/>
  <c r="AF159" i="12"/>
  <c r="AN157" i="12"/>
  <c r="AN17" i="12"/>
  <c r="AN106" i="12"/>
  <c r="AN60" i="12"/>
  <c r="AF157" i="12"/>
  <c r="AF17" i="12"/>
  <c r="AF106" i="12"/>
  <c r="AF60" i="12"/>
  <c r="J110" i="12"/>
  <c r="AO37" i="12"/>
  <c r="Y376" i="12" s="1"/>
  <c r="AO186" i="12"/>
  <c r="Y464" i="12" s="1"/>
  <c r="AG37" i="12"/>
  <c r="Q376" i="12" s="1"/>
  <c r="AG186" i="12"/>
  <c r="Q464" i="12" s="1"/>
  <c r="AM18" i="12"/>
  <c r="AM159" i="12"/>
  <c r="AE18" i="12"/>
  <c r="AE159" i="12"/>
  <c r="AM157" i="12"/>
  <c r="AM60" i="12"/>
  <c r="AM17" i="12"/>
  <c r="AM106" i="12"/>
  <c r="AE157" i="12"/>
  <c r="AE60" i="12"/>
  <c r="AE17" i="12"/>
  <c r="AE106" i="12"/>
  <c r="Z20" i="12"/>
  <c r="I45" i="15"/>
  <c r="H19" i="15"/>
  <c r="G20" i="15"/>
  <c r="U376" i="12"/>
  <c r="U372" i="12"/>
  <c r="M372" i="12"/>
  <c r="Y372" i="12"/>
  <c r="X372" i="12"/>
  <c r="P372" i="12"/>
  <c r="N372" i="12"/>
  <c r="G26" i="12"/>
  <c r="BA7" i="1"/>
  <c r="AH134" i="12"/>
  <c r="AH41" i="12"/>
  <c r="AH87" i="12"/>
  <c r="Z134" i="12"/>
  <c r="Z41" i="12"/>
  <c r="Z87" i="12"/>
  <c r="AH131" i="12"/>
  <c r="AH85" i="12"/>
  <c r="AH39" i="12"/>
  <c r="Z131" i="12"/>
  <c r="Z85" i="12"/>
  <c r="Z39" i="12"/>
  <c r="AH45" i="12"/>
  <c r="AH138" i="12"/>
  <c r="Z45" i="12"/>
  <c r="Z138" i="12"/>
  <c r="AN135" i="12"/>
  <c r="AN48" i="12"/>
  <c r="AN42" i="12"/>
  <c r="AF135" i="12"/>
  <c r="AF42" i="12"/>
  <c r="AF48" i="12"/>
  <c r="AO134" i="12"/>
  <c r="AO41" i="12"/>
  <c r="AO87" i="12"/>
  <c r="AG134" i="12"/>
  <c r="AG87" i="12"/>
  <c r="AG41" i="12"/>
  <c r="AO131" i="12"/>
  <c r="AO85" i="12"/>
  <c r="AO39" i="12"/>
  <c r="AG131" i="12"/>
  <c r="AG39" i="12"/>
  <c r="AG85" i="12"/>
  <c r="AO45" i="12"/>
  <c r="AO138" i="12"/>
  <c r="AG45" i="12"/>
  <c r="AG138" i="12"/>
  <c r="AM135" i="12"/>
  <c r="AM42" i="12"/>
  <c r="AM48" i="12"/>
  <c r="AE135" i="12"/>
  <c r="AE42" i="12"/>
  <c r="AE48" i="12"/>
  <c r="AN134" i="12"/>
  <c r="AN41" i="12"/>
  <c r="AN87" i="12"/>
  <c r="AF134" i="12"/>
  <c r="AF41" i="12"/>
  <c r="AF87" i="12"/>
  <c r="AN131" i="12"/>
  <c r="AN39" i="12"/>
  <c r="AN85" i="12"/>
  <c r="AF131" i="12"/>
  <c r="AF39" i="12"/>
  <c r="AF85" i="12"/>
  <c r="AN45" i="12"/>
  <c r="AN138" i="12"/>
  <c r="AF45" i="12"/>
  <c r="AF138" i="12"/>
  <c r="AL135" i="12"/>
  <c r="AL42" i="12"/>
  <c r="AL48" i="12"/>
  <c r="AD135" i="12"/>
  <c r="AD48" i="12"/>
  <c r="AD42" i="12"/>
  <c r="AM134" i="12"/>
  <c r="AM41" i="12"/>
  <c r="AM87" i="12"/>
  <c r="AE134" i="12"/>
  <c r="AE87" i="12"/>
  <c r="AE41" i="12"/>
  <c r="AM131" i="12"/>
  <c r="AM39" i="12"/>
  <c r="AM85" i="12"/>
  <c r="AE131" i="12"/>
  <c r="AE85" i="12"/>
  <c r="AE39" i="12"/>
  <c r="AM45" i="12"/>
  <c r="AM138" i="12"/>
  <c r="AE45" i="12"/>
  <c r="AE138" i="12"/>
  <c r="AK135" i="12"/>
  <c r="AK42" i="12"/>
  <c r="AK48" i="12"/>
  <c r="AC135" i="12"/>
  <c r="AC48" i="12"/>
  <c r="AC42" i="12"/>
  <c r="AL134" i="12"/>
  <c r="AL41" i="12"/>
  <c r="AL87" i="12"/>
  <c r="AD134" i="12"/>
  <c r="AD41" i="12"/>
  <c r="AD87" i="12"/>
  <c r="AL131" i="12"/>
  <c r="AL85" i="12"/>
  <c r="AL39" i="12"/>
  <c r="AD131" i="12"/>
  <c r="AD39" i="12"/>
  <c r="AD85" i="12"/>
  <c r="AL45" i="12"/>
  <c r="AL138" i="12"/>
  <c r="AD45" i="12"/>
  <c r="AD138" i="12"/>
  <c r="AJ135" i="12"/>
  <c r="AJ48" i="12"/>
  <c r="AJ42" i="12"/>
  <c r="AB135" i="12"/>
  <c r="AB48" i="12"/>
  <c r="AB42" i="12"/>
  <c r="P24" i="12"/>
  <c r="AK134" i="12"/>
  <c r="AK41" i="12"/>
  <c r="AK87" i="12"/>
  <c r="AC134" i="12"/>
  <c r="AC87" i="12"/>
  <c r="AC41" i="12"/>
  <c r="AK131" i="12"/>
  <c r="AK39" i="12"/>
  <c r="AK85" i="12"/>
  <c r="AC131" i="12"/>
  <c r="AC39" i="12"/>
  <c r="AC85" i="12"/>
  <c r="AK45" i="12"/>
  <c r="AK138" i="12"/>
  <c r="AC45" i="12"/>
  <c r="AC138" i="12"/>
  <c r="AI135" i="12"/>
  <c r="AI48" i="12"/>
  <c r="AI42" i="12"/>
  <c r="AA135" i="12"/>
  <c r="K179" i="15" s="1"/>
  <c r="AA42" i="12"/>
  <c r="K54" i="15" s="1"/>
  <c r="AA48" i="12"/>
  <c r="K62" i="15" s="1"/>
  <c r="AJ134" i="12"/>
  <c r="AJ41" i="12"/>
  <c r="AJ87" i="12"/>
  <c r="AB134" i="12"/>
  <c r="AB41" i="12"/>
  <c r="AB87" i="12"/>
  <c r="AJ131" i="12"/>
  <c r="AJ39" i="12"/>
  <c r="AJ85" i="12"/>
  <c r="AB131" i="12"/>
  <c r="AB85" i="12"/>
  <c r="AB39" i="12"/>
  <c r="AJ45" i="12"/>
  <c r="AJ138" i="12"/>
  <c r="AB45" i="12"/>
  <c r="AB138" i="12"/>
  <c r="AH135" i="12"/>
  <c r="AH42" i="12"/>
  <c r="AH48" i="12"/>
  <c r="Z135" i="12"/>
  <c r="Z48" i="12"/>
  <c r="Z42" i="12"/>
  <c r="AI134" i="12"/>
  <c r="AI41" i="12"/>
  <c r="AI87" i="12"/>
  <c r="AA134" i="12"/>
  <c r="K178" i="15" s="1"/>
  <c r="AA87" i="12"/>
  <c r="K113" i="15" s="1"/>
  <c r="AA41" i="12"/>
  <c r="K53" i="15" s="1"/>
  <c r="AI131" i="12"/>
  <c r="AI85" i="12"/>
  <c r="AI39" i="12"/>
  <c r="AA131" i="12"/>
  <c r="K175" i="15" s="1"/>
  <c r="AA39" i="12"/>
  <c r="K51" i="15" s="1"/>
  <c r="AA85" i="12"/>
  <c r="K111" i="15" s="1"/>
  <c r="AI45" i="12"/>
  <c r="AI138" i="12"/>
  <c r="AA45" i="12"/>
  <c r="K59" i="15" s="1"/>
  <c r="AA138" i="12"/>
  <c r="K184" i="15" s="1"/>
  <c r="AO135" i="12"/>
  <c r="AO42" i="12"/>
  <c r="AO48" i="12"/>
  <c r="AG135" i="12"/>
  <c r="AG42" i="12"/>
  <c r="AG48" i="12"/>
  <c r="Q134" i="12"/>
  <c r="Q87" i="12"/>
  <c r="Q41" i="12"/>
  <c r="Q45" i="12"/>
  <c r="Q138" i="12"/>
  <c r="Q131" i="12"/>
  <c r="Q39" i="12"/>
  <c r="Q85" i="12"/>
  <c r="Q135" i="12"/>
  <c r="Q42" i="12"/>
  <c r="Q48" i="12"/>
  <c r="R134" i="12"/>
  <c r="R87" i="12"/>
  <c r="R41" i="12"/>
  <c r="R45" i="12"/>
  <c r="R138" i="12"/>
  <c r="R131" i="12"/>
  <c r="R39" i="12"/>
  <c r="R85" i="12"/>
  <c r="R135" i="12"/>
  <c r="R42" i="12"/>
  <c r="R48" i="12"/>
  <c r="J297" i="12"/>
  <c r="J303" i="12"/>
  <c r="I68" i="12"/>
  <c r="H22" i="12"/>
  <c r="I81" i="12"/>
  <c r="G35" i="12"/>
  <c r="U108" i="12"/>
  <c r="U62" i="12"/>
  <c r="L108" i="12"/>
  <c r="L62" i="12"/>
  <c r="AK108" i="12"/>
  <c r="AK62" i="12"/>
  <c r="AC108" i="12"/>
  <c r="AC62" i="12"/>
  <c r="M108" i="12"/>
  <c r="M62" i="12"/>
  <c r="N72" i="12"/>
  <c r="AJ108" i="12"/>
  <c r="AJ62" i="12"/>
  <c r="AB108" i="12"/>
  <c r="AB62" i="12"/>
  <c r="V108" i="12"/>
  <c r="V62" i="12"/>
  <c r="T108" i="12"/>
  <c r="T62" i="12"/>
  <c r="K108" i="12"/>
  <c r="J144" i="15" s="1"/>
  <c r="K62" i="12"/>
  <c r="J82" i="15" s="1"/>
  <c r="W72" i="12"/>
  <c r="S108" i="12"/>
  <c r="S62" i="12"/>
  <c r="H25" i="12"/>
  <c r="AI108" i="12"/>
  <c r="AI62" i="12"/>
  <c r="AA108" i="12"/>
  <c r="K144" i="15" s="1"/>
  <c r="AA62" i="12"/>
  <c r="K82" i="15" s="1"/>
  <c r="Z18" i="12"/>
  <c r="AH108" i="12"/>
  <c r="AH62" i="12"/>
  <c r="Z108" i="12"/>
  <c r="Z62" i="12"/>
  <c r="P62" i="12"/>
  <c r="AO108" i="12"/>
  <c r="AO62" i="12"/>
  <c r="AG108" i="12"/>
  <c r="AG62" i="12"/>
  <c r="Y108" i="12"/>
  <c r="Y62" i="12"/>
  <c r="X108" i="12"/>
  <c r="X62" i="12"/>
  <c r="O108" i="12"/>
  <c r="O62" i="12"/>
  <c r="AN108" i="12"/>
  <c r="AN62" i="12"/>
  <c r="AF108" i="12"/>
  <c r="AF62" i="12"/>
  <c r="Q108" i="12"/>
  <c r="Q62" i="12"/>
  <c r="N108" i="12"/>
  <c r="N62" i="12"/>
  <c r="AM108" i="12"/>
  <c r="AM62" i="12"/>
  <c r="AE108" i="12"/>
  <c r="AE62" i="12"/>
  <c r="R108" i="12"/>
  <c r="R62" i="12"/>
  <c r="W108" i="12"/>
  <c r="W62" i="12"/>
  <c r="AL108" i="12"/>
  <c r="AL62" i="12"/>
  <c r="AD108" i="12"/>
  <c r="AD62" i="12"/>
  <c r="AA20" i="12"/>
  <c r="K26" i="15" s="1"/>
  <c r="AI20" i="12"/>
  <c r="K20" i="12"/>
  <c r="J26" i="15" s="1"/>
  <c r="S20" i="12"/>
  <c r="AB20" i="12"/>
  <c r="AJ20" i="12"/>
  <c r="L20" i="12"/>
  <c r="T20" i="12"/>
  <c r="AM20" i="12"/>
  <c r="AC20" i="12"/>
  <c r="AK20" i="12"/>
  <c r="M20" i="12"/>
  <c r="U20" i="12"/>
  <c r="AL20" i="12"/>
  <c r="N20" i="12"/>
  <c r="AE20" i="12"/>
  <c r="W20" i="12"/>
  <c r="AH20" i="12"/>
  <c r="AD20" i="12"/>
  <c r="V20" i="12"/>
  <c r="O20" i="12"/>
  <c r="J20" i="12"/>
  <c r="AF20" i="12"/>
  <c r="AN20" i="12"/>
  <c r="P20" i="12"/>
  <c r="X20" i="12"/>
  <c r="Y20" i="12"/>
  <c r="R20" i="12"/>
  <c r="AG20" i="12"/>
  <c r="AO20" i="12"/>
  <c r="Q20" i="12"/>
  <c r="BA37" i="1"/>
  <c r="U24" i="12"/>
  <c r="P72" i="12"/>
  <c r="S24" i="12"/>
  <c r="X72" i="12"/>
  <c r="O72" i="12"/>
  <c r="M72" i="12"/>
  <c r="U72" i="12"/>
  <c r="L72" i="12"/>
  <c r="S72" i="12"/>
  <c r="Y72" i="12"/>
  <c r="AN72" i="12"/>
  <c r="AF72" i="12"/>
  <c r="AV13" i="1"/>
  <c r="AN123" i="12"/>
  <c r="X413" i="12" s="1"/>
  <c r="AN78" i="12"/>
  <c r="X384" i="12" s="1"/>
  <c r="BD13" i="1"/>
  <c r="W102" i="12"/>
  <c r="W110" i="12"/>
  <c r="W64" i="12"/>
  <c r="AM129" i="12"/>
  <c r="AM83" i="12"/>
  <c r="AE129" i="12"/>
  <c r="AE83" i="12"/>
  <c r="AM72" i="12"/>
  <c r="AE72" i="12"/>
  <c r="AM136" i="12"/>
  <c r="AM89" i="12"/>
  <c r="AE136" i="12"/>
  <c r="AE89" i="12"/>
  <c r="AL96" i="12"/>
  <c r="AL53" i="12"/>
  <c r="AL7" i="12"/>
  <c r="AD96" i="12"/>
  <c r="AD53" i="12"/>
  <c r="AD7" i="12"/>
  <c r="AK24" i="12"/>
  <c r="AC24" i="12"/>
  <c r="AK102" i="12"/>
  <c r="AK110" i="12"/>
  <c r="AK13" i="12"/>
  <c r="AK64" i="12"/>
  <c r="AC102" i="12"/>
  <c r="AC13" i="12"/>
  <c r="AC110" i="12"/>
  <c r="AC64" i="12"/>
  <c r="AE43" i="12"/>
  <c r="AZ6" i="1"/>
  <c r="BC13" i="1"/>
  <c r="AT13" i="1"/>
  <c r="Y24" i="12"/>
  <c r="O24" i="12"/>
  <c r="BG6" i="1"/>
  <c r="AX6" i="1"/>
  <c r="V102" i="12"/>
  <c r="V110" i="12"/>
  <c r="V64" i="12"/>
  <c r="N102" i="12"/>
  <c r="N110" i="12"/>
  <c r="N64" i="12"/>
  <c r="AL122" i="12"/>
  <c r="V412" i="12" s="1"/>
  <c r="AL77" i="12"/>
  <c r="V383" i="12" s="1"/>
  <c r="AD122" i="12"/>
  <c r="N412" i="12" s="1"/>
  <c r="AD77" i="12"/>
  <c r="N383" i="12" s="1"/>
  <c r="AL123" i="12"/>
  <c r="V413" i="12" s="1"/>
  <c r="AL78" i="12"/>
  <c r="V384" i="12" s="1"/>
  <c r="AD123" i="12"/>
  <c r="N413" i="12" s="1"/>
  <c r="AD78" i="12"/>
  <c r="N384" i="12" s="1"/>
  <c r="AL129" i="12"/>
  <c r="AL83" i="12"/>
  <c r="AD129" i="12"/>
  <c r="AD83" i="12"/>
  <c r="AL72" i="12"/>
  <c r="AD72" i="12"/>
  <c r="AL136" i="12"/>
  <c r="AL89" i="12"/>
  <c r="AD136" i="12"/>
  <c r="AD89" i="12"/>
  <c r="AK96" i="12"/>
  <c r="AK53" i="12"/>
  <c r="AK7" i="12"/>
  <c r="AC96" i="12"/>
  <c r="AC53" i="12"/>
  <c r="AC7" i="12"/>
  <c r="AJ24" i="12"/>
  <c r="AB24" i="12"/>
  <c r="AJ102" i="12"/>
  <c r="AJ110" i="12"/>
  <c r="AJ13" i="12"/>
  <c r="AJ64" i="12"/>
  <c r="AB110" i="12"/>
  <c r="AB13" i="12"/>
  <c r="AB102" i="12"/>
  <c r="AB64" i="12"/>
  <c r="Q136" i="12"/>
  <c r="Q89" i="12"/>
  <c r="Q43" i="12"/>
  <c r="BH6" i="1"/>
  <c r="AE122" i="12"/>
  <c r="O412" i="12" s="1"/>
  <c r="AE77" i="12"/>
  <c r="O383" i="12" s="1"/>
  <c r="X24" i="12"/>
  <c r="AC122" i="12"/>
  <c r="M412" i="12" s="1"/>
  <c r="AC77" i="12"/>
  <c r="M383" i="12" s="1"/>
  <c r="AK123" i="12"/>
  <c r="U413" i="12" s="1"/>
  <c r="AK78" i="12"/>
  <c r="U384" i="12" s="1"/>
  <c r="AC123" i="12"/>
  <c r="M413" i="12" s="1"/>
  <c r="AC78" i="12"/>
  <c r="M384" i="12" s="1"/>
  <c r="AK129" i="12"/>
  <c r="AK83" i="12"/>
  <c r="AC129" i="12"/>
  <c r="AC83" i="12"/>
  <c r="AK72" i="12"/>
  <c r="AC72" i="12"/>
  <c r="AK136" i="12"/>
  <c r="AK89" i="12"/>
  <c r="AC136" i="12"/>
  <c r="AC89" i="12"/>
  <c r="AJ96" i="12"/>
  <c r="AJ53" i="12"/>
  <c r="AJ7" i="12"/>
  <c r="AB96" i="12"/>
  <c r="AB53" i="12"/>
  <c r="AB7" i="12"/>
  <c r="AI24" i="12"/>
  <c r="AA24" i="12"/>
  <c r="K32" i="15" s="1"/>
  <c r="AI102" i="12"/>
  <c r="AI110" i="12"/>
  <c r="AI13" i="12"/>
  <c r="AI64" i="12"/>
  <c r="AA102" i="12"/>
  <c r="K136" i="15" s="1"/>
  <c r="AA110" i="12"/>
  <c r="K146" i="15" s="1"/>
  <c r="AA13" i="12"/>
  <c r="K17" i="15" s="1"/>
  <c r="AA64" i="12"/>
  <c r="K84" i="15" s="1"/>
  <c r="Q129" i="12"/>
  <c r="Q83" i="12"/>
  <c r="Q24" i="12"/>
  <c r="R136" i="12"/>
  <c r="R89" i="12"/>
  <c r="AC37" i="12"/>
  <c r="AL43" i="12"/>
  <c r="AY6" i="1"/>
  <c r="AM123" i="12"/>
  <c r="W413" i="12" s="1"/>
  <c r="AM78" i="12"/>
  <c r="W384" i="12" s="1"/>
  <c r="N24" i="12"/>
  <c r="U102" i="12"/>
  <c r="U110" i="12"/>
  <c r="U64" i="12"/>
  <c r="AZ13" i="1"/>
  <c r="M24" i="12"/>
  <c r="L102" i="12"/>
  <c r="L110" i="12"/>
  <c r="L64" i="12"/>
  <c r="AJ122" i="12"/>
  <c r="T412" i="12" s="1"/>
  <c r="AJ77" i="12"/>
  <c r="T383" i="12" s="1"/>
  <c r="AB122" i="12"/>
  <c r="L412" i="12" s="1"/>
  <c r="AB77" i="12"/>
  <c r="L383" i="12" s="1"/>
  <c r="AJ123" i="12"/>
  <c r="T413" i="12" s="1"/>
  <c r="AJ78" i="12"/>
  <c r="T384" i="12" s="1"/>
  <c r="AB123" i="12"/>
  <c r="L413" i="12" s="1"/>
  <c r="AB78" i="12"/>
  <c r="L384" i="12" s="1"/>
  <c r="AJ129" i="12"/>
  <c r="AJ83" i="12"/>
  <c r="AB129" i="12"/>
  <c r="AB83" i="12"/>
  <c r="AJ72" i="12"/>
  <c r="AB72" i="12"/>
  <c r="AJ136" i="12"/>
  <c r="AJ89" i="12"/>
  <c r="AB136" i="12"/>
  <c r="AB89" i="12"/>
  <c r="AI96" i="12"/>
  <c r="AI53" i="12"/>
  <c r="AI7" i="12"/>
  <c r="AA96" i="12"/>
  <c r="K128" i="15" s="1"/>
  <c r="AA53" i="12"/>
  <c r="K69" i="15" s="1"/>
  <c r="AA7" i="12"/>
  <c r="K9" i="15" s="1"/>
  <c r="AH24" i="12"/>
  <c r="Z24" i="12"/>
  <c r="AH13" i="12"/>
  <c r="AH110" i="12"/>
  <c r="AH102" i="12"/>
  <c r="AH64" i="12"/>
  <c r="Z13" i="12"/>
  <c r="Z110" i="12"/>
  <c r="Z102" i="12"/>
  <c r="Z64" i="12"/>
  <c r="R129" i="12"/>
  <c r="R83" i="12"/>
  <c r="R24" i="12"/>
  <c r="AL37" i="12"/>
  <c r="AJ43" i="12"/>
  <c r="R43" i="12"/>
  <c r="AU13" i="1"/>
  <c r="O102" i="12"/>
  <c r="O110" i="12"/>
  <c r="O64" i="12"/>
  <c r="AM122" i="12"/>
  <c r="W412" i="12" s="1"/>
  <c r="AM77" i="12"/>
  <c r="W383" i="12" s="1"/>
  <c r="AE123" i="12"/>
  <c r="O413" i="12" s="1"/>
  <c r="AE78" i="12"/>
  <c r="O384" i="12" s="1"/>
  <c r="BF6" i="1"/>
  <c r="M102" i="12"/>
  <c r="M110" i="12"/>
  <c r="M64" i="12"/>
  <c r="AK122" i="12"/>
  <c r="U412" i="12" s="1"/>
  <c r="AK77" i="12"/>
  <c r="U383" i="12" s="1"/>
  <c r="BI13" i="1"/>
  <c r="W24" i="12"/>
  <c r="BE6" i="1"/>
  <c r="T110" i="12"/>
  <c r="T102" i="12"/>
  <c r="T64" i="12"/>
  <c r="BH13" i="1"/>
  <c r="AY13" i="1"/>
  <c r="V24" i="12"/>
  <c r="L24" i="12"/>
  <c r="S102" i="12"/>
  <c r="S110" i="12"/>
  <c r="S64" i="12"/>
  <c r="K102" i="12"/>
  <c r="J136" i="15" s="1"/>
  <c r="K110" i="12"/>
  <c r="J146" i="15" s="1"/>
  <c r="K64" i="12"/>
  <c r="J84" i="15" s="1"/>
  <c r="T72" i="12"/>
  <c r="K72" i="12"/>
  <c r="J94" i="15" s="1"/>
  <c r="AI122" i="12"/>
  <c r="S412" i="12" s="1"/>
  <c r="AI77" i="12"/>
  <c r="S383" i="12" s="1"/>
  <c r="AA122" i="12"/>
  <c r="AA77" i="12"/>
  <c r="AI123" i="12"/>
  <c r="S413" i="12" s="1"/>
  <c r="AI78" i="12"/>
  <c r="S384" i="12" s="1"/>
  <c r="AA123" i="12"/>
  <c r="AA78" i="12"/>
  <c r="AI129" i="12"/>
  <c r="AI83" i="12"/>
  <c r="AA129" i="12"/>
  <c r="K171" i="15" s="1"/>
  <c r="AA83" i="12"/>
  <c r="K107" i="15" s="1"/>
  <c r="AI72" i="12"/>
  <c r="AA72" i="12"/>
  <c r="K94" i="15" s="1"/>
  <c r="AI136" i="12"/>
  <c r="AI89" i="12"/>
  <c r="AA136" i="12"/>
  <c r="K180" i="15" s="1"/>
  <c r="AA89" i="12"/>
  <c r="K115" i="15" s="1"/>
  <c r="AH96" i="12"/>
  <c r="AH53" i="12"/>
  <c r="AH7" i="12"/>
  <c r="AO24" i="12"/>
  <c r="AG24" i="12"/>
  <c r="AO110" i="12"/>
  <c r="AO13" i="12"/>
  <c r="AO102" i="12"/>
  <c r="AO64" i="12"/>
  <c r="AG110" i="12"/>
  <c r="AG13" i="12"/>
  <c r="AG102" i="12"/>
  <c r="AG64" i="12"/>
  <c r="Q13" i="12"/>
  <c r="Q110" i="12"/>
  <c r="Q102" i="12"/>
  <c r="Q64" i="12"/>
  <c r="AD37" i="12"/>
  <c r="Q37" i="12"/>
  <c r="AB43" i="12"/>
  <c r="X110" i="12"/>
  <c r="X102" i="12"/>
  <c r="X64" i="12"/>
  <c r="AN122" i="12"/>
  <c r="X412" i="12" s="1"/>
  <c r="AN77" i="12"/>
  <c r="X383" i="12" s="1"/>
  <c r="AX13" i="1"/>
  <c r="K24" i="12"/>
  <c r="J32" i="15" s="1"/>
  <c r="AT6" i="1"/>
  <c r="Z122" i="12"/>
  <c r="J412" i="12" s="1"/>
  <c r="Z77" i="12"/>
  <c r="J383" i="12" s="1"/>
  <c r="Z123" i="12"/>
  <c r="J413" i="12" s="1"/>
  <c r="Z78" i="12"/>
  <c r="J384" i="12" s="1"/>
  <c r="AH129" i="12"/>
  <c r="AH83" i="12"/>
  <c r="Z129" i="12"/>
  <c r="Z83" i="12"/>
  <c r="AH72" i="12"/>
  <c r="Z72" i="12"/>
  <c r="AH136" i="12"/>
  <c r="AH89" i="12"/>
  <c r="Z136" i="12"/>
  <c r="Z89" i="12"/>
  <c r="AO96" i="12"/>
  <c r="AO53" i="12"/>
  <c r="AO7" i="12"/>
  <c r="AG96" i="12"/>
  <c r="AG53" i="12"/>
  <c r="AG7" i="12"/>
  <c r="AN24" i="12"/>
  <c r="AF24" i="12"/>
  <c r="AN13" i="12"/>
  <c r="AN102" i="12"/>
  <c r="AN110" i="12"/>
  <c r="AN64" i="12"/>
  <c r="AF13" i="12"/>
  <c r="AF110" i="12"/>
  <c r="AF102" i="12"/>
  <c r="AF64" i="12"/>
  <c r="Q122" i="12"/>
  <c r="Q77" i="12"/>
  <c r="Q72" i="12"/>
  <c r="Q96" i="12"/>
  <c r="Q53" i="12"/>
  <c r="Q7" i="12"/>
  <c r="BA13" i="1"/>
  <c r="R13" i="12"/>
  <c r="R102" i="12"/>
  <c r="R110" i="12"/>
  <c r="R64" i="12"/>
  <c r="AM37" i="12"/>
  <c r="AH37" i="12"/>
  <c r="R37" i="12"/>
  <c r="AI37" i="12"/>
  <c r="Z43" i="12"/>
  <c r="AI43" i="12"/>
  <c r="BG13" i="1"/>
  <c r="J102" i="12"/>
  <c r="J64" i="12"/>
  <c r="J13" i="12"/>
  <c r="AH122" i="12"/>
  <c r="R412" i="12" s="1"/>
  <c r="AH77" i="12"/>
  <c r="R383" i="12" s="1"/>
  <c r="AH123" i="12"/>
  <c r="R413" i="12" s="1"/>
  <c r="AH78" i="12"/>
  <c r="R384" i="12" s="1"/>
  <c r="BF13" i="1"/>
  <c r="AW13" i="1"/>
  <c r="T24" i="12"/>
  <c r="AT7" i="1"/>
  <c r="J24" i="12"/>
  <c r="BB6" i="1"/>
  <c r="Y110" i="12"/>
  <c r="Y102" i="12"/>
  <c r="Y64" i="12"/>
  <c r="AO122" i="12"/>
  <c r="Y412" i="12" s="1"/>
  <c r="AO77" i="12"/>
  <c r="Y383" i="12" s="1"/>
  <c r="AG122" i="12"/>
  <c r="Q412" i="12" s="1"/>
  <c r="AG77" i="12"/>
  <c r="Q383" i="12" s="1"/>
  <c r="AO123" i="12"/>
  <c r="Y413" i="12" s="1"/>
  <c r="AO78" i="12"/>
  <c r="Y384" i="12" s="1"/>
  <c r="AG123" i="12"/>
  <c r="Q413" i="12" s="1"/>
  <c r="AG78" i="12"/>
  <c r="Q384" i="12" s="1"/>
  <c r="AO129" i="12"/>
  <c r="AO83" i="12"/>
  <c r="AG129" i="12"/>
  <c r="AG83" i="12"/>
  <c r="AO72" i="12"/>
  <c r="AG72" i="12"/>
  <c r="AO136" i="12"/>
  <c r="AO89" i="12"/>
  <c r="AG136" i="12"/>
  <c r="AG89" i="12"/>
  <c r="AN96" i="12"/>
  <c r="AN53" i="12"/>
  <c r="AN7" i="12"/>
  <c r="AF96" i="12"/>
  <c r="AF53" i="12"/>
  <c r="AF7" i="12"/>
  <c r="AM24" i="12"/>
  <c r="AE24" i="12"/>
  <c r="AM13" i="12"/>
  <c r="AM102" i="12"/>
  <c r="AM110" i="12"/>
  <c r="AM64" i="12"/>
  <c r="AE13" i="12"/>
  <c r="AE102" i="12"/>
  <c r="AE110" i="12"/>
  <c r="AE64" i="12"/>
  <c r="Q123" i="12"/>
  <c r="Q78" i="12"/>
  <c r="R122" i="12"/>
  <c r="R77" i="12"/>
  <c r="R72" i="12"/>
  <c r="R96" i="12"/>
  <c r="R53" i="12"/>
  <c r="R7" i="12"/>
  <c r="AE37" i="12"/>
  <c r="AA37" i="12"/>
  <c r="K47" i="15" s="1"/>
  <c r="AM43" i="12"/>
  <c r="AA43" i="12"/>
  <c r="K55" i="15" s="1"/>
  <c r="BE13" i="1"/>
  <c r="P102" i="12"/>
  <c r="P110" i="12"/>
  <c r="P64" i="12"/>
  <c r="AF122" i="12"/>
  <c r="P412" i="12" s="1"/>
  <c r="AF77" i="12"/>
  <c r="P383" i="12" s="1"/>
  <c r="AF123" i="12"/>
  <c r="P413" i="12" s="1"/>
  <c r="AF78" i="12"/>
  <c r="P384" i="12" s="1"/>
  <c r="AN129" i="12"/>
  <c r="AN83" i="12"/>
  <c r="AF129" i="12"/>
  <c r="AF83" i="12"/>
  <c r="AN136" i="12"/>
  <c r="AN89" i="12"/>
  <c r="AF136" i="12"/>
  <c r="AF89" i="12"/>
  <c r="AM96" i="12"/>
  <c r="AM53" i="12"/>
  <c r="AM7" i="12"/>
  <c r="AE96" i="12"/>
  <c r="AE53" i="12"/>
  <c r="AE7" i="12"/>
  <c r="AL24" i="12"/>
  <c r="AD24" i="12"/>
  <c r="AL102" i="12"/>
  <c r="AL13" i="12"/>
  <c r="AL110" i="12"/>
  <c r="AL64" i="12"/>
  <c r="AD13" i="12"/>
  <c r="AD102" i="12"/>
  <c r="AD110" i="12"/>
  <c r="AD64" i="12"/>
  <c r="R123" i="12"/>
  <c r="R78" i="12"/>
  <c r="Z37" i="12"/>
  <c r="AJ37" i="12"/>
  <c r="AH43" i="12"/>
  <c r="AG43" i="12"/>
  <c r="CL37" i="1"/>
  <c r="V72" i="12"/>
  <c r="AT37" i="1"/>
  <c r="J72" i="12"/>
  <c r="I22" i="12"/>
  <c r="H29" i="12"/>
  <c r="CK37" i="1"/>
  <c r="BI6" i="1"/>
  <c r="BD37" i="1"/>
  <c r="CA37" i="1"/>
  <c r="BI37" i="1"/>
  <c r="AZ37" i="1"/>
  <c r="AW6" i="1"/>
  <c r="BX37" i="1"/>
  <c r="BO37" i="1"/>
  <c r="BW37" i="1"/>
  <c r="BN37" i="1"/>
  <c r="BF37" i="1"/>
  <c r="CC37" i="1"/>
  <c r="BL37" i="1"/>
  <c r="BB7" i="1"/>
  <c r="BI7" i="1"/>
  <c r="BI5" i="1"/>
  <c r="Y13" i="12"/>
  <c r="BH7" i="1"/>
  <c r="AZ5" i="1"/>
  <c r="P13" i="12"/>
  <c r="AZ7" i="1"/>
  <c r="BH5" i="1"/>
  <c r="X13" i="12"/>
  <c r="AY7" i="1"/>
  <c r="AY5" i="1"/>
  <c r="O13" i="12"/>
  <c r="CD37" i="1"/>
  <c r="BG7" i="1"/>
  <c r="BG5" i="1"/>
  <c r="W13" i="12"/>
  <c r="BF7" i="1"/>
  <c r="AX7" i="1"/>
  <c r="BF5" i="1"/>
  <c r="V13" i="12"/>
  <c r="AX5" i="1"/>
  <c r="N13" i="12"/>
  <c r="BV37" i="1"/>
  <c r="BE7" i="1"/>
  <c r="AT5" i="1"/>
  <c r="AW7" i="1"/>
  <c r="BE5" i="1"/>
  <c r="U13" i="12"/>
  <c r="BD7" i="1"/>
  <c r="AV7" i="1"/>
  <c r="BD6" i="1"/>
  <c r="AV6" i="1"/>
  <c r="BD5" i="1"/>
  <c r="T13" i="12"/>
  <c r="AV5" i="1"/>
  <c r="L13" i="12"/>
  <c r="AX37" i="1"/>
  <c r="CI37" i="1"/>
  <c r="BJ37" i="1"/>
  <c r="AW5" i="1"/>
  <c r="M13" i="12"/>
  <c r="BC7" i="1"/>
  <c r="AU7" i="1"/>
  <c r="BC6" i="1"/>
  <c r="AU6" i="1"/>
  <c r="BC5" i="1"/>
  <c r="S13" i="12"/>
  <c r="AU5" i="1"/>
  <c r="K13" i="12"/>
  <c r="J17" i="15" s="1"/>
  <c r="H15" i="12"/>
  <c r="G16" i="12"/>
  <c r="AA31" i="12"/>
  <c r="K39" i="15" s="1"/>
  <c r="AI31" i="12"/>
  <c r="R31" i="12"/>
  <c r="Z31" i="12"/>
  <c r="AB31" i="12"/>
  <c r="AJ31" i="12"/>
  <c r="AM31" i="12"/>
  <c r="AF31" i="12"/>
  <c r="AC31" i="12"/>
  <c r="AK31" i="12"/>
  <c r="AE31" i="12"/>
  <c r="AO31" i="12"/>
  <c r="Q31" i="12"/>
  <c r="AD31" i="12"/>
  <c r="AL31" i="12"/>
  <c r="AN31" i="12"/>
  <c r="AG31" i="12"/>
  <c r="AH31" i="12"/>
  <c r="AA32" i="12"/>
  <c r="K40" i="15" s="1"/>
  <c r="AI32" i="12"/>
  <c r="R32" i="12"/>
  <c r="AB32" i="12"/>
  <c r="AJ32" i="12"/>
  <c r="AN32" i="12"/>
  <c r="AO32" i="12"/>
  <c r="AC32" i="12"/>
  <c r="AK32" i="12"/>
  <c r="AE32" i="12"/>
  <c r="AF32" i="12"/>
  <c r="AG32" i="12"/>
  <c r="Z32" i="12"/>
  <c r="J353" i="12" s="1"/>
  <c r="AD32" i="12"/>
  <c r="AL32" i="12"/>
  <c r="AH32" i="12"/>
  <c r="AM32" i="12"/>
  <c r="Q32" i="12"/>
  <c r="BQ37" i="1"/>
  <c r="CG37" i="1"/>
  <c r="AW37" i="1"/>
  <c r="BZ37" i="1"/>
  <c r="CH37" i="1"/>
  <c r="BM37" i="1"/>
  <c r="AU37" i="1"/>
  <c r="BK37" i="1"/>
  <c r="BU37" i="1"/>
  <c r="BS37" i="1"/>
  <c r="BY37" i="1"/>
  <c r="AV37" i="1"/>
  <c r="BT37" i="1"/>
  <c r="BE37" i="1"/>
  <c r="CB37" i="1"/>
  <c r="BR37" i="1"/>
  <c r="BC37" i="1"/>
  <c r="CO37" i="1"/>
  <c r="CJ37" i="1"/>
  <c r="CF37" i="1"/>
  <c r="BP37" i="1"/>
  <c r="BH37" i="1"/>
  <c r="CE37" i="1"/>
  <c r="AY37" i="1"/>
  <c r="BG37" i="1"/>
  <c r="CN37" i="1"/>
  <c r="CM37" i="1"/>
  <c r="L3" i="5"/>
  <c r="K3" i="5"/>
  <c r="E3" i="5"/>
  <c r="L5" i="5"/>
  <c r="K5" i="5"/>
  <c r="E5" i="5"/>
  <c r="L4" i="5"/>
  <c r="K4" i="5"/>
  <c r="E4" i="5"/>
  <c r="N29" i="5"/>
  <c r="M29" i="5"/>
  <c r="I29" i="5"/>
  <c r="N31" i="5"/>
  <c r="S458" i="12" l="1"/>
  <c r="K452" i="12"/>
  <c r="K216" i="15"/>
  <c r="K383" i="12"/>
  <c r="K99" i="15"/>
  <c r="K412" i="12"/>
  <c r="K162" i="15"/>
  <c r="K413" i="12"/>
  <c r="K163" i="15"/>
  <c r="K384" i="12"/>
  <c r="K100" i="15"/>
  <c r="X458" i="12"/>
  <c r="J458" i="12"/>
  <c r="T458" i="12"/>
  <c r="O458" i="12"/>
  <c r="V458" i="12"/>
  <c r="M458" i="12"/>
  <c r="Y458" i="12"/>
  <c r="U458" i="12"/>
  <c r="W458" i="12"/>
  <c r="L458" i="12"/>
  <c r="P458" i="12"/>
  <c r="Q458" i="12"/>
  <c r="R458" i="12"/>
  <c r="K458" i="12"/>
  <c r="N458" i="12"/>
  <c r="R353" i="12"/>
  <c r="M353" i="12"/>
  <c r="R352" i="12"/>
  <c r="U352" i="12"/>
  <c r="S352" i="12"/>
  <c r="N353" i="12"/>
  <c r="X353" i="12"/>
  <c r="X352" i="12"/>
  <c r="P352" i="12"/>
  <c r="W353" i="12"/>
  <c r="U353" i="12"/>
  <c r="K353" i="12"/>
  <c r="O352" i="12"/>
  <c r="R270" i="12"/>
  <c r="V353" i="12"/>
  <c r="Y353" i="12"/>
  <c r="Q352" i="12"/>
  <c r="M352" i="12"/>
  <c r="K352" i="12"/>
  <c r="O353" i="12"/>
  <c r="S353" i="12"/>
  <c r="Y352" i="12"/>
  <c r="J352" i="12"/>
  <c r="P353" i="12"/>
  <c r="R271" i="12"/>
  <c r="Q270" i="12"/>
  <c r="L352" i="12"/>
  <c r="T353" i="12"/>
  <c r="V352" i="12"/>
  <c r="W352" i="12"/>
  <c r="Q353" i="12"/>
  <c r="L353" i="12"/>
  <c r="N352" i="12"/>
  <c r="T352" i="12"/>
  <c r="Q271" i="12"/>
  <c r="K374" i="12"/>
  <c r="J374" i="12"/>
  <c r="K423" i="12"/>
  <c r="K407" i="12"/>
  <c r="K393" i="12"/>
  <c r="K406" i="12"/>
  <c r="P404" i="12"/>
  <c r="P405" i="12"/>
  <c r="W376" i="12"/>
  <c r="L372" i="12"/>
  <c r="L403" i="12"/>
  <c r="L402" i="12"/>
  <c r="T405" i="12"/>
  <c r="T404" i="12"/>
  <c r="U433" i="12"/>
  <c r="N404" i="12"/>
  <c r="N405" i="12"/>
  <c r="S438" i="12"/>
  <c r="M407" i="12"/>
  <c r="N406" i="12"/>
  <c r="N438" i="12"/>
  <c r="W378" i="12"/>
  <c r="Q378" i="12"/>
  <c r="S393" i="12"/>
  <c r="T362" i="12"/>
  <c r="N362" i="12"/>
  <c r="W362" i="12"/>
  <c r="X393" i="12"/>
  <c r="Y374" i="12"/>
  <c r="P436" i="12"/>
  <c r="Q372" i="12"/>
  <c r="R404" i="12"/>
  <c r="R405" i="12"/>
  <c r="L433" i="12"/>
  <c r="T436" i="12"/>
  <c r="N436" i="12"/>
  <c r="O404" i="12"/>
  <c r="O405" i="12"/>
  <c r="S406" i="12"/>
  <c r="L407" i="12"/>
  <c r="M406" i="12"/>
  <c r="M438" i="12"/>
  <c r="V407" i="12"/>
  <c r="W406" i="12"/>
  <c r="W438" i="12"/>
  <c r="Q407" i="12"/>
  <c r="R407" i="12"/>
  <c r="Q393" i="12"/>
  <c r="S423" i="12"/>
  <c r="M423" i="12"/>
  <c r="N423" i="12"/>
  <c r="W393" i="12"/>
  <c r="N374" i="12"/>
  <c r="X374" i="12"/>
  <c r="R372" i="12"/>
  <c r="Q404" i="12"/>
  <c r="Q405" i="12"/>
  <c r="N376" i="12"/>
  <c r="O436" i="12"/>
  <c r="L378" i="12"/>
  <c r="U407" i="12"/>
  <c r="V378" i="12"/>
  <c r="P407" i="12"/>
  <c r="Q406" i="12"/>
  <c r="Q438" i="12"/>
  <c r="R378" i="12"/>
  <c r="Q362" i="12"/>
  <c r="R423" i="12"/>
  <c r="S362" i="12"/>
  <c r="M393" i="12"/>
  <c r="V393" i="12"/>
  <c r="W423" i="12"/>
  <c r="M374" i="12"/>
  <c r="T403" i="12"/>
  <c r="T402" i="12"/>
  <c r="V372" i="12"/>
  <c r="V405" i="12"/>
  <c r="V404" i="12"/>
  <c r="T376" i="12"/>
  <c r="P403" i="12"/>
  <c r="P402" i="12"/>
  <c r="Q436" i="12"/>
  <c r="R402" i="12"/>
  <c r="R403" i="12"/>
  <c r="S436" i="12"/>
  <c r="T433" i="12"/>
  <c r="M376" i="12"/>
  <c r="M405" i="12"/>
  <c r="M404" i="12"/>
  <c r="N433" i="12"/>
  <c r="V436" i="12"/>
  <c r="O403" i="12"/>
  <c r="O402" i="12"/>
  <c r="W404" i="12"/>
  <c r="W405" i="12"/>
  <c r="L438" i="12"/>
  <c r="U378" i="12"/>
  <c r="V438" i="12"/>
  <c r="P378" i="12"/>
  <c r="Y407" i="12"/>
  <c r="R438" i="12"/>
  <c r="Q423" i="12"/>
  <c r="R362" i="12"/>
  <c r="L393" i="12"/>
  <c r="M362" i="12"/>
  <c r="V362" i="12"/>
  <c r="P362" i="12"/>
  <c r="V374" i="12"/>
  <c r="X436" i="12"/>
  <c r="R436" i="12"/>
  <c r="S405" i="12"/>
  <c r="S404" i="12"/>
  <c r="N402" i="12"/>
  <c r="N403" i="12"/>
  <c r="S372" i="12"/>
  <c r="P433" i="12"/>
  <c r="Q402" i="12"/>
  <c r="Q403" i="12"/>
  <c r="Y404" i="12"/>
  <c r="Y405" i="12"/>
  <c r="R433" i="12"/>
  <c r="S403" i="12"/>
  <c r="S402" i="12"/>
  <c r="M436" i="12"/>
  <c r="V402" i="12"/>
  <c r="V403" i="12"/>
  <c r="O433" i="12"/>
  <c r="W436" i="12"/>
  <c r="L406" i="12"/>
  <c r="T407" i="12"/>
  <c r="U406" i="12"/>
  <c r="U438" i="12"/>
  <c r="V406" i="12"/>
  <c r="O378" i="12"/>
  <c r="P406" i="12"/>
  <c r="P438" i="12"/>
  <c r="Y378" i="12"/>
  <c r="R406" i="12"/>
  <c r="Y423" i="12"/>
  <c r="R393" i="12"/>
  <c r="L423" i="12"/>
  <c r="U393" i="12"/>
  <c r="V423" i="12"/>
  <c r="P393" i="12"/>
  <c r="S374" i="12"/>
  <c r="L374" i="12"/>
  <c r="U374" i="12"/>
  <c r="X404" i="12"/>
  <c r="X405" i="12"/>
  <c r="X403" i="12"/>
  <c r="X402" i="12"/>
  <c r="W372" i="12"/>
  <c r="Q433" i="12"/>
  <c r="Y436" i="12"/>
  <c r="S376" i="12"/>
  <c r="S433" i="12"/>
  <c r="M403" i="12"/>
  <c r="M402" i="12"/>
  <c r="U405" i="12"/>
  <c r="U404" i="12"/>
  <c r="V433" i="12"/>
  <c r="W402" i="12"/>
  <c r="W403" i="12"/>
  <c r="T378" i="12"/>
  <c r="O407" i="12"/>
  <c r="X407" i="12"/>
  <c r="Y438" i="12"/>
  <c r="Y393" i="12"/>
  <c r="L362" i="12"/>
  <c r="U423" i="12"/>
  <c r="O362" i="12"/>
  <c r="P423" i="12"/>
  <c r="O374" i="12"/>
  <c r="X433" i="12"/>
  <c r="Y402" i="12"/>
  <c r="Y403" i="12"/>
  <c r="T372" i="12"/>
  <c r="L405" i="12"/>
  <c r="L404" i="12"/>
  <c r="M433" i="12"/>
  <c r="U436" i="12"/>
  <c r="O372" i="12"/>
  <c r="W433" i="12"/>
  <c r="S407" i="12"/>
  <c r="T406" i="12"/>
  <c r="T438" i="12"/>
  <c r="N407" i="12"/>
  <c r="O438" i="12"/>
  <c r="X378" i="12"/>
  <c r="Y406" i="12"/>
  <c r="Y362" i="12"/>
  <c r="T423" i="12"/>
  <c r="U362" i="12"/>
  <c r="O423" i="12"/>
  <c r="X423" i="12"/>
  <c r="Q374" i="12"/>
  <c r="R374" i="12"/>
  <c r="T374" i="12"/>
  <c r="O376" i="12"/>
  <c r="Y433" i="12"/>
  <c r="R376" i="12"/>
  <c r="V376" i="12"/>
  <c r="L436" i="12"/>
  <c r="U403" i="12"/>
  <c r="U402" i="12"/>
  <c r="S350" i="12"/>
  <c r="L350" i="12"/>
  <c r="U350" i="12"/>
  <c r="P350" i="12"/>
  <c r="M350" i="12"/>
  <c r="R350" i="12"/>
  <c r="Y350" i="12"/>
  <c r="Q350" i="12"/>
  <c r="N350" i="12"/>
  <c r="V350" i="12"/>
  <c r="W350" i="12"/>
  <c r="O350" i="12"/>
  <c r="X350" i="12"/>
  <c r="T350" i="12"/>
  <c r="S378" i="12"/>
  <c r="M378" i="12"/>
  <c r="N378" i="12"/>
  <c r="O406" i="12"/>
  <c r="W407" i="12"/>
  <c r="X406" i="12"/>
  <c r="X438" i="12"/>
  <c r="T393" i="12"/>
  <c r="N393" i="12"/>
  <c r="O393" i="12"/>
  <c r="X362" i="12"/>
  <c r="W374" i="12"/>
  <c r="P374" i="12"/>
  <c r="J433" i="12"/>
  <c r="K403" i="12"/>
  <c r="K402" i="12"/>
  <c r="K433" i="12"/>
  <c r="K378" i="12"/>
  <c r="J376" i="12"/>
  <c r="K372" i="12"/>
  <c r="J372" i="12"/>
  <c r="K438" i="12"/>
  <c r="K362" i="12"/>
  <c r="K376" i="12"/>
  <c r="J407" i="12"/>
  <c r="J404" i="12"/>
  <c r="J405" i="12"/>
  <c r="K350" i="12"/>
  <c r="J350" i="12"/>
  <c r="J378" i="12"/>
  <c r="J423" i="12"/>
  <c r="J436" i="12"/>
  <c r="K405" i="12"/>
  <c r="K404" i="12"/>
  <c r="J438" i="12"/>
  <c r="J362" i="12"/>
  <c r="J403" i="12"/>
  <c r="J402" i="12"/>
  <c r="K436" i="12"/>
  <c r="J406" i="12"/>
  <c r="J393" i="12"/>
  <c r="U268" i="12"/>
  <c r="O268" i="12"/>
  <c r="S268" i="12"/>
  <c r="K268" i="12"/>
  <c r="X268" i="12"/>
  <c r="V268" i="12"/>
  <c r="P268" i="12"/>
  <c r="R268" i="12"/>
  <c r="L268" i="12"/>
  <c r="W268" i="12"/>
  <c r="T268" i="12"/>
  <c r="N268" i="12"/>
  <c r="Q268" i="12"/>
  <c r="Y268" i="12"/>
  <c r="M268" i="12"/>
  <c r="J268" i="12"/>
  <c r="I34" i="12"/>
  <c r="J273" i="12" s="1"/>
  <c r="I32" i="12"/>
  <c r="I23" i="12"/>
  <c r="I18" i="12"/>
  <c r="I14" i="12"/>
  <c r="I20" i="12"/>
  <c r="I31" i="12"/>
  <c r="I33" i="12"/>
  <c r="I15" i="12"/>
  <c r="I25" i="12"/>
  <c r="I29" i="12"/>
  <c r="I30" i="12"/>
  <c r="J274" i="12" s="1"/>
  <c r="L29" i="5"/>
  <c r="K29" i="5"/>
  <c r="E29" i="5"/>
  <c r="M31" i="5"/>
  <c r="J29" i="5"/>
  <c r="H29" i="5"/>
  <c r="G29" i="5"/>
  <c r="F29" i="5"/>
  <c r="D29" i="5"/>
  <c r="Z50" i="1"/>
  <c r="AD24" i="1"/>
  <c r="AT23" i="1"/>
  <c r="Z45" i="1"/>
  <c r="Z53" i="1"/>
  <c r="Z52" i="1"/>
  <c r="Z47" i="1"/>
  <c r="Q182" i="12" l="1"/>
  <c r="R182" i="12"/>
  <c r="AF182" i="12"/>
  <c r="AC182" i="12"/>
  <c r="AJ182" i="12"/>
  <c r="AB182" i="12"/>
  <c r="AI182" i="12"/>
  <c r="AM182" i="12"/>
  <c r="AA182" i="12"/>
  <c r="K242" i="15" s="1"/>
  <c r="AE182" i="12"/>
  <c r="AL182" i="12"/>
  <c r="AO182" i="12"/>
  <c r="AD182" i="12"/>
  <c r="AH182" i="12"/>
  <c r="AG182" i="12"/>
  <c r="AN182" i="12"/>
  <c r="AK182" i="12"/>
  <c r="Z182" i="12"/>
  <c r="R179" i="12"/>
  <c r="Q179" i="12"/>
  <c r="AD179" i="12"/>
  <c r="N442" i="12" s="1"/>
  <c r="AH179" i="12"/>
  <c r="R442" i="12" s="1"/>
  <c r="AG179" i="12"/>
  <c r="Q442" i="12" s="1"/>
  <c r="AN179" i="12"/>
  <c r="X442" i="12" s="1"/>
  <c r="AK179" i="12"/>
  <c r="U442" i="12" s="1"/>
  <c r="Z179" i="12"/>
  <c r="J442" i="12" s="1"/>
  <c r="AF179" i="12"/>
  <c r="P442" i="12" s="1"/>
  <c r="AC179" i="12"/>
  <c r="M442" i="12" s="1"/>
  <c r="AJ179" i="12"/>
  <c r="T442" i="12" s="1"/>
  <c r="Z121" i="12"/>
  <c r="J411" i="12" s="1"/>
  <c r="AB179" i="12"/>
  <c r="L442" i="12" s="1"/>
  <c r="AI179" i="12"/>
  <c r="S442" i="12" s="1"/>
  <c r="AM179" i="12"/>
  <c r="W442" i="12" s="1"/>
  <c r="AA179" i="12"/>
  <c r="AE179" i="12"/>
  <c r="O442" i="12" s="1"/>
  <c r="AL179" i="12"/>
  <c r="V442" i="12" s="1"/>
  <c r="AO179" i="12"/>
  <c r="Y442" i="12" s="1"/>
  <c r="J280" i="12"/>
  <c r="J281" i="12"/>
  <c r="J275" i="12"/>
  <c r="I26" i="12"/>
  <c r="I35" i="12"/>
  <c r="J74" i="12"/>
  <c r="AC121" i="12"/>
  <c r="AC76" i="12"/>
  <c r="AJ121" i="12"/>
  <c r="AA76" i="12"/>
  <c r="Q121" i="12"/>
  <c r="AO121" i="12"/>
  <c r="R76" i="12"/>
  <c r="AF121" i="12"/>
  <c r="AL121" i="12"/>
  <c r="AJ76" i="12"/>
  <c r="Q76" i="12"/>
  <c r="AO76" i="12"/>
  <c r="AF76" i="12"/>
  <c r="AL76" i="12"/>
  <c r="AB121" i="12"/>
  <c r="AH121" i="12"/>
  <c r="AG121" i="12"/>
  <c r="AM121" i="12"/>
  <c r="AD121" i="12"/>
  <c r="AB76" i="12"/>
  <c r="AH76" i="12"/>
  <c r="AG76" i="12"/>
  <c r="AA121" i="12"/>
  <c r="AE121" i="12"/>
  <c r="AK121" i="12"/>
  <c r="AN121" i="12"/>
  <c r="AN76" i="12"/>
  <c r="AM76" i="12"/>
  <c r="AD76" i="12"/>
  <c r="AK76" i="12"/>
  <c r="Z76" i="12"/>
  <c r="J382" i="12" s="1"/>
  <c r="AI121" i="12"/>
  <c r="R121" i="12"/>
  <c r="AI76" i="12"/>
  <c r="AE76" i="12"/>
  <c r="AA126" i="12"/>
  <c r="K166" i="15" s="1"/>
  <c r="R126" i="12"/>
  <c r="AK126" i="12"/>
  <c r="U414" i="12" s="1"/>
  <c r="AC126" i="12"/>
  <c r="M414" i="12" s="1"/>
  <c r="AJ126" i="12"/>
  <c r="T414" i="12" s="1"/>
  <c r="AF126" i="12"/>
  <c r="P414" i="12" s="1"/>
  <c r="AH126" i="12"/>
  <c r="R414" i="12" s="1"/>
  <c r="AN126" i="12"/>
  <c r="X414" i="12" s="1"/>
  <c r="AO126" i="12"/>
  <c r="Y414" i="12" s="1"/>
  <c r="AL126" i="12"/>
  <c r="V414" i="12" s="1"/>
  <c r="AB126" i="12"/>
  <c r="L414" i="12" s="1"/>
  <c r="Z126" i="12"/>
  <c r="AG126" i="12"/>
  <c r="Q414" i="12" s="1"/>
  <c r="AI126" i="12"/>
  <c r="S414" i="12" s="1"/>
  <c r="AM126" i="12"/>
  <c r="W414" i="12" s="1"/>
  <c r="AE126" i="12"/>
  <c r="O414" i="12" s="1"/>
  <c r="AD126" i="12"/>
  <c r="N414" i="12" s="1"/>
  <c r="Q126" i="12"/>
  <c r="AM124" i="12"/>
  <c r="AD124" i="12"/>
  <c r="Q124" i="12"/>
  <c r="AB79" i="12"/>
  <c r="AM79" i="12"/>
  <c r="AD79" i="12"/>
  <c r="Q79" i="12"/>
  <c r="AH124" i="12"/>
  <c r="AE124" i="12"/>
  <c r="AI124" i="12"/>
  <c r="AH79" i="12"/>
  <c r="AE79" i="12"/>
  <c r="AI79" i="12"/>
  <c r="AN124" i="12"/>
  <c r="AK124" i="12"/>
  <c r="AA124" i="12"/>
  <c r="K164" i="15" s="1"/>
  <c r="AJ79" i="12"/>
  <c r="R79" i="12"/>
  <c r="AF79" i="12"/>
  <c r="AB124" i="12"/>
  <c r="Z124" i="12"/>
  <c r="AO124" i="12"/>
  <c r="AK79" i="12"/>
  <c r="AC124" i="12"/>
  <c r="Z79" i="12"/>
  <c r="AO79" i="12"/>
  <c r="AL124" i="12"/>
  <c r="AC79" i="12"/>
  <c r="AG124" i="12"/>
  <c r="AG79" i="12"/>
  <c r="AN79" i="12"/>
  <c r="R124" i="12"/>
  <c r="AA79" i="12"/>
  <c r="K101" i="15" s="1"/>
  <c r="AF124" i="12"/>
  <c r="AJ124" i="12"/>
  <c r="AL79" i="12"/>
  <c r="AA30" i="12"/>
  <c r="K38" i="15" s="1"/>
  <c r="AE30" i="12"/>
  <c r="AI30" i="12"/>
  <c r="AN30" i="12"/>
  <c r="AM30" i="12"/>
  <c r="R30" i="12"/>
  <c r="AO30" i="12"/>
  <c r="AG30" i="12"/>
  <c r="AF30" i="12"/>
  <c r="AK30" i="12"/>
  <c r="Q30" i="12"/>
  <c r="Z30" i="12"/>
  <c r="AB30" i="12"/>
  <c r="AC30" i="12"/>
  <c r="AJ30" i="12"/>
  <c r="AD30" i="12"/>
  <c r="AH30" i="12"/>
  <c r="AL30" i="12"/>
  <c r="AA33" i="12"/>
  <c r="K41" i="15" s="1"/>
  <c r="AE33" i="12"/>
  <c r="AC33" i="12"/>
  <c r="AI33" i="12"/>
  <c r="AK33" i="12"/>
  <c r="AM33" i="12"/>
  <c r="AF33" i="12"/>
  <c r="R33" i="12"/>
  <c r="AN33" i="12"/>
  <c r="AB33" i="12"/>
  <c r="AG33" i="12"/>
  <c r="AO33" i="12"/>
  <c r="AJ33" i="12"/>
  <c r="AD33" i="12"/>
  <c r="Z33" i="12"/>
  <c r="AH33" i="12"/>
  <c r="AL33" i="12"/>
  <c r="Q33" i="12"/>
  <c r="AE26" i="1"/>
  <c r="AF26" i="1"/>
  <c r="AG26" i="1"/>
  <c r="AH26" i="1"/>
  <c r="AI26" i="1"/>
  <c r="AJ26" i="1"/>
  <c r="AM26" i="1"/>
  <c r="AN26" i="1"/>
  <c r="AO26" i="1"/>
  <c r="U154" i="12" s="1"/>
  <c r="U152" i="12" s="1"/>
  <c r="AP26" i="1"/>
  <c r="V154" i="12" s="1"/>
  <c r="V152" i="12" s="1"/>
  <c r="AQ26" i="1"/>
  <c r="W154" i="12" s="1"/>
  <c r="W152" i="12" s="1"/>
  <c r="AR26" i="1"/>
  <c r="AS26" i="1"/>
  <c r="Y154" i="12" s="1"/>
  <c r="Y152" i="12" s="1"/>
  <c r="AD26" i="1"/>
  <c r="Z40" i="1"/>
  <c r="Z49" i="1"/>
  <c r="Z48" i="1"/>
  <c r="Z41" i="1"/>
  <c r="Z9" i="1"/>
  <c r="Z35" i="1"/>
  <c r="Z26" i="1"/>
  <c r="Z17" i="1"/>
  <c r="Z22" i="1"/>
  <c r="Z19" i="1"/>
  <c r="K442" i="12" l="1"/>
  <c r="K239" i="15"/>
  <c r="K411" i="12"/>
  <c r="K161" i="15"/>
  <c r="K382" i="12"/>
  <c r="K98" i="15"/>
  <c r="O154" i="12"/>
  <c r="O152" i="12" s="1"/>
  <c r="M154" i="12"/>
  <c r="M152" i="12" s="1"/>
  <c r="L154" i="12"/>
  <c r="L152" i="12" s="1"/>
  <c r="K154" i="12"/>
  <c r="T154" i="12"/>
  <c r="T152" i="12" s="1"/>
  <c r="R166" i="12"/>
  <c r="Q166" i="12"/>
  <c r="R176" i="12"/>
  <c r="Q176" i="12"/>
  <c r="AB176" i="12"/>
  <c r="AI176" i="12"/>
  <c r="AN176" i="12"/>
  <c r="AM176" i="12"/>
  <c r="AL166" i="12"/>
  <c r="V456" i="12" s="1"/>
  <c r="AI166" i="12"/>
  <c r="S456" i="12" s="1"/>
  <c r="AH166" i="12"/>
  <c r="R456" i="12" s="1"/>
  <c r="AF166" i="12"/>
  <c r="P456" i="12" s="1"/>
  <c r="AE166" i="12"/>
  <c r="O456" i="12" s="1"/>
  <c r="AL176" i="12"/>
  <c r="AA176" i="12"/>
  <c r="K236" i="15" s="1"/>
  <c r="AH176" i="12"/>
  <c r="AO166" i="12"/>
  <c r="Y456" i="12" s="1"/>
  <c r="AF176" i="12"/>
  <c r="AE176" i="12"/>
  <c r="AD176" i="12"/>
  <c r="AK166" i="12"/>
  <c r="U456" i="12" s="1"/>
  <c r="AA166" i="12"/>
  <c r="Z176" i="12"/>
  <c r="AO176" i="12"/>
  <c r="AD166" i="12"/>
  <c r="N456" i="12" s="1"/>
  <c r="AK176" i="12"/>
  <c r="Z166" i="12"/>
  <c r="J456" i="12" s="1"/>
  <c r="AG166" i="12"/>
  <c r="Q456" i="12" s="1"/>
  <c r="AC176" i="12"/>
  <c r="AJ166" i="12"/>
  <c r="T456" i="12" s="1"/>
  <c r="AG176" i="12"/>
  <c r="AC166" i="12"/>
  <c r="M456" i="12" s="1"/>
  <c r="AJ176" i="12"/>
  <c r="AB166" i="12"/>
  <c r="L456" i="12" s="1"/>
  <c r="AN166" i="12"/>
  <c r="X456" i="12" s="1"/>
  <c r="AM166" i="12"/>
  <c r="W456" i="12" s="1"/>
  <c r="R145" i="12"/>
  <c r="Q145" i="12"/>
  <c r="AF145" i="12"/>
  <c r="AB145" i="12"/>
  <c r="AI145" i="12"/>
  <c r="AM145" i="12"/>
  <c r="AA145" i="12"/>
  <c r="K193" i="15" s="1"/>
  <c r="AE145" i="12"/>
  <c r="AL145" i="12"/>
  <c r="AD145" i="12"/>
  <c r="AH145" i="12"/>
  <c r="AO145" i="12"/>
  <c r="AK145" i="12"/>
  <c r="Z145" i="12"/>
  <c r="AG145" i="12"/>
  <c r="AN145" i="12"/>
  <c r="AC145" i="12"/>
  <c r="AJ145" i="12"/>
  <c r="S154" i="12"/>
  <c r="S152" i="12" s="1"/>
  <c r="Q154" i="12"/>
  <c r="Q152" i="12" s="1"/>
  <c r="R154" i="12"/>
  <c r="R152" i="12" s="1"/>
  <c r="AF154" i="12"/>
  <c r="AF152" i="12" s="1"/>
  <c r="AB154" i="12"/>
  <c r="AB152" i="12" s="1"/>
  <c r="AI154" i="12"/>
  <c r="AI152" i="12" s="1"/>
  <c r="AM154" i="12"/>
  <c r="AM152" i="12" s="1"/>
  <c r="AA154" i="12"/>
  <c r="AE154" i="12"/>
  <c r="AE152" i="12" s="1"/>
  <c r="AL154" i="12"/>
  <c r="AL152" i="12" s="1"/>
  <c r="AD154" i="12"/>
  <c r="AD152" i="12" s="1"/>
  <c r="AH154" i="12"/>
  <c r="AH152" i="12" s="1"/>
  <c r="AO154" i="12"/>
  <c r="AO152" i="12" s="1"/>
  <c r="AK154" i="12"/>
  <c r="AK152" i="12" s="1"/>
  <c r="Z154" i="12"/>
  <c r="Z152" i="12" s="1"/>
  <c r="AG154" i="12"/>
  <c r="AG152" i="12" s="1"/>
  <c r="AN154" i="12"/>
  <c r="AN152" i="12" s="1"/>
  <c r="AC154" i="12"/>
  <c r="AC152" i="12" s="1"/>
  <c r="AJ154" i="12"/>
  <c r="AJ152" i="12" s="1"/>
  <c r="J154" i="12"/>
  <c r="J152" i="12" s="1"/>
  <c r="J97" i="12"/>
  <c r="P154" i="12"/>
  <c r="P152" i="12" s="1"/>
  <c r="Q162" i="12"/>
  <c r="R148" i="12"/>
  <c r="Q172" i="12"/>
  <c r="Q148" i="12"/>
  <c r="R172" i="12"/>
  <c r="R162" i="12"/>
  <c r="AE172" i="12"/>
  <c r="O459" i="12" s="1"/>
  <c r="AD162" i="12"/>
  <c r="N453" i="12" s="1"/>
  <c r="AK162" i="12"/>
  <c r="U453" i="12" s="1"/>
  <c r="AH148" i="12"/>
  <c r="AO172" i="12"/>
  <c r="Y459" i="12" s="1"/>
  <c r="AN172" i="12"/>
  <c r="X459" i="12" s="1"/>
  <c r="AD172" i="12"/>
  <c r="N459" i="12" s="1"/>
  <c r="AK148" i="12"/>
  <c r="AJ162" i="12"/>
  <c r="T453" i="12" s="1"/>
  <c r="AH172" i="12"/>
  <c r="R459" i="12" s="1"/>
  <c r="AO148" i="12"/>
  <c r="AN162" i="12"/>
  <c r="X453" i="12" s="1"/>
  <c r="AD148" i="12"/>
  <c r="AK172" i="12"/>
  <c r="U459" i="12" s="1"/>
  <c r="AJ172" i="12"/>
  <c r="T459" i="12" s="1"/>
  <c r="AI162" i="12"/>
  <c r="S453" i="12" s="1"/>
  <c r="Z172" i="12"/>
  <c r="J459" i="12" s="1"/>
  <c r="AG172" i="12"/>
  <c r="Q459" i="12" s="1"/>
  <c r="AN148" i="12"/>
  <c r="AM148" i="12"/>
  <c r="AC162" i="12"/>
  <c r="M453" i="12" s="1"/>
  <c r="AJ148" i="12"/>
  <c r="AI148" i="12"/>
  <c r="Z162" i="12"/>
  <c r="J453" i="12" s="1"/>
  <c r="AG148" i="12"/>
  <c r="AF172" i="12"/>
  <c r="P459" i="12" s="1"/>
  <c r="AM162" i="12"/>
  <c r="W453" i="12" s="1"/>
  <c r="AC148" i="12"/>
  <c r="AB162" i="12"/>
  <c r="L453" i="12" s="1"/>
  <c r="AI172" i="12"/>
  <c r="S459" i="12" s="1"/>
  <c r="Z148" i="12"/>
  <c r="AG162" i="12"/>
  <c r="Q453" i="12" s="1"/>
  <c r="AF162" i="12"/>
  <c r="P453" i="12" s="1"/>
  <c r="AM172" i="12"/>
  <c r="W459" i="12" s="1"/>
  <c r="AL162" i="12"/>
  <c r="V453" i="12" s="1"/>
  <c r="AC172" i="12"/>
  <c r="M459" i="12" s="1"/>
  <c r="AB172" i="12"/>
  <c r="L459" i="12" s="1"/>
  <c r="AA148" i="12"/>
  <c r="K196" i="15" s="1"/>
  <c r="AF148" i="12"/>
  <c r="AE148" i="12"/>
  <c r="AL172" i="12"/>
  <c r="V459" i="12" s="1"/>
  <c r="AB148" i="12"/>
  <c r="AA172" i="12"/>
  <c r="AE162" i="12"/>
  <c r="O453" i="12" s="1"/>
  <c r="AL148" i="12"/>
  <c r="AA162" i="12"/>
  <c r="AH162" i="12"/>
  <c r="R453" i="12" s="1"/>
  <c r="AO162" i="12"/>
  <c r="Y453" i="12" s="1"/>
  <c r="X154" i="12"/>
  <c r="X152" i="12" s="1"/>
  <c r="N154" i="12"/>
  <c r="N152" i="12" s="1"/>
  <c r="J351" i="12"/>
  <c r="K414" i="12"/>
  <c r="K351" i="12"/>
  <c r="N382" i="12"/>
  <c r="Q382" i="12"/>
  <c r="V382" i="12"/>
  <c r="Y411" i="12"/>
  <c r="W382" i="12"/>
  <c r="R382" i="12"/>
  <c r="P382" i="12"/>
  <c r="O382" i="12"/>
  <c r="X382" i="12"/>
  <c r="L382" i="12"/>
  <c r="Y382" i="12"/>
  <c r="X351" i="12"/>
  <c r="V351" i="12"/>
  <c r="O351" i="12"/>
  <c r="P351" i="12"/>
  <c r="T411" i="12"/>
  <c r="S351" i="12"/>
  <c r="U351" i="12"/>
  <c r="R351" i="12"/>
  <c r="N351" i="12"/>
  <c r="W411" i="12"/>
  <c r="T382" i="12"/>
  <c r="M382" i="12"/>
  <c r="T351" i="12"/>
  <c r="Y351" i="12"/>
  <c r="S411" i="12"/>
  <c r="U411" i="12"/>
  <c r="Q411" i="12"/>
  <c r="V411" i="12"/>
  <c r="M411" i="12"/>
  <c r="S382" i="12"/>
  <c r="X411" i="12"/>
  <c r="N411" i="12"/>
  <c r="Q351" i="12"/>
  <c r="O411" i="12"/>
  <c r="R411" i="12"/>
  <c r="P411" i="12"/>
  <c r="M351" i="12"/>
  <c r="L351" i="12"/>
  <c r="W351" i="12"/>
  <c r="U382" i="12"/>
  <c r="L411" i="12"/>
  <c r="J414" i="12"/>
  <c r="R269" i="12"/>
  <c r="Q269" i="12"/>
  <c r="AM73" i="12"/>
  <c r="W385" i="12" s="1"/>
  <c r="AJ73" i="12"/>
  <c r="T385" i="12" s="1"/>
  <c r="AI73" i="12"/>
  <c r="S385" i="12" s="1"/>
  <c r="AH73" i="12"/>
  <c r="R385" i="12" s="1"/>
  <c r="AE73" i="12"/>
  <c r="O385" i="12" s="1"/>
  <c r="AB73" i="12"/>
  <c r="L385" i="12" s="1"/>
  <c r="AA73" i="12"/>
  <c r="K95" i="15" s="1"/>
  <c r="Z73" i="12"/>
  <c r="AO73" i="12"/>
  <c r="Y385" i="12" s="1"/>
  <c r="AK73" i="12"/>
  <c r="U385" i="12" s="1"/>
  <c r="AG73" i="12"/>
  <c r="Q385" i="12" s="1"/>
  <c r="AN73" i="12"/>
  <c r="X385" i="12" s="1"/>
  <c r="AL73" i="12"/>
  <c r="V385" i="12" s="1"/>
  <c r="AC73" i="12"/>
  <c r="M385" i="12" s="1"/>
  <c r="AF73" i="12"/>
  <c r="P385" i="12" s="1"/>
  <c r="AD73" i="12"/>
  <c r="N385" i="12" s="1"/>
  <c r="R73" i="12"/>
  <c r="Q73" i="12"/>
  <c r="AM120" i="12"/>
  <c r="AJ120" i="12"/>
  <c r="AI120" i="12"/>
  <c r="AE120" i="12"/>
  <c r="AB120" i="12"/>
  <c r="AA120" i="12"/>
  <c r="K160" i="15" s="1"/>
  <c r="AH120" i="12"/>
  <c r="R120" i="12"/>
  <c r="Z120" i="12"/>
  <c r="AO120" i="12"/>
  <c r="Q120" i="12"/>
  <c r="AK120" i="12"/>
  <c r="AG120" i="12"/>
  <c r="AN120" i="12"/>
  <c r="AL120" i="12"/>
  <c r="AC120" i="12"/>
  <c r="AF120" i="12"/>
  <c r="AD120" i="12"/>
  <c r="N97" i="12"/>
  <c r="N54" i="12"/>
  <c r="N8" i="12"/>
  <c r="AK103" i="12"/>
  <c r="AB103" i="12"/>
  <c r="AK14" i="12"/>
  <c r="AB14" i="12"/>
  <c r="AG103" i="12"/>
  <c r="AN103" i="12"/>
  <c r="AL103" i="12"/>
  <c r="AC103" i="12"/>
  <c r="AI103" i="12"/>
  <c r="AG14" i="12"/>
  <c r="AN14" i="12"/>
  <c r="AL14" i="12"/>
  <c r="AC14" i="12"/>
  <c r="R103" i="12"/>
  <c r="AI14" i="12"/>
  <c r="AF103" i="12"/>
  <c r="AA103" i="12"/>
  <c r="K137" i="15" s="1"/>
  <c r="AF14" i="12"/>
  <c r="AJ103" i="12"/>
  <c r="AA14" i="12"/>
  <c r="K18" i="15" s="1"/>
  <c r="AD14" i="12"/>
  <c r="AH103" i="12"/>
  <c r="AJ14" i="12"/>
  <c r="AM103" i="12"/>
  <c r="AM14" i="12"/>
  <c r="AE103" i="12"/>
  <c r="Q103" i="12"/>
  <c r="Z103" i="12"/>
  <c r="AO103" i="12"/>
  <c r="Z14" i="12"/>
  <c r="AH14" i="12"/>
  <c r="AO14" i="12"/>
  <c r="AE14" i="12"/>
  <c r="AD103" i="12"/>
  <c r="K127" i="15"/>
  <c r="O97" i="12"/>
  <c r="O54" i="12"/>
  <c r="O8" i="12"/>
  <c r="AM67" i="12"/>
  <c r="AL100" i="12"/>
  <c r="AD113" i="12"/>
  <c r="AK57" i="12"/>
  <c r="AC11" i="12"/>
  <c r="AJ113" i="12"/>
  <c r="AB104" i="12"/>
  <c r="AA58" i="12"/>
  <c r="K76" i="15" s="1"/>
  <c r="Z58" i="12"/>
  <c r="R58" i="12"/>
  <c r="AE100" i="12"/>
  <c r="AL113" i="12"/>
  <c r="AD75" i="12"/>
  <c r="N386" i="12" s="1"/>
  <c r="AK11" i="12"/>
  <c r="AC67" i="12"/>
  <c r="AJ75" i="12"/>
  <c r="T386" i="12" s="1"/>
  <c r="AB75" i="12"/>
  <c r="L386" i="12" s="1"/>
  <c r="AI11" i="12"/>
  <c r="AA67" i="12"/>
  <c r="K89" i="15" s="1"/>
  <c r="AH67" i="12"/>
  <c r="AJ58" i="12"/>
  <c r="AO57" i="12"/>
  <c r="AG57" i="12"/>
  <c r="Q104" i="12"/>
  <c r="AN67" i="12"/>
  <c r="R67" i="12"/>
  <c r="AO58" i="12"/>
  <c r="AM100" i="12"/>
  <c r="AE113" i="12"/>
  <c r="AL57" i="12"/>
  <c r="AD57" i="12"/>
  <c r="AK67" i="12"/>
  <c r="AJ104" i="12"/>
  <c r="AB57" i="12"/>
  <c r="AI67" i="12"/>
  <c r="Z100" i="12"/>
  <c r="AH58" i="12"/>
  <c r="AO104" i="12"/>
  <c r="AG75" i="12"/>
  <c r="Q386" i="12" s="1"/>
  <c r="Q11" i="12"/>
  <c r="AF100" i="12"/>
  <c r="AG58" i="12"/>
  <c r="AM113" i="12"/>
  <c r="AE75" i="12"/>
  <c r="O386" i="12" s="1"/>
  <c r="AL104" i="12"/>
  <c r="AD104" i="12"/>
  <c r="AC100" i="12"/>
  <c r="AJ57" i="12"/>
  <c r="AB11" i="12"/>
  <c r="AA100" i="12"/>
  <c r="K132" i="15" s="1"/>
  <c r="AH100" i="12"/>
  <c r="Z113" i="12"/>
  <c r="AO75" i="12"/>
  <c r="Y386" i="12" s="1"/>
  <c r="AG11" i="12"/>
  <c r="Q67" i="12"/>
  <c r="Q58" i="12"/>
  <c r="AM57" i="12"/>
  <c r="AE104" i="12"/>
  <c r="AL75" i="12"/>
  <c r="V386" i="12" s="1"/>
  <c r="AD11" i="12"/>
  <c r="AK100" i="12"/>
  <c r="AC113" i="12"/>
  <c r="AJ11" i="12"/>
  <c r="AB67" i="12"/>
  <c r="AI100" i="12"/>
  <c r="AA113" i="12"/>
  <c r="K151" i="15" s="1"/>
  <c r="AH113" i="12"/>
  <c r="Z57" i="12"/>
  <c r="AO11" i="12"/>
  <c r="AG67" i="12"/>
  <c r="AK58" i="12"/>
  <c r="AM75" i="12"/>
  <c r="W386" i="12" s="1"/>
  <c r="AD100" i="12"/>
  <c r="AK104" i="12"/>
  <c r="AJ100" i="12"/>
  <c r="AA75" i="12"/>
  <c r="K97" i="15" s="1"/>
  <c r="AH57" i="12"/>
  <c r="AG113" i="12"/>
  <c r="Q57" i="12"/>
  <c r="AF57" i="12"/>
  <c r="R113" i="12"/>
  <c r="R11" i="12"/>
  <c r="AI58" i="12"/>
  <c r="AM11" i="12"/>
  <c r="AD67" i="12"/>
  <c r="AC104" i="12"/>
  <c r="AJ67" i="12"/>
  <c r="AA11" i="12"/>
  <c r="K13" i="15" s="1"/>
  <c r="AH104" i="12"/>
  <c r="AG104" i="12"/>
  <c r="Q75" i="12"/>
  <c r="AD58" i="12"/>
  <c r="AN100" i="12"/>
  <c r="AF104" i="12"/>
  <c r="R104" i="12"/>
  <c r="AO100" i="12"/>
  <c r="AN58" i="12"/>
  <c r="AE57" i="12"/>
  <c r="AC57" i="12"/>
  <c r="AE58" i="12"/>
  <c r="AB100" i="12"/>
  <c r="AI113" i="12"/>
  <c r="AH75" i="12"/>
  <c r="R386" i="12" s="1"/>
  <c r="AB58" i="12"/>
  <c r="AN113" i="12"/>
  <c r="AF75" i="12"/>
  <c r="P386" i="12" s="1"/>
  <c r="R57" i="12"/>
  <c r="AF58" i="12"/>
  <c r="AE11" i="12"/>
  <c r="AC75" i="12"/>
  <c r="M386" i="12" s="1"/>
  <c r="AC58" i="12"/>
  <c r="AB113" i="12"/>
  <c r="AI75" i="12"/>
  <c r="S386" i="12" s="1"/>
  <c r="AH11" i="12"/>
  <c r="AN57" i="12"/>
  <c r="AF11" i="12"/>
  <c r="R75" i="12"/>
  <c r="AE67" i="12"/>
  <c r="AI57" i="12"/>
  <c r="Z104" i="12"/>
  <c r="AF67" i="12"/>
  <c r="AL67" i="12"/>
  <c r="AK75" i="12"/>
  <c r="U386" i="12" s="1"/>
  <c r="AO67" i="12"/>
  <c r="AN104" i="12"/>
  <c r="Z75" i="12"/>
  <c r="AG100" i="12"/>
  <c r="AL11" i="12"/>
  <c r="AN11" i="12"/>
  <c r="Q113" i="12"/>
  <c r="Z11" i="12"/>
  <c r="AF113" i="12"/>
  <c r="AM104" i="12"/>
  <c r="AM58" i="12"/>
  <c r="Z67" i="12"/>
  <c r="R100" i="12"/>
  <c r="AA104" i="12"/>
  <c r="K138" i="15" s="1"/>
  <c r="Q100" i="12"/>
  <c r="AK113" i="12"/>
  <c r="AO113" i="12"/>
  <c r="AN75" i="12"/>
  <c r="X386" i="12" s="1"/>
  <c r="AL58" i="12"/>
  <c r="AI104" i="12"/>
  <c r="AA57" i="12"/>
  <c r="K75" i="15" s="1"/>
  <c r="V97" i="12"/>
  <c r="V54" i="12"/>
  <c r="V8" i="12"/>
  <c r="L97" i="12"/>
  <c r="L54" i="12"/>
  <c r="L8" i="12"/>
  <c r="J54" i="12"/>
  <c r="J8" i="12"/>
  <c r="X97" i="12"/>
  <c r="X54" i="12"/>
  <c r="X8" i="12"/>
  <c r="U97" i="12"/>
  <c r="U54" i="12"/>
  <c r="U8" i="12"/>
  <c r="K97" i="12"/>
  <c r="J129" i="15" s="1"/>
  <c r="J126" i="15" s="1"/>
  <c r="J159" i="15" s="1"/>
  <c r="K54" i="12"/>
  <c r="J70" i="15" s="1"/>
  <c r="K8" i="12"/>
  <c r="J10" i="15" s="1"/>
  <c r="Y97" i="12"/>
  <c r="Y54" i="12"/>
  <c r="Y8" i="12"/>
  <c r="W97" i="12"/>
  <c r="W54" i="12"/>
  <c r="W8" i="12"/>
  <c r="T97" i="12"/>
  <c r="T54" i="12"/>
  <c r="T8" i="12"/>
  <c r="P97" i="12"/>
  <c r="P54" i="12"/>
  <c r="P8" i="12"/>
  <c r="CH26" i="1"/>
  <c r="AE54" i="12"/>
  <c r="AK8" i="12"/>
  <c r="AE8" i="12"/>
  <c r="AC97" i="12"/>
  <c r="AJ97" i="12"/>
  <c r="AA97" i="12"/>
  <c r="K129" i="15" s="1"/>
  <c r="K126" i="15" s="1"/>
  <c r="K159" i="15" s="1"/>
  <c r="Z54" i="12"/>
  <c r="AO97" i="12"/>
  <c r="AF54" i="12"/>
  <c r="AL97" i="12"/>
  <c r="AC54" i="12"/>
  <c r="AJ54" i="12"/>
  <c r="R97" i="12"/>
  <c r="AA54" i="12"/>
  <c r="K70" i="15" s="1"/>
  <c r="Z8" i="12"/>
  <c r="AO54" i="12"/>
  <c r="AF8" i="12"/>
  <c r="AL54" i="12"/>
  <c r="AC8" i="12"/>
  <c r="AJ8" i="12"/>
  <c r="R54" i="12"/>
  <c r="AA8" i="12"/>
  <c r="K10" i="15" s="1"/>
  <c r="AO8" i="12"/>
  <c r="AM97" i="12"/>
  <c r="AL8" i="12"/>
  <c r="Q97" i="12"/>
  <c r="AB97" i="12"/>
  <c r="R8" i="12"/>
  <c r="AG97" i="12"/>
  <c r="AD8" i="12"/>
  <c r="AK97" i="12"/>
  <c r="AB54" i="12"/>
  <c r="AI8" i="12"/>
  <c r="AH97" i="12"/>
  <c r="AM54" i="12"/>
  <c r="AK54" i="12"/>
  <c r="AB8" i="12"/>
  <c r="AN97" i="12"/>
  <c r="AF97" i="12"/>
  <c r="AM8" i="12"/>
  <c r="AN54" i="12"/>
  <c r="AE97" i="12"/>
  <c r="Q54" i="12"/>
  <c r="AN8" i="12"/>
  <c r="Q8" i="12"/>
  <c r="AH54" i="12"/>
  <c r="AH8" i="12"/>
  <c r="Z97" i="12"/>
  <c r="AD54" i="12"/>
  <c r="AI54" i="12"/>
  <c r="AG54" i="12"/>
  <c r="AI97" i="12"/>
  <c r="AD97" i="12"/>
  <c r="AG8" i="12"/>
  <c r="M97" i="12"/>
  <c r="M54" i="12"/>
  <c r="M8" i="12"/>
  <c r="AJ65" i="12"/>
  <c r="AO65" i="12"/>
  <c r="AL65" i="12"/>
  <c r="AB65" i="12"/>
  <c r="AG65" i="12"/>
  <c r="AD65" i="12"/>
  <c r="Q65" i="12"/>
  <c r="R65" i="12"/>
  <c r="AM65" i="12"/>
  <c r="AF65" i="12"/>
  <c r="AC23" i="12"/>
  <c r="AK23" i="12"/>
  <c r="AB23" i="12"/>
  <c r="AM23" i="12"/>
  <c r="AJ23" i="12"/>
  <c r="AE23" i="12"/>
  <c r="AE65" i="12"/>
  <c r="AK65" i="12"/>
  <c r="AH65" i="12"/>
  <c r="AL23" i="12"/>
  <c r="AC65" i="12"/>
  <c r="Z65" i="12"/>
  <c r="AA23" i="12"/>
  <c r="K31" i="15" s="1"/>
  <c r="AF23" i="12"/>
  <c r="AI65" i="12"/>
  <c r="Z23" i="12"/>
  <c r="AN23" i="12"/>
  <c r="AA65" i="12"/>
  <c r="K85" i="15" s="1"/>
  <c r="AH23" i="12"/>
  <c r="Q23" i="12"/>
  <c r="AI23" i="12"/>
  <c r="AO23" i="12"/>
  <c r="AN65" i="12"/>
  <c r="R23" i="12"/>
  <c r="AD23" i="12"/>
  <c r="AG23" i="12"/>
  <c r="AA63" i="12"/>
  <c r="K83" i="15" s="1"/>
  <c r="AM63" i="12"/>
  <c r="AE63" i="12"/>
  <c r="AL63" i="12"/>
  <c r="AI63" i="12"/>
  <c r="AF63" i="12"/>
  <c r="AH63" i="12"/>
  <c r="Z63" i="12"/>
  <c r="AG63" i="12"/>
  <c r="R63" i="12"/>
  <c r="AN63" i="12"/>
  <c r="Q63" i="12"/>
  <c r="AK63" i="12"/>
  <c r="AB63" i="12"/>
  <c r="AJ63" i="12"/>
  <c r="AO63" i="12"/>
  <c r="AC63" i="12"/>
  <c r="AD63" i="12"/>
  <c r="AF71" i="12"/>
  <c r="AO71" i="12"/>
  <c r="AD71" i="12"/>
  <c r="AK109" i="12"/>
  <c r="AB109" i="12"/>
  <c r="AK117" i="12"/>
  <c r="AB117" i="12"/>
  <c r="AG109" i="12"/>
  <c r="AA71" i="12"/>
  <c r="K93" i="15" s="1"/>
  <c r="AN109" i="12"/>
  <c r="AL109" i="12"/>
  <c r="AB71" i="12"/>
  <c r="AG71" i="12"/>
  <c r="AC109" i="12"/>
  <c r="AI109" i="12"/>
  <c r="AJ71" i="12"/>
  <c r="AG117" i="12"/>
  <c r="Z71" i="12"/>
  <c r="AN117" i="12"/>
  <c r="AL117" i="12"/>
  <c r="R109" i="12"/>
  <c r="R71" i="12"/>
  <c r="AE71" i="12"/>
  <c r="AC117" i="12"/>
  <c r="AI117" i="12"/>
  <c r="AF109" i="12"/>
  <c r="Q71" i="12"/>
  <c r="AA109" i="12"/>
  <c r="K145" i="15" s="1"/>
  <c r="AF117" i="12"/>
  <c r="Q109" i="12"/>
  <c r="AK71" i="12"/>
  <c r="AI71" i="12"/>
  <c r="AJ117" i="12"/>
  <c r="AA117" i="12"/>
  <c r="K155" i="15" s="1"/>
  <c r="AH109" i="12"/>
  <c r="AE109" i="12"/>
  <c r="AC71" i="12"/>
  <c r="AD117" i="12"/>
  <c r="AH117" i="12"/>
  <c r="AE117" i="12"/>
  <c r="AO109" i="12"/>
  <c r="Z109" i="12"/>
  <c r="Q117" i="12"/>
  <c r="AM71" i="12"/>
  <c r="Z117" i="12"/>
  <c r="AD109" i="12"/>
  <c r="AL71" i="12"/>
  <c r="AN71" i="12"/>
  <c r="AO117" i="12"/>
  <c r="AM117" i="12"/>
  <c r="AJ109" i="12"/>
  <c r="AH71" i="12"/>
  <c r="AM109" i="12"/>
  <c r="R117" i="12"/>
  <c r="R111" i="12"/>
  <c r="AA118" i="12"/>
  <c r="K156" i="15" s="1"/>
  <c r="AA111" i="12"/>
  <c r="K147" i="15" s="1"/>
  <c r="AH118" i="12"/>
  <c r="AM118" i="12"/>
  <c r="AJ118" i="12"/>
  <c r="AH111" i="12"/>
  <c r="AM111" i="12"/>
  <c r="AJ111" i="12"/>
  <c r="Z118" i="12"/>
  <c r="AO118" i="12"/>
  <c r="AE118" i="12"/>
  <c r="AK118" i="12"/>
  <c r="AB118" i="12"/>
  <c r="Z111" i="12"/>
  <c r="AO111" i="12"/>
  <c r="AE111" i="12"/>
  <c r="AF118" i="12"/>
  <c r="AD111" i="12"/>
  <c r="AB111" i="12"/>
  <c r="AI118" i="12"/>
  <c r="AF111" i="12"/>
  <c r="R118" i="12"/>
  <c r="AK111" i="12"/>
  <c r="Q118" i="12"/>
  <c r="AI111" i="12"/>
  <c r="AC118" i="12"/>
  <c r="Q111" i="12"/>
  <c r="AC111" i="12"/>
  <c r="AN118" i="12"/>
  <c r="AD118" i="12"/>
  <c r="AG118" i="12"/>
  <c r="AN111" i="12"/>
  <c r="AL118" i="12"/>
  <c r="AG111" i="12"/>
  <c r="AL111" i="12"/>
  <c r="AK5" i="12"/>
  <c r="AC5" i="12"/>
  <c r="AA5" i="12"/>
  <c r="K7" i="15" s="1"/>
  <c r="AN5" i="12"/>
  <c r="R5" i="12"/>
  <c r="AF5" i="12"/>
  <c r="AJ5" i="12"/>
  <c r="AO5" i="12"/>
  <c r="AL5" i="12"/>
  <c r="AB5" i="12"/>
  <c r="AG5" i="12"/>
  <c r="Q5" i="12"/>
  <c r="AM5" i="12"/>
  <c r="AD5" i="12"/>
  <c r="AE5" i="12"/>
  <c r="AH5" i="12"/>
  <c r="AI5" i="12"/>
  <c r="Z5" i="12"/>
  <c r="S97" i="12"/>
  <c r="S54" i="12"/>
  <c r="S8" i="12"/>
  <c r="Q14" i="12"/>
  <c r="R14" i="12"/>
  <c r="AA22" i="12"/>
  <c r="K30" i="15" s="1"/>
  <c r="AI22" i="12"/>
  <c r="AB22" i="12"/>
  <c r="AJ22" i="12"/>
  <c r="AK22" i="12"/>
  <c r="AL22" i="12"/>
  <c r="AE22" i="12"/>
  <c r="AN22" i="12"/>
  <c r="AO22" i="12"/>
  <c r="Z22" i="12"/>
  <c r="AC22" i="12"/>
  <c r="AD22" i="12"/>
  <c r="AM22" i="12"/>
  <c r="AF22" i="12"/>
  <c r="AG22" i="12"/>
  <c r="Q22" i="12"/>
  <c r="AH22" i="12"/>
  <c r="R22" i="12"/>
  <c r="AH29" i="12"/>
  <c r="AO29" i="12"/>
  <c r="AE29" i="12"/>
  <c r="AK29" i="12"/>
  <c r="Z29" i="12"/>
  <c r="AG29" i="12"/>
  <c r="AC29" i="12"/>
  <c r="AI29" i="12"/>
  <c r="R29" i="12"/>
  <c r="AA29" i="12"/>
  <c r="K37" i="15" s="1"/>
  <c r="AL29" i="12"/>
  <c r="AJ29" i="12"/>
  <c r="AD29" i="12"/>
  <c r="AB29" i="12"/>
  <c r="AN29" i="12"/>
  <c r="Q29" i="12"/>
  <c r="AF29" i="12"/>
  <c r="AM29" i="12"/>
  <c r="BZ26" i="1"/>
  <c r="AJ15" i="12"/>
  <c r="AM25" i="12"/>
  <c r="AG15" i="12"/>
  <c r="AB25" i="12"/>
  <c r="AB15" i="12"/>
  <c r="AE25" i="12"/>
  <c r="AN15" i="12"/>
  <c r="AN25" i="12"/>
  <c r="AC25" i="12"/>
  <c r="AA25" i="12"/>
  <c r="K33" i="15" s="1"/>
  <c r="AI15" i="12"/>
  <c r="AL25" i="12"/>
  <c r="AF15" i="12"/>
  <c r="AM15" i="12"/>
  <c r="AA15" i="12"/>
  <c r="K19" i="15" s="1"/>
  <c r="AD25" i="12"/>
  <c r="AH25" i="12"/>
  <c r="AO25" i="12"/>
  <c r="Z15" i="12"/>
  <c r="Z25" i="12"/>
  <c r="AG25" i="12"/>
  <c r="AH15" i="12"/>
  <c r="AK25" i="12"/>
  <c r="AI25" i="12"/>
  <c r="AC15" i="12"/>
  <c r="AF25" i="12"/>
  <c r="AO15" i="12"/>
  <c r="AJ25" i="12"/>
  <c r="AK15" i="12"/>
  <c r="AD15" i="12"/>
  <c r="AE15" i="12"/>
  <c r="AL15" i="12"/>
  <c r="CO26" i="1"/>
  <c r="CL26" i="1"/>
  <c r="CN26" i="1"/>
  <c r="CJ26" i="1"/>
  <c r="CG26" i="1"/>
  <c r="CF26" i="1"/>
  <c r="CM26" i="1"/>
  <c r="CE26" i="1"/>
  <c r="CD26" i="1"/>
  <c r="CK26" i="1"/>
  <c r="CC26" i="1"/>
  <c r="CB26" i="1"/>
  <c r="CI26" i="1"/>
  <c r="CA26" i="1"/>
  <c r="AT26" i="1"/>
  <c r="BB26" i="1"/>
  <c r="BJ26" i="1"/>
  <c r="BR26" i="1"/>
  <c r="BI26" i="1"/>
  <c r="BA26" i="1"/>
  <c r="BY26" i="1"/>
  <c r="BQ26" i="1"/>
  <c r="BH26" i="1"/>
  <c r="AZ26" i="1"/>
  <c r="BX26" i="1"/>
  <c r="BP26" i="1"/>
  <c r="BG26" i="1"/>
  <c r="AY26" i="1"/>
  <c r="BW26" i="1"/>
  <c r="BO26" i="1"/>
  <c r="BF26" i="1"/>
  <c r="AX26" i="1"/>
  <c r="BV26" i="1"/>
  <c r="BN26" i="1"/>
  <c r="BE26" i="1"/>
  <c r="AW26" i="1"/>
  <c r="BU26" i="1"/>
  <c r="BM26" i="1"/>
  <c r="BD26" i="1"/>
  <c r="AV26" i="1"/>
  <c r="BT26" i="1"/>
  <c r="BL26" i="1"/>
  <c r="BC26" i="1"/>
  <c r="AU26" i="1"/>
  <c r="BS26" i="1"/>
  <c r="BK26" i="1"/>
  <c r="Z4" i="1"/>
  <c r="K459" i="12" l="1"/>
  <c r="K228" i="15"/>
  <c r="K103" i="15"/>
  <c r="R14" i="15"/>
  <c r="K125" i="15"/>
  <c r="K158" i="15" s="1"/>
  <c r="R21" i="15" s="1"/>
  <c r="K453" i="12"/>
  <c r="K218" i="15"/>
  <c r="R28" i="15"/>
  <c r="K244" i="15"/>
  <c r="K152" i="12"/>
  <c r="J206" i="15" s="1"/>
  <c r="J208" i="15"/>
  <c r="K43" i="15"/>
  <c r="R7" i="15"/>
  <c r="AA152" i="12"/>
  <c r="K206" i="15" s="1"/>
  <c r="K208" i="15"/>
  <c r="K456" i="12"/>
  <c r="K222" i="15"/>
  <c r="Y465" i="12"/>
  <c r="Y463" i="12"/>
  <c r="L465" i="12"/>
  <c r="L463" i="12"/>
  <c r="R463" i="12"/>
  <c r="R465" i="12"/>
  <c r="P465" i="12"/>
  <c r="P463" i="12"/>
  <c r="T463" i="12"/>
  <c r="T465" i="12"/>
  <c r="N465" i="12"/>
  <c r="N463" i="12"/>
  <c r="M465" i="12"/>
  <c r="M463" i="12"/>
  <c r="V465" i="12"/>
  <c r="V463" i="12"/>
  <c r="X463" i="12"/>
  <c r="X465" i="12"/>
  <c r="O465" i="12"/>
  <c r="O463" i="12"/>
  <c r="Q463" i="12"/>
  <c r="Q465" i="12"/>
  <c r="K465" i="12"/>
  <c r="J463" i="12"/>
  <c r="J465" i="12"/>
  <c r="W465" i="12"/>
  <c r="W463" i="12"/>
  <c r="U463" i="12"/>
  <c r="U465" i="12"/>
  <c r="S463" i="12"/>
  <c r="S465" i="12"/>
  <c r="R143" i="12"/>
  <c r="AD143" i="12"/>
  <c r="AJ143" i="12"/>
  <c r="AG143" i="12"/>
  <c r="AN143" i="12"/>
  <c r="AE143" i="12"/>
  <c r="Z143" i="12"/>
  <c r="AM143" i="12"/>
  <c r="AK143" i="12"/>
  <c r="AI143" i="12"/>
  <c r="AO143" i="12"/>
  <c r="AB143" i="12"/>
  <c r="AH143" i="12"/>
  <c r="AF143" i="12"/>
  <c r="AC143" i="12"/>
  <c r="AL143" i="12"/>
  <c r="Q143" i="12"/>
  <c r="Q175" i="12"/>
  <c r="Q184" i="12" s="1"/>
  <c r="Q185" i="12" s="1"/>
  <c r="R175" i="12"/>
  <c r="R184" i="12" s="1"/>
  <c r="R185" i="12" s="1"/>
  <c r="AJ175" i="12"/>
  <c r="AN175" i="12"/>
  <c r="AB175" i="12"/>
  <c r="AF175" i="12"/>
  <c r="J175" i="12"/>
  <c r="Z175" i="12"/>
  <c r="AM175" i="12"/>
  <c r="J116" i="12"/>
  <c r="Z116" i="12"/>
  <c r="J416" i="12" s="1"/>
  <c r="AE175" i="12"/>
  <c r="AI175" i="12"/>
  <c r="AH175" i="12"/>
  <c r="AO175" i="12"/>
  <c r="AL175" i="12"/>
  <c r="AA175" i="12"/>
  <c r="K235" i="15" s="1"/>
  <c r="AG175" i="12"/>
  <c r="AD175" i="12"/>
  <c r="AC175" i="12"/>
  <c r="AK175" i="12"/>
  <c r="K396" i="12"/>
  <c r="K397" i="12"/>
  <c r="K386" i="12"/>
  <c r="K428" i="12"/>
  <c r="K359" i="12"/>
  <c r="K398" i="12"/>
  <c r="K421" i="12"/>
  <c r="K364" i="12"/>
  <c r="K426" i="12"/>
  <c r="K427" i="12"/>
  <c r="K366" i="12"/>
  <c r="K385" i="12"/>
  <c r="K367" i="12"/>
  <c r="O367" i="12"/>
  <c r="T367" i="12"/>
  <c r="V367" i="12"/>
  <c r="Q359" i="12"/>
  <c r="X364" i="12"/>
  <c r="Q427" i="12"/>
  <c r="N427" i="12"/>
  <c r="Y426" i="12"/>
  <c r="X396" i="12"/>
  <c r="O396" i="12"/>
  <c r="S366" i="12"/>
  <c r="T366" i="12"/>
  <c r="S421" i="12"/>
  <c r="M391" i="12"/>
  <c r="M392" i="12"/>
  <c r="T398" i="12"/>
  <c r="U391" i="12"/>
  <c r="U392" i="12"/>
  <c r="M398" i="12"/>
  <c r="L421" i="12"/>
  <c r="Y360" i="12"/>
  <c r="W420" i="12"/>
  <c r="W422" i="12"/>
  <c r="P420" i="12"/>
  <c r="P422" i="12"/>
  <c r="M420" i="12"/>
  <c r="M422" i="12"/>
  <c r="W359" i="12"/>
  <c r="S427" i="12"/>
  <c r="Q426" i="12"/>
  <c r="N396" i="12"/>
  <c r="W396" i="12"/>
  <c r="W366" i="12"/>
  <c r="N397" i="12"/>
  <c r="V392" i="12"/>
  <c r="V391" i="12"/>
  <c r="W391" i="12"/>
  <c r="W392" i="12"/>
  <c r="O398" i="12"/>
  <c r="S428" i="12"/>
  <c r="P421" i="12"/>
  <c r="M421" i="12"/>
  <c r="Q428" i="12"/>
  <c r="Q398" i="12"/>
  <c r="M428" i="12"/>
  <c r="N421" i="12"/>
  <c r="Y421" i="12"/>
  <c r="T428" i="12"/>
  <c r="R360" i="12"/>
  <c r="T360" i="12"/>
  <c r="S360" i="12"/>
  <c r="V422" i="12"/>
  <c r="V420" i="12"/>
  <c r="L367" i="12"/>
  <c r="Y359" i="12"/>
  <c r="W367" i="12"/>
  <c r="M359" i="12"/>
  <c r="R367" i="12"/>
  <c r="M367" i="12"/>
  <c r="T359" i="12"/>
  <c r="P364" i="12"/>
  <c r="V364" i="12"/>
  <c r="X427" i="12"/>
  <c r="O427" i="12"/>
  <c r="T427" i="12"/>
  <c r="S426" i="12"/>
  <c r="M396" i="12"/>
  <c r="Q396" i="12"/>
  <c r="R366" i="12"/>
  <c r="M397" i="12"/>
  <c r="L366" i="12"/>
  <c r="Q397" i="12"/>
  <c r="W421" i="12"/>
  <c r="X421" i="12"/>
  <c r="N398" i="12"/>
  <c r="V421" i="12"/>
  <c r="R391" i="12"/>
  <c r="R392" i="12"/>
  <c r="O428" i="12"/>
  <c r="T392" i="12"/>
  <c r="T391" i="12"/>
  <c r="R420" i="12"/>
  <c r="R422" i="12"/>
  <c r="X420" i="12"/>
  <c r="X422" i="12"/>
  <c r="S359" i="12"/>
  <c r="P367" i="12"/>
  <c r="Y367" i="12"/>
  <c r="Q364" i="12"/>
  <c r="O364" i="12"/>
  <c r="V359" i="12"/>
  <c r="S367" i="12"/>
  <c r="N367" i="12"/>
  <c r="X367" i="12"/>
  <c r="W364" i="12"/>
  <c r="U364" i="12"/>
  <c r="U427" i="12"/>
  <c r="Y427" i="12"/>
  <c r="W427" i="12"/>
  <c r="N426" i="12"/>
  <c r="M426" i="12"/>
  <c r="Y396" i="12"/>
  <c r="Q366" i="12"/>
  <c r="V366" i="12"/>
  <c r="U366" i="12"/>
  <c r="L397" i="12"/>
  <c r="Y428" i="12"/>
  <c r="P428" i="12"/>
  <c r="Y398" i="12"/>
  <c r="P392" i="12"/>
  <c r="P391" i="12"/>
  <c r="O391" i="12"/>
  <c r="O392" i="12"/>
  <c r="N391" i="12"/>
  <c r="N392" i="12"/>
  <c r="R398" i="12"/>
  <c r="V428" i="12"/>
  <c r="Y420" i="12"/>
  <c r="Y422" i="12"/>
  <c r="N360" i="12"/>
  <c r="M360" i="12"/>
  <c r="Q420" i="12"/>
  <c r="Q422" i="12"/>
  <c r="N359" i="12"/>
  <c r="R364" i="12"/>
  <c r="Y364" i="12"/>
  <c r="V427" i="12"/>
  <c r="O359" i="12"/>
  <c r="U367" i="12"/>
  <c r="X359" i="12"/>
  <c r="N364" i="12"/>
  <c r="T364" i="12"/>
  <c r="R427" i="12"/>
  <c r="W426" i="12"/>
  <c r="L426" i="12"/>
  <c r="T396" i="12"/>
  <c r="R396" i="12"/>
  <c r="N366" i="12"/>
  <c r="X366" i="12"/>
  <c r="R397" i="12"/>
  <c r="M366" i="12"/>
  <c r="V397" i="12"/>
  <c r="U428" i="12"/>
  <c r="S392" i="12"/>
  <c r="S391" i="12"/>
  <c r="R428" i="12"/>
  <c r="W428" i="12"/>
  <c r="S398" i="12"/>
  <c r="Y391" i="12"/>
  <c r="Y392" i="12"/>
  <c r="N428" i="12"/>
  <c r="V360" i="12"/>
  <c r="L360" i="12"/>
  <c r="L396" i="12"/>
  <c r="V398" i="12"/>
  <c r="Q421" i="12"/>
  <c r="U421" i="12"/>
  <c r="O421" i="12"/>
  <c r="Q391" i="12"/>
  <c r="Q392" i="12"/>
  <c r="T422" i="12"/>
  <c r="T420" i="12"/>
  <c r="X360" i="12"/>
  <c r="U360" i="12"/>
  <c r="M364" i="12"/>
  <c r="L364" i="12"/>
  <c r="P427" i="12"/>
  <c r="O426" i="12"/>
  <c r="U426" i="12"/>
  <c r="P396" i="12"/>
  <c r="U397" i="12"/>
  <c r="P397" i="12"/>
  <c r="Y397" i="12"/>
  <c r="U359" i="12"/>
  <c r="Q367" i="12"/>
  <c r="P359" i="12"/>
  <c r="L359" i="12"/>
  <c r="S364" i="12"/>
  <c r="M427" i="12"/>
  <c r="T426" i="12"/>
  <c r="R426" i="12"/>
  <c r="V426" i="12"/>
  <c r="U396" i="12"/>
  <c r="S396" i="12"/>
  <c r="X397" i="12"/>
  <c r="S397" i="12"/>
  <c r="O397" i="12"/>
  <c r="W397" i="12"/>
  <c r="T397" i="12"/>
  <c r="P398" i="12"/>
  <c r="X428" i="12"/>
  <c r="X391" i="12"/>
  <c r="X392" i="12"/>
  <c r="R421" i="12"/>
  <c r="T421" i="12"/>
  <c r="X398" i="12"/>
  <c r="W398" i="12"/>
  <c r="N422" i="12"/>
  <c r="N420" i="12"/>
  <c r="O420" i="12"/>
  <c r="O422" i="12"/>
  <c r="P360" i="12"/>
  <c r="Q360" i="12"/>
  <c r="L420" i="12"/>
  <c r="L422" i="12"/>
  <c r="R359" i="12"/>
  <c r="L427" i="12"/>
  <c r="P426" i="12"/>
  <c r="X426" i="12"/>
  <c r="V396" i="12"/>
  <c r="Y366" i="12"/>
  <c r="P366" i="12"/>
  <c r="O366" i="12"/>
  <c r="L428" i="12"/>
  <c r="L392" i="12"/>
  <c r="L391" i="12"/>
  <c r="L398" i="12"/>
  <c r="U398" i="12"/>
  <c r="O360" i="12"/>
  <c r="W360" i="12"/>
  <c r="S420" i="12"/>
  <c r="S422" i="12"/>
  <c r="U422" i="12"/>
  <c r="U420" i="12"/>
  <c r="J364" i="12"/>
  <c r="J391" i="12"/>
  <c r="J392" i="12"/>
  <c r="J367" i="12"/>
  <c r="J426" i="12"/>
  <c r="J421" i="12"/>
  <c r="K392" i="12"/>
  <c r="K391" i="12"/>
  <c r="K420" i="12"/>
  <c r="K422" i="12"/>
  <c r="J385" i="12"/>
  <c r="J398" i="12"/>
  <c r="J359" i="12"/>
  <c r="J397" i="12"/>
  <c r="J386" i="12"/>
  <c r="J360" i="12"/>
  <c r="J396" i="12"/>
  <c r="J428" i="12"/>
  <c r="J427" i="12"/>
  <c r="J422" i="12"/>
  <c r="J420" i="12"/>
  <c r="K360" i="12"/>
  <c r="J366" i="12"/>
  <c r="AH52" i="12"/>
  <c r="AD52" i="12"/>
  <c r="AI116" i="12"/>
  <c r="S416" i="12" s="1"/>
  <c r="AL116" i="12"/>
  <c r="V416" i="12" s="1"/>
  <c r="AA70" i="12"/>
  <c r="AO116" i="12"/>
  <c r="Y416" i="12" s="1"/>
  <c r="AN70" i="12"/>
  <c r="X387" i="12" s="1"/>
  <c r="AE28" i="12"/>
  <c r="O354" i="12" s="1"/>
  <c r="AJ28" i="12"/>
  <c r="T354" i="12" s="1"/>
  <c r="Q70" i="12"/>
  <c r="AI70" i="12"/>
  <c r="S387" i="12" s="1"/>
  <c r="AK70" i="12"/>
  <c r="U387" i="12" s="1"/>
  <c r="AA28" i="12"/>
  <c r="AO28" i="12"/>
  <c r="Y354" i="12" s="1"/>
  <c r="AF70" i="12"/>
  <c r="P387" i="12" s="1"/>
  <c r="AE70" i="12"/>
  <c r="O387" i="12" s="1"/>
  <c r="AJ116" i="12"/>
  <c r="T416" i="12" s="1"/>
  <c r="AI28" i="12"/>
  <c r="S354" i="12" s="1"/>
  <c r="AK28" i="12"/>
  <c r="U354" i="12" s="1"/>
  <c r="AO70" i="12"/>
  <c r="Y387" i="12" s="1"/>
  <c r="AF116" i="12"/>
  <c r="P416" i="12" s="1"/>
  <c r="AD116" i="12"/>
  <c r="N416" i="12" s="1"/>
  <c r="AJ70" i="12"/>
  <c r="T387" i="12" s="1"/>
  <c r="R70" i="12"/>
  <c r="AK116" i="12"/>
  <c r="U416" i="12" s="1"/>
  <c r="Z70" i="12"/>
  <c r="J387" i="12" s="1"/>
  <c r="AG28" i="12"/>
  <c r="Q354" i="12" s="1"/>
  <c r="AF28" i="12"/>
  <c r="P354" i="12" s="1"/>
  <c r="AD70" i="12"/>
  <c r="N387" i="12" s="1"/>
  <c r="AB70" i="12"/>
  <c r="L387" i="12" s="1"/>
  <c r="R28" i="12"/>
  <c r="R272" i="12" s="1"/>
  <c r="J28" i="12"/>
  <c r="Z28" i="12"/>
  <c r="J354" i="12" s="1"/>
  <c r="AG116" i="12"/>
  <c r="Q416" i="12" s="1"/>
  <c r="AM70" i="12"/>
  <c r="W387" i="12" s="1"/>
  <c r="AD28" i="12"/>
  <c r="N354" i="12" s="1"/>
  <c r="AB28" i="12"/>
  <c r="L354" i="12" s="1"/>
  <c r="R116" i="12"/>
  <c r="AH70" i="12"/>
  <c r="R387" i="12" s="1"/>
  <c r="AG70" i="12"/>
  <c r="Q387" i="12" s="1"/>
  <c r="AM116" i="12"/>
  <c r="W416" i="12" s="1"/>
  <c r="AC116" i="12"/>
  <c r="M416" i="12" s="1"/>
  <c r="AB116" i="12"/>
  <c r="L416" i="12" s="1"/>
  <c r="AL70" i="12"/>
  <c r="V387" i="12" s="1"/>
  <c r="J70" i="12"/>
  <c r="AH116" i="12"/>
  <c r="R416" i="12" s="1"/>
  <c r="AN116" i="12"/>
  <c r="X416" i="12" s="1"/>
  <c r="AM28" i="12"/>
  <c r="W354" i="12" s="1"/>
  <c r="AC70" i="12"/>
  <c r="M387" i="12" s="1"/>
  <c r="Q116" i="12"/>
  <c r="AL28" i="12"/>
  <c r="V354" i="12" s="1"/>
  <c r="AA116" i="12"/>
  <c r="AH28" i="12"/>
  <c r="R354" i="12" s="1"/>
  <c r="AN28" i="12"/>
  <c r="X354" i="12" s="1"/>
  <c r="AE116" i="12"/>
  <c r="O416" i="12" s="1"/>
  <c r="AC28" i="12"/>
  <c r="M354" i="12" s="1"/>
  <c r="Q28" i="12"/>
  <c r="Q272" i="12" s="1"/>
  <c r="AF52" i="12"/>
  <c r="AN52" i="12"/>
  <c r="AO4" i="12"/>
  <c r="Z52" i="12"/>
  <c r="AO52" i="12"/>
  <c r="R52" i="12"/>
  <c r="AE52" i="12"/>
  <c r="AB52" i="12"/>
  <c r="AL52" i="12"/>
  <c r="AC52" i="12"/>
  <c r="AK52" i="12"/>
  <c r="AI52" i="12"/>
  <c r="AA52" i="12"/>
  <c r="K68" i="15" s="1"/>
  <c r="AJ52" i="12"/>
  <c r="AG52" i="12"/>
  <c r="Q52" i="12"/>
  <c r="AM52" i="12"/>
  <c r="AD4" i="12"/>
  <c r="AE4" i="12"/>
  <c r="AH4" i="12"/>
  <c r="AJ4" i="12"/>
  <c r="R4" i="12"/>
  <c r="AN4" i="12"/>
  <c r="AG4" i="12"/>
  <c r="AC4" i="12"/>
  <c r="AK4" i="12"/>
  <c r="AM4" i="12"/>
  <c r="AF4" i="12"/>
  <c r="Q4" i="12"/>
  <c r="AA4" i="12"/>
  <c r="K6" i="15" s="1"/>
  <c r="Z4" i="12"/>
  <c r="J361" i="12" s="1"/>
  <c r="AB4" i="12"/>
  <c r="AI4" i="12"/>
  <c r="AL4" i="12"/>
  <c r="AK94" i="12"/>
  <c r="AL94" i="12"/>
  <c r="AA94" i="12"/>
  <c r="K124" i="15" s="1"/>
  <c r="AD94" i="12"/>
  <c r="AB94" i="12"/>
  <c r="Q94" i="12"/>
  <c r="AI94" i="12"/>
  <c r="AJ94" i="12"/>
  <c r="AE94" i="12"/>
  <c r="AM94" i="12"/>
  <c r="AF94" i="12"/>
  <c r="AO94" i="12"/>
  <c r="AH94" i="12"/>
  <c r="AC94" i="12"/>
  <c r="AG94" i="12"/>
  <c r="Z94" i="12"/>
  <c r="AN94" i="12"/>
  <c r="R94" i="12"/>
  <c r="BJ4" i="1"/>
  <c r="AT4" i="1"/>
  <c r="BZ4" i="1"/>
  <c r="AE8" i="1"/>
  <c r="AS8" i="1"/>
  <c r="AS9" i="1"/>
  <c r="AS10" i="1"/>
  <c r="Y161" i="12" s="1"/>
  <c r="AS12" i="1"/>
  <c r="AS16" i="1"/>
  <c r="AS17" i="1"/>
  <c r="AS18" i="1"/>
  <c r="AS19" i="1"/>
  <c r="AS20" i="1"/>
  <c r="AS21" i="1"/>
  <c r="AS22" i="1"/>
  <c r="AS23" i="1"/>
  <c r="Y146" i="12" s="1"/>
  <c r="AS24" i="1"/>
  <c r="Y74" i="12" s="1"/>
  <c r="AS25" i="1"/>
  <c r="AS32" i="1"/>
  <c r="AS33" i="1"/>
  <c r="Y190" i="12" s="1"/>
  <c r="AS34" i="1"/>
  <c r="Y47" i="12" s="1"/>
  <c r="AS35" i="1"/>
  <c r="AS40" i="1"/>
  <c r="AS41" i="1"/>
  <c r="AS42" i="1"/>
  <c r="Y186" i="12" s="1"/>
  <c r="AS43" i="1"/>
  <c r="Y188" i="12" s="1"/>
  <c r="AS44" i="1"/>
  <c r="AS45" i="1"/>
  <c r="AS46" i="1"/>
  <c r="AS47" i="1"/>
  <c r="Y179" i="12" s="1"/>
  <c r="AS48" i="1"/>
  <c r="AS49" i="1"/>
  <c r="AS50" i="1"/>
  <c r="Y182" i="12" s="1"/>
  <c r="AS52" i="1"/>
  <c r="AS53" i="1"/>
  <c r="Y126" i="12" s="1"/>
  <c r="AS54" i="1"/>
  <c r="Y181" i="12" s="1"/>
  <c r="AS55" i="1"/>
  <c r="Y180" i="12" s="1"/>
  <c r="AS4" i="1"/>
  <c r="Y175" i="12" s="1"/>
  <c r="AR4" i="1"/>
  <c r="X175" i="12" s="1"/>
  <c r="AR8" i="1"/>
  <c r="AR9" i="1"/>
  <c r="AR10" i="1"/>
  <c r="X161" i="12" s="1"/>
  <c r="AR12" i="1"/>
  <c r="AR16" i="1"/>
  <c r="AR17" i="1"/>
  <c r="AR18" i="1"/>
  <c r="AR19" i="1"/>
  <c r="AR20" i="1"/>
  <c r="AR21" i="1"/>
  <c r="AR22" i="1"/>
  <c r="AR23" i="1"/>
  <c r="X146" i="12" s="1"/>
  <c r="AR24" i="1"/>
  <c r="X74" i="12" s="1"/>
  <c r="AR25" i="1"/>
  <c r="AR32" i="1"/>
  <c r="AR33" i="1"/>
  <c r="X190" i="12" s="1"/>
  <c r="AR34" i="1"/>
  <c r="X47" i="12" s="1"/>
  <c r="AR35" i="1"/>
  <c r="AR40" i="1"/>
  <c r="AR41" i="1"/>
  <c r="AR42" i="1"/>
  <c r="X186" i="12" s="1"/>
  <c r="AR43" i="1"/>
  <c r="X188" i="12" s="1"/>
  <c r="AR44" i="1"/>
  <c r="AR45" i="1"/>
  <c r="AR46" i="1"/>
  <c r="AR47" i="1"/>
  <c r="X179" i="12" s="1"/>
  <c r="AR48" i="1"/>
  <c r="AR49" i="1"/>
  <c r="AR50" i="1"/>
  <c r="X182" i="12" s="1"/>
  <c r="AR52" i="1"/>
  <c r="AR53" i="1"/>
  <c r="X126" i="12" s="1"/>
  <c r="AR54" i="1"/>
  <c r="X181" i="12" s="1"/>
  <c r="AR55" i="1"/>
  <c r="X180" i="12" s="1"/>
  <c r="AQ4" i="1"/>
  <c r="W175" i="12" s="1"/>
  <c r="AQ8" i="1"/>
  <c r="AQ9" i="1"/>
  <c r="AQ10" i="1"/>
  <c r="W161" i="12" s="1"/>
  <c r="AQ12" i="1"/>
  <c r="AQ16" i="1"/>
  <c r="AQ17" i="1"/>
  <c r="AQ18" i="1"/>
  <c r="AQ19" i="1"/>
  <c r="AQ20" i="1"/>
  <c r="AQ21" i="1"/>
  <c r="AQ22" i="1"/>
  <c r="AQ23" i="1"/>
  <c r="W146" i="12" s="1"/>
  <c r="AQ24" i="1"/>
  <c r="W74" i="12" s="1"/>
  <c r="AQ25" i="1"/>
  <c r="AQ32" i="1"/>
  <c r="AQ33" i="1"/>
  <c r="W190" i="12" s="1"/>
  <c r="AQ34" i="1"/>
  <c r="W47" i="12" s="1"/>
  <c r="AQ35" i="1"/>
  <c r="AQ40" i="1"/>
  <c r="AQ41" i="1"/>
  <c r="AQ42" i="1"/>
  <c r="W186" i="12" s="1"/>
  <c r="AQ43" i="1"/>
  <c r="W188" i="12" s="1"/>
  <c r="AQ44" i="1"/>
  <c r="AQ45" i="1"/>
  <c r="AQ46" i="1"/>
  <c r="AQ47" i="1"/>
  <c r="W179" i="12" s="1"/>
  <c r="AQ48" i="1"/>
  <c r="AQ49" i="1"/>
  <c r="AQ50" i="1"/>
  <c r="W182" i="12" s="1"/>
  <c r="AQ52" i="1"/>
  <c r="AQ53" i="1"/>
  <c r="W126" i="12" s="1"/>
  <c r="AQ54" i="1"/>
  <c r="W181" i="12" s="1"/>
  <c r="AQ55" i="1"/>
  <c r="W180" i="12" s="1"/>
  <c r="AP4" i="1"/>
  <c r="V175" i="12" s="1"/>
  <c r="AP8" i="1"/>
  <c r="AP9" i="1"/>
  <c r="AP10" i="1"/>
  <c r="V161" i="12" s="1"/>
  <c r="AP12" i="1"/>
  <c r="AP16" i="1"/>
  <c r="AP17" i="1"/>
  <c r="AP18" i="1"/>
  <c r="AP19" i="1"/>
  <c r="AP20" i="1"/>
  <c r="AP21" i="1"/>
  <c r="AP22" i="1"/>
  <c r="AP23" i="1"/>
  <c r="V146" i="12" s="1"/>
  <c r="AP24" i="1"/>
  <c r="V74" i="12" s="1"/>
  <c r="AP25" i="1"/>
  <c r="AP32" i="1"/>
  <c r="AP33" i="1"/>
  <c r="V190" i="12" s="1"/>
  <c r="AP34" i="1"/>
  <c r="V47" i="12" s="1"/>
  <c r="AP35" i="1"/>
  <c r="AP40" i="1"/>
  <c r="AP41" i="1"/>
  <c r="AP42" i="1"/>
  <c r="V186" i="12" s="1"/>
  <c r="AP43" i="1"/>
  <c r="V188" i="12" s="1"/>
  <c r="AP44" i="1"/>
  <c r="AP45" i="1"/>
  <c r="AP46" i="1"/>
  <c r="AP47" i="1"/>
  <c r="V179" i="12" s="1"/>
  <c r="AP48" i="1"/>
  <c r="AP49" i="1"/>
  <c r="AP50" i="1"/>
  <c r="V182" i="12" s="1"/>
  <c r="AP52" i="1"/>
  <c r="AP53" i="1"/>
  <c r="V126" i="12" s="1"/>
  <c r="AP54" i="1"/>
  <c r="V181" i="12" s="1"/>
  <c r="AP55" i="1"/>
  <c r="V180" i="12" s="1"/>
  <c r="AO4" i="1"/>
  <c r="U175" i="12" s="1"/>
  <c r="AO8" i="1"/>
  <c r="AO9" i="1"/>
  <c r="AO10" i="1"/>
  <c r="U161" i="12" s="1"/>
  <c r="AO12" i="1"/>
  <c r="AO16" i="1"/>
  <c r="AO17" i="1"/>
  <c r="AO18" i="1"/>
  <c r="AO19" i="1"/>
  <c r="AO20" i="1"/>
  <c r="AO21" i="1"/>
  <c r="AO22" i="1"/>
  <c r="AO23" i="1"/>
  <c r="U146" i="12" s="1"/>
  <c r="AO24" i="1"/>
  <c r="U74" i="12" s="1"/>
  <c r="AO25" i="1"/>
  <c r="AO32" i="1"/>
  <c r="AO33" i="1"/>
  <c r="U190" i="12" s="1"/>
  <c r="AO34" i="1"/>
  <c r="U47" i="12" s="1"/>
  <c r="AO35" i="1"/>
  <c r="AO40" i="1"/>
  <c r="AO41" i="1"/>
  <c r="AO42" i="1"/>
  <c r="U186" i="12" s="1"/>
  <c r="AO43" i="1"/>
  <c r="U188" i="12" s="1"/>
  <c r="AO44" i="1"/>
  <c r="AO45" i="1"/>
  <c r="AO46" i="1"/>
  <c r="AO47" i="1"/>
  <c r="U179" i="12" s="1"/>
  <c r="AO48" i="1"/>
  <c r="AO49" i="1"/>
  <c r="AO50" i="1"/>
  <c r="U182" i="12" s="1"/>
  <c r="AO52" i="1"/>
  <c r="AO53" i="1"/>
  <c r="U126" i="12" s="1"/>
  <c r="AO54" i="1"/>
  <c r="U181" i="12" s="1"/>
  <c r="AO55" i="1"/>
  <c r="U180" i="12" s="1"/>
  <c r="AN4" i="1"/>
  <c r="T175" i="12" s="1"/>
  <c r="AN8" i="1"/>
  <c r="AN9" i="1"/>
  <c r="AN10" i="1"/>
  <c r="T161" i="12" s="1"/>
  <c r="AN12" i="1"/>
  <c r="AN16" i="1"/>
  <c r="AN17" i="1"/>
  <c r="AN18" i="1"/>
  <c r="AN19" i="1"/>
  <c r="AN20" i="1"/>
  <c r="AN21" i="1"/>
  <c r="AN22" i="1"/>
  <c r="AN23" i="1"/>
  <c r="T146" i="12" s="1"/>
  <c r="AN24" i="1"/>
  <c r="T74" i="12" s="1"/>
  <c r="AN25" i="1"/>
  <c r="AN32" i="1"/>
  <c r="AN33" i="1"/>
  <c r="T190" i="12" s="1"/>
  <c r="AN34" i="1"/>
  <c r="T47" i="12" s="1"/>
  <c r="AN35" i="1"/>
  <c r="AN40" i="1"/>
  <c r="AN41" i="1"/>
  <c r="AN42" i="1"/>
  <c r="T186" i="12" s="1"/>
  <c r="AN43" i="1"/>
  <c r="T188" i="12" s="1"/>
  <c r="AN44" i="1"/>
  <c r="AN45" i="1"/>
  <c r="AN46" i="1"/>
  <c r="AN47" i="1"/>
  <c r="T179" i="12" s="1"/>
  <c r="AN48" i="1"/>
  <c r="AN49" i="1"/>
  <c r="AN50" i="1"/>
  <c r="T182" i="12" s="1"/>
  <c r="AN52" i="1"/>
  <c r="AN53" i="1"/>
  <c r="T126" i="12" s="1"/>
  <c r="AN54" i="1"/>
  <c r="T181" i="12" s="1"/>
  <c r="AN55" i="1"/>
  <c r="T180" i="12" s="1"/>
  <c r="AM4" i="1"/>
  <c r="S175" i="12" s="1"/>
  <c r="AM8" i="1"/>
  <c r="AM9" i="1"/>
  <c r="AM10" i="1"/>
  <c r="S161" i="12" s="1"/>
  <c r="AM12" i="1"/>
  <c r="AM16" i="1"/>
  <c r="AM17" i="1"/>
  <c r="AM18" i="1"/>
  <c r="AM19" i="1"/>
  <c r="AM20" i="1"/>
  <c r="AM21" i="1"/>
  <c r="AM22" i="1"/>
  <c r="AM23" i="1"/>
  <c r="S146" i="12" s="1"/>
  <c r="AM24" i="1"/>
  <c r="S74" i="12" s="1"/>
  <c r="AM25" i="1"/>
  <c r="AM32" i="1"/>
  <c r="AM33" i="1"/>
  <c r="S190" i="12" s="1"/>
  <c r="AM34" i="1"/>
  <c r="S47" i="12" s="1"/>
  <c r="AM35" i="1"/>
  <c r="AM40" i="1"/>
  <c r="AM41" i="1"/>
  <c r="AM42" i="1"/>
  <c r="S186" i="12" s="1"/>
  <c r="AM43" i="1"/>
  <c r="S188" i="12" s="1"/>
  <c r="AM44" i="1"/>
  <c r="AM45" i="1"/>
  <c r="AM46" i="1"/>
  <c r="AM47" i="1"/>
  <c r="S179" i="12" s="1"/>
  <c r="AM48" i="1"/>
  <c r="AM49" i="1"/>
  <c r="AM50" i="1"/>
  <c r="S182" i="12" s="1"/>
  <c r="AM52" i="1"/>
  <c r="AM53" i="1"/>
  <c r="S126" i="12" s="1"/>
  <c r="AM54" i="1"/>
  <c r="S181" i="12" s="1"/>
  <c r="AM55" i="1"/>
  <c r="S180" i="12" s="1"/>
  <c r="AJ4" i="1"/>
  <c r="P175" i="12" s="1"/>
  <c r="AJ8" i="1"/>
  <c r="AJ9" i="1"/>
  <c r="AJ10" i="1"/>
  <c r="P161" i="12" s="1"/>
  <c r="AJ12" i="1"/>
  <c r="AJ16" i="1"/>
  <c r="AJ17" i="1"/>
  <c r="AJ18" i="1"/>
  <c r="AJ19" i="1"/>
  <c r="AJ20" i="1"/>
  <c r="AJ21" i="1"/>
  <c r="AJ22" i="1"/>
  <c r="AJ23" i="1"/>
  <c r="P146" i="12" s="1"/>
  <c r="AJ24" i="1"/>
  <c r="P74" i="12" s="1"/>
  <c r="AJ25" i="1"/>
  <c r="AJ32" i="1"/>
  <c r="AJ33" i="1"/>
  <c r="P190" i="12" s="1"/>
  <c r="AJ34" i="1"/>
  <c r="P47" i="12" s="1"/>
  <c r="AJ35" i="1"/>
  <c r="AJ40" i="1"/>
  <c r="AJ41" i="1"/>
  <c r="AJ42" i="1"/>
  <c r="P186" i="12" s="1"/>
  <c r="AJ43" i="1"/>
  <c r="AJ44" i="1"/>
  <c r="AJ45" i="1"/>
  <c r="AJ46" i="1"/>
  <c r="AJ47" i="1"/>
  <c r="P179" i="12" s="1"/>
  <c r="AJ48" i="1"/>
  <c r="AJ49" i="1"/>
  <c r="AJ50" i="1"/>
  <c r="P182" i="12" s="1"/>
  <c r="AJ52" i="1"/>
  <c r="AJ53" i="1"/>
  <c r="P126" i="12" s="1"/>
  <c r="AJ54" i="1"/>
  <c r="P181" i="12" s="1"/>
  <c r="AJ55" i="1"/>
  <c r="P180" i="12" s="1"/>
  <c r="AI4" i="1"/>
  <c r="O175" i="12" s="1"/>
  <c r="AI8" i="1"/>
  <c r="AI9" i="1"/>
  <c r="AI10" i="1"/>
  <c r="O161" i="12" s="1"/>
  <c r="AI12" i="1"/>
  <c r="AI16" i="1"/>
  <c r="AI17" i="1"/>
  <c r="AI18" i="1"/>
  <c r="AI19" i="1"/>
  <c r="AI20" i="1"/>
  <c r="AI21" i="1"/>
  <c r="AI22" i="1"/>
  <c r="AI23" i="1"/>
  <c r="O146" i="12" s="1"/>
  <c r="AI24" i="1"/>
  <c r="O74" i="12" s="1"/>
  <c r="AI25" i="1"/>
  <c r="AI32" i="1"/>
  <c r="AI33" i="1"/>
  <c r="O190" i="12" s="1"/>
  <c r="AI34" i="1"/>
  <c r="O47" i="12" s="1"/>
  <c r="AI35" i="1"/>
  <c r="AI40" i="1"/>
  <c r="AI41" i="1"/>
  <c r="AI42" i="1"/>
  <c r="O186" i="12" s="1"/>
  <c r="AI43" i="1"/>
  <c r="O188" i="12" s="1"/>
  <c r="AI44" i="1"/>
  <c r="AI45" i="1"/>
  <c r="AI46" i="1"/>
  <c r="AI47" i="1"/>
  <c r="O179" i="12" s="1"/>
  <c r="AI48" i="1"/>
  <c r="AI49" i="1"/>
  <c r="AI50" i="1"/>
  <c r="O182" i="12" s="1"/>
  <c r="AI52" i="1"/>
  <c r="AI53" i="1"/>
  <c r="O126" i="12" s="1"/>
  <c r="AI54" i="1"/>
  <c r="O181" i="12" s="1"/>
  <c r="AI55" i="1"/>
  <c r="O180" i="12" s="1"/>
  <c r="AH4" i="1"/>
  <c r="N175" i="12" s="1"/>
  <c r="AH8" i="1"/>
  <c r="AH9" i="1"/>
  <c r="AH10" i="1"/>
  <c r="N161" i="12" s="1"/>
  <c r="AH12" i="1"/>
  <c r="AH16" i="1"/>
  <c r="AH17" i="1"/>
  <c r="AH18" i="1"/>
  <c r="AH19" i="1"/>
  <c r="AH20" i="1"/>
  <c r="AH21" i="1"/>
  <c r="AH22" i="1"/>
  <c r="AH23" i="1"/>
  <c r="N146" i="12" s="1"/>
  <c r="AH24" i="1"/>
  <c r="N74" i="12" s="1"/>
  <c r="AH25" i="1"/>
  <c r="AH32" i="1"/>
  <c r="AH33" i="1"/>
  <c r="N190" i="12" s="1"/>
  <c r="AH34" i="1"/>
  <c r="N47" i="12" s="1"/>
  <c r="AH35" i="1"/>
  <c r="AH40" i="1"/>
  <c r="AH41" i="1"/>
  <c r="AH42" i="1"/>
  <c r="N186" i="12" s="1"/>
  <c r="AH43" i="1"/>
  <c r="N188" i="12" s="1"/>
  <c r="AH44" i="1"/>
  <c r="AH45" i="1"/>
  <c r="AH46" i="1"/>
  <c r="AH47" i="1"/>
  <c r="N179" i="12" s="1"/>
  <c r="AH48" i="1"/>
  <c r="AH49" i="1"/>
  <c r="AH50" i="1"/>
  <c r="N182" i="12" s="1"/>
  <c r="AH52" i="1"/>
  <c r="AH53" i="1"/>
  <c r="N126" i="12" s="1"/>
  <c r="AH54" i="1"/>
  <c r="N181" i="12" s="1"/>
  <c r="AH55" i="1"/>
  <c r="N180" i="12" s="1"/>
  <c r="AG4" i="1"/>
  <c r="M175" i="12" s="1"/>
  <c r="AG8" i="1"/>
  <c r="AG9" i="1"/>
  <c r="AG10" i="1"/>
  <c r="M161" i="12" s="1"/>
  <c r="AG12" i="1"/>
  <c r="AG16" i="1"/>
  <c r="AG17" i="1"/>
  <c r="AG18" i="1"/>
  <c r="AG19" i="1"/>
  <c r="AG20" i="1"/>
  <c r="AG21" i="1"/>
  <c r="AG22" i="1"/>
  <c r="AG23" i="1"/>
  <c r="M146" i="12" s="1"/>
  <c r="AG24" i="1"/>
  <c r="M74" i="12" s="1"/>
  <c r="AG25" i="1"/>
  <c r="AG32" i="1"/>
  <c r="AG33" i="1"/>
  <c r="M190" i="12" s="1"/>
  <c r="AG34" i="1"/>
  <c r="M47" i="12" s="1"/>
  <c r="AG35" i="1"/>
  <c r="AG40" i="1"/>
  <c r="AG41" i="1"/>
  <c r="AG42" i="1"/>
  <c r="M186" i="12" s="1"/>
  <c r="AG43" i="1"/>
  <c r="M188" i="12" s="1"/>
  <c r="AG44" i="1"/>
  <c r="AG45" i="1"/>
  <c r="AG46" i="1"/>
  <c r="AG47" i="1"/>
  <c r="M179" i="12" s="1"/>
  <c r="AG48" i="1"/>
  <c r="AG49" i="1"/>
  <c r="AG50" i="1"/>
  <c r="M182" i="12" s="1"/>
  <c r="AG52" i="1"/>
  <c r="AG53" i="1"/>
  <c r="M126" i="12" s="1"/>
  <c r="AG54" i="1"/>
  <c r="M181" i="12" s="1"/>
  <c r="AG55" i="1"/>
  <c r="M180" i="12" s="1"/>
  <c r="AF4" i="1"/>
  <c r="L175" i="12" s="1"/>
  <c r="AF8" i="1"/>
  <c r="AF9" i="1"/>
  <c r="AF10" i="1"/>
  <c r="L161" i="12" s="1"/>
  <c r="AF12" i="1"/>
  <c r="AF16" i="1"/>
  <c r="AF17" i="1"/>
  <c r="AF18" i="1"/>
  <c r="AF19" i="1"/>
  <c r="AF20" i="1"/>
  <c r="AF21" i="1"/>
  <c r="AF22" i="1"/>
  <c r="AF23" i="1"/>
  <c r="L146" i="12" s="1"/>
  <c r="AF24" i="1"/>
  <c r="L74" i="12" s="1"/>
  <c r="AF25" i="1"/>
  <c r="AF32" i="1"/>
  <c r="AF33" i="1"/>
  <c r="L190" i="12" s="1"/>
  <c r="AF34" i="1"/>
  <c r="L47" i="12" s="1"/>
  <c r="AF35" i="1"/>
  <c r="AF40" i="1"/>
  <c r="AF41" i="1"/>
  <c r="AF42" i="1"/>
  <c r="L186" i="12" s="1"/>
  <c r="AF43" i="1"/>
  <c r="L188" i="12" s="1"/>
  <c r="AF44" i="1"/>
  <c r="AF45" i="1"/>
  <c r="AF46" i="1"/>
  <c r="AF47" i="1"/>
  <c r="L179" i="12" s="1"/>
  <c r="AF48" i="1"/>
  <c r="AF49" i="1"/>
  <c r="AF50" i="1"/>
  <c r="L182" i="12" s="1"/>
  <c r="AF52" i="1"/>
  <c r="AF53" i="1"/>
  <c r="L126" i="12" s="1"/>
  <c r="AF54" i="1"/>
  <c r="L181" i="12" s="1"/>
  <c r="AF55" i="1"/>
  <c r="L180" i="12" s="1"/>
  <c r="AE4" i="1"/>
  <c r="K175" i="12" s="1"/>
  <c r="J235" i="15" s="1"/>
  <c r="AE9" i="1"/>
  <c r="AE10" i="1"/>
  <c r="K161" i="12" s="1"/>
  <c r="J217" i="15" s="1"/>
  <c r="AE12" i="1"/>
  <c r="AE16" i="1"/>
  <c r="AE17" i="1"/>
  <c r="AE18" i="1"/>
  <c r="AE19" i="1"/>
  <c r="AE20" i="1"/>
  <c r="AE21" i="1"/>
  <c r="AE22" i="1"/>
  <c r="AE23" i="1"/>
  <c r="K146" i="12" s="1"/>
  <c r="J194" i="15" s="1"/>
  <c r="AE24" i="1"/>
  <c r="K74" i="12" s="1"/>
  <c r="J96" i="15" s="1"/>
  <c r="AE25" i="1"/>
  <c r="AE32" i="1"/>
  <c r="K136" i="12" s="1"/>
  <c r="J180" i="15" s="1"/>
  <c r="AE33" i="1"/>
  <c r="K190" i="12" s="1"/>
  <c r="J254" i="15" s="1"/>
  <c r="AE34" i="1"/>
  <c r="K47" i="12" s="1"/>
  <c r="J61" i="15" s="1"/>
  <c r="AE35" i="1"/>
  <c r="AE40" i="1"/>
  <c r="AE41" i="1"/>
  <c r="AE42" i="1"/>
  <c r="K186" i="12" s="1"/>
  <c r="J248" i="15" s="1"/>
  <c r="AE43" i="1"/>
  <c r="K188" i="12" s="1"/>
  <c r="J250" i="15" s="1"/>
  <c r="AE44" i="1"/>
  <c r="AE45" i="1"/>
  <c r="AE46" i="1"/>
  <c r="AE47" i="1"/>
  <c r="K179" i="12" s="1"/>
  <c r="J239" i="15" s="1"/>
  <c r="AE48" i="1"/>
  <c r="AE49" i="1"/>
  <c r="AE50" i="1"/>
  <c r="K182" i="12" s="1"/>
  <c r="J242" i="15" s="1"/>
  <c r="AE52" i="1"/>
  <c r="AE53" i="1"/>
  <c r="K126" i="12" s="1"/>
  <c r="J166" i="15" s="1"/>
  <c r="AE54" i="1"/>
  <c r="K181" i="12" s="1"/>
  <c r="J241" i="15" s="1"/>
  <c r="AE55" i="1"/>
  <c r="K180" i="12" s="1"/>
  <c r="J240" i="15" s="1"/>
  <c r="AD9" i="1"/>
  <c r="AD10" i="1"/>
  <c r="J14" i="12" s="1"/>
  <c r="AD12" i="1"/>
  <c r="J157" i="12" s="1"/>
  <c r="AD16" i="1"/>
  <c r="AD17" i="1"/>
  <c r="AD18" i="1"/>
  <c r="AD19" i="1"/>
  <c r="AD20" i="1"/>
  <c r="AD21" i="1"/>
  <c r="AD22" i="1"/>
  <c r="AD25" i="1"/>
  <c r="AD32" i="1"/>
  <c r="AD33" i="1"/>
  <c r="AD34" i="1"/>
  <c r="J47" i="12" s="1"/>
  <c r="AD35" i="1"/>
  <c r="AD41" i="1"/>
  <c r="AD42" i="1"/>
  <c r="AD43" i="1"/>
  <c r="J188" i="12" s="1"/>
  <c r="AD44" i="1"/>
  <c r="AD45" i="1"/>
  <c r="AD46" i="1"/>
  <c r="AD47" i="1"/>
  <c r="AD48" i="1"/>
  <c r="AD49" i="1"/>
  <c r="AD50" i="1"/>
  <c r="AD52" i="1"/>
  <c r="AD53" i="1"/>
  <c r="AD54" i="1"/>
  <c r="AD55" i="1"/>
  <c r="AD8" i="1"/>
  <c r="AA143" i="12" l="1"/>
  <c r="K191" i="15" s="1"/>
  <c r="K463" i="12"/>
  <c r="AT16" i="1"/>
  <c r="J120" i="12"/>
  <c r="J95" i="12"/>
  <c r="J6" i="12"/>
  <c r="L95" i="12"/>
  <c r="L6" i="12"/>
  <c r="V95" i="12"/>
  <c r="V6" i="12"/>
  <c r="P95" i="12"/>
  <c r="P6" i="12"/>
  <c r="Y95" i="12"/>
  <c r="Y6" i="12"/>
  <c r="S95" i="12"/>
  <c r="S6" i="12"/>
  <c r="M95" i="12"/>
  <c r="M6" i="12"/>
  <c r="W95" i="12"/>
  <c r="W6" i="12"/>
  <c r="K95" i="12"/>
  <c r="K6" i="12"/>
  <c r="J8" i="15" s="1"/>
  <c r="N95" i="12"/>
  <c r="N6" i="12"/>
  <c r="X95" i="12"/>
  <c r="X6" i="12"/>
  <c r="T95" i="12"/>
  <c r="T6" i="12"/>
  <c r="O95" i="12"/>
  <c r="O6" i="12"/>
  <c r="U95" i="12"/>
  <c r="U6" i="12"/>
  <c r="K354" i="12"/>
  <c r="K36" i="15"/>
  <c r="K387" i="12"/>
  <c r="K92" i="15"/>
  <c r="K231" i="15"/>
  <c r="K258" i="15"/>
  <c r="K201" i="15"/>
  <c r="K210" i="15"/>
  <c r="K204" i="15" s="1"/>
  <c r="K116" i="15"/>
  <c r="K109" i="15"/>
  <c r="K73" i="15"/>
  <c r="K66" i="15" s="1"/>
  <c r="K80" i="15" s="1"/>
  <c r="K87" i="15"/>
  <c r="J245" i="15"/>
  <c r="Q29" i="15"/>
  <c r="K167" i="15"/>
  <c r="K416" i="12"/>
  <c r="K154" i="15"/>
  <c r="R29" i="15"/>
  <c r="K245" i="15"/>
  <c r="K49" i="15"/>
  <c r="K57" i="15"/>
  <c r="K15" i="15"/>
  <c r="K4" i="15" s="1"/>
  <c r="K28" i="15" s="1"/>
  <c r="K21" i="15"/>
  <c r="N178" i="12"/>
  <c r="N170" i="12"/>
  <c r="T178" i="12"/>
  <c r="T170" i="12"/>
  <c r="X178" i="12"/>
  <c r="X170" i="12"/>
  <c r="O178" i="12"/>
  <c r="O170" i="12"/>
  <c r="U178" i="12"/>
  <c r="U170" i="12"/>
  <c r="J170" i="12"/>
  <c r="J178" i="12"/>
  <c r="K178" i="12"/>
  <c r="J238" i="15" s="1"/>
  <c r="K170" i="12"/>
  <c r="J226" i="15" s="1"/>
  <c r="Y178" i="12"/>
  <c r="Y170" i="12"/>
  <c r="L178" i="12"/>
  <c r="L170" i="12"/>
  <c r="P178" i="12"/>
  <c r="P170" i="12"/>
  <c r="V178" i="12"/>
  <c r="V170" i="12"/>
  <c r="R168" i="12"/>
  <c r="R333" i="12"/>
  <c r="M178" i="12"/>
  <c r="M170" i="12"/>
  <c r="S178" i="12"/>
  <c r="S170" i="12"/>
  <c r="W178" i="12"/>
  <c r="W170" i="12"/>
  <c r="Q168" i="12"/>
  <c r="Q333" i="12"/>
  <c r="V454" i="12"/>
  <c r="V455" i="12"/>
  <c r="W455" i="12"/>
  <c r="W454" i="12"/>
  <c r="M454" i="12"/>
  <c r="M455" i="12"/>
  <c r="J455" i="12"/>
  <c r="J454" i="12"/>
  <c r="P455" i="12"/>
  <c r="P454" i="12"/>
  <c r="O455" i="12"/>
  <c r="O454" i="12"/>
  <c r="R455" i="12"/>
  <c r="R454" i="12"/>
  <c r="X455" i="12"/>
  <c r="X454" i="12"/>
  <c r="L454" i="12"/>
  <c r="L455" i="12"/>
  <c r="K455" i="12"/>
  <c r="K454" i="12"/>
  <c r="Y454" i="12"/>
  <c r="Y455" i="12"/>
  <c r="Q455" i="12"/>
  <c r="Q454" i="12"/>
  <c r="S455" i="12"/>
  <c r="S454" i="12"/>
  <c r="T455" i="12"/>
  <c r="T454" i="12"/>
  <c r="U455" i="12"/>
  <c r="U454" i="12"/>
  <c r="N455" i="12"/>
  <c r="N454" i="12"/>
  <c r="AO184" i="12"/>
  <c r="AO185" i="12" s="1"/>
  <c r="AO149" i="12" s="1"/>
  <c r="Y445" i="12"/>
  <c r="V449" i="12"/>
  <c r="V450" i="12"/>
  <c r="V451" i="12"/>
  <c r="W449" i="12"/>
  <c r="W451" i="12"/>
  <c r="W450" i="12"/>
  <c r="AH184" i="12"/>
  <c r="AH185" i="12" s="1"/>
  <c r="AH163" i="12" s="1"/>
  <c r="R445" i="12"/>
  <c r="AF184" i="12"/>
  <c r="AF185" i="12" s="1"/>
  <c r="AF187" i="12" s="1"/>
  <c r="P445" i="12"/>
  <c r="M449" i="12"/>
  <c r="M450" i="12"/>
  <c r="M451" i="12"/>
  <c r="J449" i="12"/>
  <c r="J451" i="12"/>
  <c r="J450" i="12"/>
  <c r="AK184" i="12"/>
  <c r="AK185" i="12" s="1"/>
  <c r="AK187" i="12" s="1"/>
  <c r="U445" i="12"/>
  <c r="AI184" i="12"/>
  <c r="AI185" i="12" s="1"/>
  <c r="AI163" i="12" s="1"/>
  <c r="S445" i="12"/>
  <c r="AB184" i="12"/>
  <c r="AB185" i="12" s="1"/>
  <c r="AB163" i="12" s="1"/>
  <c r="L445" i="12"/>
  <c r="P449" i="12"/>
  <c r="P450" i="12"/>
  <c r="P451" i="12"/>
  <c r="O449" i="12"/>
  <c r="O450" i="12"/>
  <c r="O451" i="12"/>
  <c r="AC184" i="12"/>
  <c r="AC185" i="12" s="1"/>
  <c r="AC155" i="12" s="1"/>
  <c r="M445" i="12"/>
  <c r="AE184" i="12"/>
  <c r="AE185" i="12" s="1"/>
  <c r="AE171" i="12" s="1"/>
  <c r="O445" i="12"/>
  <c r="AN184" i="12"/>
  <c r="AN185" i="12" s="1"/>
  <c r="AN155" i="12" s="1"/>
  <c r="X445" i="12"/>
  <c r="R449" i="12"/>
  <c r="R450" i="12"/>
  <c r="R451" i="12"/>
  <c r="X449" i="12"/>
  <c r="X450" i="12"/>
  <c r="X451" i="12"/>
  <c r="AD184" i="12"/>
  <c r="AD185" i="12" s="1"/>
  <c r="AD149" i="12" s="1"/>
  <c r="N445" i="12"/>
  <c r="AJ184" i="12"/>
  <c r="AJ185" i="12" s="1"/>
  <c r="AJ163" i="12" s="1"/>
  <c r="T445" i="12"/>
  <c r="L449" i="12"/>
  <c r="L450" i="12"/>
  <c r="L451" i="12"/>
  <c r="K449" i="12"/>
  <c r="K450" i="12"/>
  <c r="K451" i="12"/>
  <c r="AG184" i="12"/>
  <c r="AG185" i="12" s="1"/>
  <c r="AG163" i="12" s="1"/>
  <c r="Q445" i="12"/>
  <c r="Y449" i="12"/>
  <c r="Y450" i="12"/>
  <c r="Y451" i="12"/>
  <c r="Q449" i="12"/>
  <c r="Q450" i="12"/>
  <c r="Q451" i="12"/>
  <c r="AA184" i="12"/>
  <c r="K445" i="12"/>
  <c r="AM184" i="12"/>
  <c r="AM185" i="12" s="1"/>
  <c r="AM187" i="12" s="1"/>
  <c r="W445" i="12"/>
  <c r="S449" i="12"/>
  <c r="S450" i="12"/>
  <c r="S451" i="12"/>
  <c r="T449" i="12"/>
  <c r="T450" i="12"/>
  <c r="T451" i="12"/>
  <c r="AL184" i="12"/>
  <c r="AL185" i="12" s="1"/>
  <c r="AL163" i="12" s="1"/>
  <c r="V445" i="12"/>
  <c r="Z184" i="12"/>
  <c r="Z185" i="12" s="1"/>
  <c r="Z149" i="12" s="1"/>
  <c r="J445" i="12"/>
  <c r="U449" i="12"/>
  <c r="U450" i="12"/>
  <c r="U451" i="12"/>
  <c r="N449" i="12"/>
  <c r="N450" i="12"/>
  <c r="N451" i="12"/>
  <c r="L5" i="12"/>
  <c r="L145" i="12"/>
  <c r="J145" i="12"/>
  <c r="J5" i="12"/>
  <c r="J118" i="12"/>
  <c r="L148" i="12"/>
  <c r="L162" i="12"/>
  <c r="L172" i="12"/>
  <c r="L18" i="12"/>
  <c r="L159" i="12"/>
  <c r="M157" i="12"/>
  <c r="M17" i="12"/>
  <c r="M60" i="12"/>
  <c r="M106" i="12"/>
  <c r="P172" i="12"/>
  <c r="P162" i="12"/>
  <c r="P148" i="12"/>
  <c r="P18" i="12"/>
  <c r="P159" i="12"/>
  <c r="S157" i="12"/>
  <c r="S60" i="12"/>
  <c r="S106" i="12"/>
  <c r="S17" i="12"/>
  <c r="V148" i="12"/>
  <c r="V162" i="12"/>
  <c r="V172" i="12"/>
  <c r="V18" i="12"/>
  <c r="V159" i="12"/>
  <c r="W157" i="12"/>
  <c r="W106" i="12"/>
  <c r="W17" i="12"/>
  <c r="W60" i="12"/>
  <c r="K162" i="12"/>
  <c r="J218" i="15" s="1"/>
  <c r="K148" i="12"/>
  <c r="J196" i="15" s="1"/>
  <c r="K172" i="12"/>
  <c r="J228" i="15" s="1"/>
  <c r="J179" i="12"/>
  <c r="J335" i="12" s="1"/>
  <c r="J121" i="12"/>
  <c r="M5" i="12"/>
  <c r="M145" i="12"/>
  <c r="M176" i="12"/>
  <c r="M166" i="12"/>
  <c r="S5" i="12"/>
  <c r="S145" i="12"/>
  <c r="S166" i="12"/>
  <c r="S176" i="12"/>
  <c r="W5" i="12"/>
  <c r="W145" i="12"/>
  <c r="W166" i="12"/>
  <c r="W176" i="12"/>
  <c r="L166" i="12"/>
  <c r="L176" i="12"/>
  <c r="J180" i="12"/>
  <c r="J122" i="12"/>
  <c r="M162" i="12"/>
  <c r="M148" i="12"/>
  <c r="M172" i="12"/>
  <c r="M18" i="12"/>
  <c r="M159" i="12"/>
  <c r="N157" i="12"/>
  <c r="N106" i="12"/>
  <c r="N60" i="12"/>
  <c r="N17" i="12"/>
  <c r="S162" i="12"/>
  <c r="S172" i="12"/>
  <c r="S148" i="12"/>
  <c r="S18" i="12"/>
  <c r="S159" i="12"/>
  <c r="T157" i="12"/>
  <c r="T60" i="12"/>
  <c r="T17" i="12"/>
  <c r="T106" i="12"/>
  <c r="W162" i="12"/>
  <c r="W172" i="12"/>
  <c r="W148" i="12"/>
  <c r="W18" i="12"/>
  <c r="W159" i="12"/>
  <c r="X157" i="12"/>
  <c r="X60" i="12"/>
  <c r="X106" i="12"/>
  <c r="X17" i="12"/>
  <c r="K18" i="12"/>
  <c r="J24" i="15" s="1"/>
  <c r="K159" i="12"/>
  <c r="J215" i="15" s="1"/>
  <c r="J162" i="12"/>
  <c r="J172" i="12"/>
  <c r="J148" i="12"/>
  <c r="J113" i="12"/>
  <c r="N5" i="12"/>
  <c r="N145" i="12"/>
  <c r="N166" i="12"/>
  <c r="N176" i="12"/>
  <c r="N184" i="12" s="1"/>
  <c r="N185" i="12" s="1"/>
  <c r="T5" i="12"/>
  <c r="T145" i="12"/>
  <c r="T166" i="12"/>
  <c r="T176" i="12"/>
  <c r="X5" i="12"/>
  <c r="X145" i="12"/>
  <c r="X166" i="12"/>
  <c r="X176" i="12"/>
  <c r="J181" i="12"/>
  <c r="J123" i="12"/>
  <c r="J190" i="12"/>
  <c r="J138" i="12"/>
  <c r="N162" i="12"/>
  <c r="N172" i="12"/>
  <c r="N148" i="12"/>
  <c r="N18" i="12"/>
  <c r="N159" i="12"/>
  <c r="O157" i="12"/>
  <c r="O106" i="12"/>
  <c r="O60" i="12"/>
  <c r="O17" i="12"/>
  <c r="P188" i="12"/>
  <c r="P131" i="12"/>
  <c r="T162" i="12"/>
  <c r="T148" i="12"/>
  <c r="T172" i="12"/>
  <c r="T18" i="12"/>
  <c r="T159" i="12"/>
  <c r="U157" i="12"/>
  <c r="U60" i="12"/>
  <c r="U17" i="12"/>
  <c r="U106" i="12"/>
  <c r="X172" i="12"/>
  <c r="X162" i="12"/>
  <c r="X148" i="12"/>
  <c r="X18" i="12"/>
  <c r="X159" i="12"/>
  <c r="J17" i="12"/>
  <c r="J106" i="12"/>
  <c r="J60" i="12"/>
  <c r="K157" i="12"/>
  <c r="J213" i="15" s="1"/>
  <c r="K106" i="12"/>
  <c r="J140" i="15" s="1"/>
  <c r="K60" i="12"/>
  <c r="J78" i="15" s="1"/>
  <c r="K17" i="12"/>
  <c r="J23" i="15" s="1"/>
  <c r="O5" i="12"/>
  <c r="O145" i="12"/>
  <c r="O166" i="12"/>
  <c r="O176" i="12"/>
  <c r="O184" i="12" s="1"/>
  <c r="O185" i="12" s="1"/>
  <c r="U5" i="12"/>
  <c r="U145" i="12"/>
  <c r="U176" i="12"/>
  <c r="U184" i="12" s="1"/>
  <c r="U185" i="12" s="1"/>
  <c r="U166" i="12"/>
  <c r="Y157" i="12"/>
  <c r="Y106" i="12"/>
  <c r="Y17" i="12"/>
  <c r="Y60" i="12"/>
  <c r="J159" i="12"/>
  <c r="J18" i="12"/>
  <c r="J182" i="12"/>
  <c r="J124" i="12"/>
  <c r="J186" i="12"/>
  <c r="J129" i="12"/>
  <c r="J166" i="12"/>
  <c r="J176" i="12"/>
  <c r="J109" i="12"/>
  <c r="J117" i="12"/>
  <c r="J161" i="12"/>
  <c r="J103" i="12"/>
  <c r="K5" i="12"/>
  <c r="J7" i="15" s="1"/>
  <c r="K145" i="12"/>
  <c r="K176" i="12"/>
  <c r="J236" i="15" s="1"/>
  <c r="K166" i="12"/>
  <c r="J222" i="15" s="1"/>
  <c r="L157" i="12"/>
  <c r="L60" i="12"/>
  <c r="L17" i="12"/>
  <c r="L106" i="12"/>
  <c r="O172" i="12"/>
  <c r="O148" i="12"/>
  <c r="O162" i="12"/>
  <c r="O18" i="12"/>
  <c r="O159" i="12"/>
  <c r="P157" i="12"/>
  <c r="P17" i="12"/>
  <c r="P60" i="12"/>
  <c r="P106" i="12"/>
  <c r="U172" i="12"/>
  <c r="U148" i="12"/>
  <c r="U162" i="12"/>
  <c r="U18" i="12"/>
  <c r="U159" i="12"/>
  <c r="V157" i="12"/>
  <c r="V17" i="12"/>
  <c r="V60" i="12"/>
  <c r="V106" i="12"/>
  <c r="Y5" i="12"/>
  <c r="Y145" i="12"/>
  <c r="Y166" i="12"/>
  <c r="Y176" i="12"/>
  <c r="R187" i="12"/>
  <c r="R149" i="12"/>
  <c r="R147" i="12"/>
  <c r="R155" i="12"/>
  <c r="R171" i="12"/>
  <c r="R163" i="12"/>
  <c r="P5" i="12"/>
  <c r="P145" i="12"/>
  <c r="P176" i="12"/>
  <c r="P184" i="12" s="1"/>
  <c r="P185" i="12" s="1"/>
  <c r="P166" i="12"/>
  <c r="V5" i="12"/>
  <c r="V145" i="12"/>
  <c r="V166" i="12"/>
  <c r="V176" i="12"/>
  <c r="Y162" i="12"/>
  <c r="Y172" i="12"/>
  <c r="Y148" i="12"/>
  <c r="Y18" i="12"/>
  <c r="Y159" i="12"/>
  <c r="Q187" i="12"/>
  <c r="Q171" i="12"/>
  <c r="Q163" i="12"/>
  <c r="Q149" i="12"/>
  <c r="Q147" i="12"/>
  <c r="Q155" i="12"/>
  <c r="K73" i="12"/>
  <c r="J95" i="15" s="1"/>
  <c r="K120" i="12"/>
  <c r="J160" i="15" s="1"/>
  <c r="J73" i="12"/>
  <c r="L358" i="12"/>
  <c r="J358" i="12"/>
  <c r="T358" i="12"/>
  <c r="N358" i="12"/>
  <c r="P358" i="12"/>
  <c r="R358" i="12"/>
  <c r="Y425" i="12"/>
  <c r="Y424" i="12"/>
  <c r="O361" i="12"/>
  <c r="O365" i="12"/>
  <c r="O363" i="12"/>
  <c r="R395" i="12"/>
  <c r="R394" i="12"/>
  <c r="T361" i="12"/>
  <c r="T363" i="12"/>
  <c r="T365" i="12"/>
  <c r="Y395" i="12"/>
  <c r="Y394" i="12"/>
  <c r="V424" i="12"/>
  <c r="V425" i="12"/>
  <c r="S394" i="12"/>
  <c r="S395" i="12"/>
  <c r="O424" i="12"/>
  <c r="O425" i="12"/>
  <c r="W361" i="12"/>
  <c r="W365" i="12"/>
  <c r="W363" i="12"/>
  <c r="U394" i="12"/>
  <c r="U395" i="12"/>
  <c r="Y361" i="12"/>
  <c r="Y363" i="12"/>
  <c r="Y365" i="12"/>
  <c r="T424" i="12"/>
  <c r="T425" i="12"/>
  <c r="V361" i="12"/>
  <c r="V363" i="12"/>
  <c r="V365" i="12"/>
  <c r="U361" i="12"/>
  <c r="U365" i="12"/>
  <c r="U363" i="12"/>
  <c r="N361" i="12"/>
  <c r="N363" i="12"/>
  <c r="N365" i="12"/>
  <c r="M394" i="12"/>
  <c r="M395" i="12"/>
  <c r="X394" i="12"/>
  <c r="X395" i="12"/>
  <c r="V358" i="12"/>
  <c r="N424" i="12"/>
  <c r="N425" i="12"/>
  <c r="T394" i="12"/>
  <c r="T395" i="12"/>
  <c r="W424" i="12"/>
  <c r="W425" i="12"/>
  <c r="P361" i="12"/>
  <c r="P365" i="12"/>
  <c r="P363" i="12"/>
  <c r="X425" i="12"/>
  <c r="X424" i="12"/>
  <c r="M361" i="12"/>
  <c r="M363" i="12"/>
  <c r="M365" i="12"/>
  <c r="U358" i="12"/>
  <c r="U425" i="12"/>
  <c r="U424" i="12"/>
  <c r="W394" i="12"/>
  <c r="W395" i="12"/>
  <c r="M425" i="12"/>
  <c r="M424" i="12"/>
  <c r="L361" i="12"/>
  <c r="L363" i="12"/>
  <c r="L365" i="12"/>
  <c r="Q361" i="12"/>
  <c r="Q363" i="12"/>
  <c r="Q365" i="12"/>
  <c r="L394" i="12"/>
  <c r="L395" i="12"/>
  <c r="W358" i="12"/>
  <c r="Y358" i="12"/>
  <c r="P425" i="12"/>
  <c r="P424" i="12"/>
  <c r="R361" i="12"/>
  <c r="R365" i="12"/>
  <c r="R363" i="12"/>
  <c r="Q425" i="12"/>
  <c r="Q424" i="12"/>
  <c r="S424" i="12"/>
  <c r="S425" i="12"/>
  <c r="S361" i="12"/>
  <c r="S365" i="12"/>
  <c r="S363" i="12"/>
  <c r="V394" i="12"/>
  <c r="V395" i="12"/>
  <c r="P394" i="12"/>
  <c r="P395" i="12"/>
  <c r="R424" i="12"/>
  <c r="R425" i="12"/>
  <c r="L424" i="12"/>
  <c r="L425" i="12"/>
  <c r="X361" i="12"/>
  <c r="X365" i="12"/>
  <c r="X363" i="12"/>
  <c r="Q395" i="12"/>
  <c r="Q394" i="12"/>
  <c r="O394" i="12"/>
  <c r="O395" i="12"/>
  <c r="N394" i="12"/>
  <c r="N395" i="12"/>
  <c r="Q358" i="12"/>
  <c r="S358" i="12"/>
  <c r="O358" i="12"/>
  <c r="X358" i="12"/>
  <c r="M358" i="12"/>
  <c r="K361" i="12"/>
  <c r="K363" i="12"/>
  <c r="K365" i="12"/>
  <c r="K425" i="12"/>
  <c r="K424" i="12"/>
  <c r="K395" i="12"/>
  <c r="K394" i="12"/>
  <c r="J395" i="12"/>
  <c r="J394" i="12"/>
  <c r="J424" i="12"/>
  <c r="J425" i="12"/>
  <c r="K358" i="12"/>
  <c r="J365" i="12"/>
  <c r="J363" i="12"/>
  <c r="AJ81" i="12"/>
  <c r="AJ82" i="12" s="1"/>
  <c r="R119" i="12"/>
  <c r="R127" i="12" s="1"/>
  <c r="R128" i="12" s="1"/>
  <c r="R310" i="12" s="1"/>
  <c r="AM119" i="12"/>
  <c r="W415" i="12" s="1"/>
  <c r="AL119" i="12"/>
  <c r="V415" i="12" s="1"/>
  <c r="AH35" i="12"/>
  <c r="AH36" i="12" s="1"/>
  <c r="AH10" i="12" s="1"/>
  <c r="AB81" i="12"/>
  <c r="AB82" i="12" s="1"/>
  <c r="L379" i="12" s="1"/>
  <c r="AF81" i="12"/>
  <c r="AF82" i="12" s="1"/>
  <c r="AF66" i="12" s="1"/>
  <c r="AN81" i="12"/>
  <c r="AN82" i="12" s="1"/>
  <c r="X379" i="12" s="1"/>
  <c r="AN119" i="12"/>
  <c r="X415" i="12" s="1"/>
  <c r="AE119" i="12"/>
  <c r="O415" i="12" s="1"/>
  <c r="AK119" i="12"/>
  <c r="U415" i="12" s="1"/>
  <c r="AL81" i="12"/>
  <c r="AL82" i="12" s="1"/>
  <c r="V379" i="12" s="1"/>
  <c r="AB35" i="12"/>
  <c r="AB36" i="12" s="1"/>
  <c r="AB38" i="12" s="1"/>
  <c r="AD81" i="12"/>
  <c r="AD82" i="12" s="1"/>
  <c r="AD56" i="12" s="1"/>
  <c r="AO35" i="12"/>
  <c r="AO36" i="12" s="1"/>
  <c r="Y348" i="12" s="1"/>
  <c r="AO119" i="12"/>
  <c r="Y415" i="12" s="1"/>
  <c r="AN35" i="12"/>
  <c r="AN36" i="12" s="1"/>
  <c r="AN38" i="12" s="1"/>
  <c r="R35" i="12"/>
  <c r="R36" i="12" s="1"/>
  <c r="R267" i="12" s="1"/>
  <c r="AJ119" i="12"/>
  <c r="T415" i="12" s="1"/>
  <c r="AL35" i="12"/>
  <c r="AL36" i="12" s="1"/>
  <c r="AD35" i="12"/>
  <c r="AD36" i="12" s="1"/>
  <c r="AF35" i="12"/>
  <c r="AF36" i="12" s="1"/>
  <c r="AF16" i="12" s="1"/>
  <c r="AO81" i="12"/>
  <c r="AO82" i="12" s="1"/>
  <c r="AO66" i="12" s="1"/>
  <c r="AH81" i="12"/>
  <c r="AH82" i="12" s="1"/>
  <c r="AH56" i="12" s="1"/>
  <c r="AJ35" i="12"/>
  <c r="AJ36" i="12" s="1"/>
  <c r="AJ12" i="12" s="1"/>
  <c r="AG119" i="12"/>
  <c r="Q415" i="12" s="1"/>
  <c r="AI119" i="12"/>
  <c r="S415" i="12" s="1"/>
  <c r="AM81" i="12"/>
  <c r="AM82" i="12" s="1"/>
  <c r="AM90" i="12" s="1"/>
  <c r="AG35" i="12"/>
  <c r="AG36" i="12" s="1"/>
  <c r="AK81" i="12"/>
  <c r="AK82" i="12" s="1"/>
  <c r="R81" i="12"/>
  <c r="R82" i="12" s="1"/>
  <c r="AE81" i="12"/>
  <c r="AE82" i="12" s="1"/>
  <c r="O379" i="12" s="1"/>
  <c r="AC119" i="12"/>
  <c r="M415" i="12" s="1"/>
  <c r="Q119" i="12"/>
  <c r="Q35" i="12"/>
  <c r="Q36" i="12" s="1"/>
  <c r="Q267" i="12" s="1"/>
  <c r="AC81" i="12"/>
  <c r="AC82" i="12" s="1"/>
  <c r="M379" i="12" s="1"/>
  <c r="AK35" i="12"/>
  <c r="AK36" i="12" s="1"/>
  <c r="AK38" i="12" s="1"/>
  <c r="AI81" i="12"/>
  <c r="AI82" i="12" s="1"/>
  <c r="AD119" i="12"/>
  <c r="N415" i="12" s="1"/>
  <c r="AF119" i="12"/>
  <c r="P415" i="12" s="1"/>
  <c r="AE35" i="12"/>
  <c r="AE36" i="12" s="1"/>
  <c r="AE38" i="12" s="1"/>
  <c r="AH119" i="12"/>
  <c r="R415" i="12" s="1"/>
  <c r="AB119" i="12"/>
  <c r="L415" i="12" s="1"/>
  <c r="AC35" i="12"/>
  <c r="AC36" i="12" s="1"/>
  <c r="AC16" i="12" s="1"/>
  <c r="AM35" i="12"/>
  <c r="AM36" i="12" s="1"/>
  <c r="AM38" i="12" s="1"/>
  <c r="AG81" i="12"/>
  <c r="AG82" i="12" s="1"/>
  <c r="AG84" i="12" s="1"/>
  <c r="AI35" i="12"/>
  <c r="AI36" i="12" s="1"/>
  <c r="AI38" i="12" s="1"/>
  <c r="Q81" i="12"/>
  <c r="Q82" i="12" s="1"/>
  <c r="Q59" i="12" s="1"/>
  <c r="J83" i="12"/>
  <c r="J136" i="12"/>
  <c r="J89" i="12"/>
  <c r="AA119" i="12"/>
  <c r="K157" i="15" s="1"/>
  <c r="Z81" i="12"/>
  <c r="Z82" i="12" s="1"/>
  <c r="Z35" i="12"/>
  <c r="Z36" i="12" s="1"/>
  <c r="Z16" i="12" s="1"/>
  <c r="AA35" i="12"/>
  <c r="AA81" i="12"/>
  <c r="AT12" i="1"/>
  <c r="O70" i="12"/>
  <c r="O116" i="12"/>
  <c r="O28" i="12"/>
  <c r="U116" i="12"/>
  <c r="U28" i="12"/>
  <c r="U70" i="12"/>
  <c r="K116" i="12"/>
  <c r="J154" i="15" s="1"/>
  <c r="K70" i="12"/>
  <c r="J92" i="15" s="1"/>
  <c r="K28" i="12"/>
  <c r="J36" i="15" s="1"/>
  <c r="Z119" i="12"/>
  <c r="P70" i="12"/>
  <c r="P28" i="12"/>
  <c r="P116" i="12"/>
  <c r="V70" i="12"/>
  <c r="V116" i="12"/>
  <c r="V28" i="12"/>
  <c r="M116" i="12"/>
  <c r="M70" i="12"/>
  <c r="M28" i="12"/>
  <c r="S70" i="12"/>
  <c r="S28" i="12"/>
  <c r="S116" i="12"/>
  <c r="W116" i="12"/>
  <c r="W28" i="12"/>
  <c r="W70" i="12"/>
  <c r="N70" i="12"/>
  <c r="N28" i="12"/>
  <c r="N116" i="12"/>
  <c r="T28" i="12"/>
  <c r="T116" i="12"/>
  <c r="T70" i="12"/>
  <c r="X28" i="12"/>
  <c r="X70" i="12"/>
  <c r="X116" i="12"/>
  <c r="L116" i="12"/>
  <c r="L28" i="12"/>
  <c r="L70" i="12"/>
  <c r="Y116" i="12"/>
  <c r="Y28" i="12"/>
  <c r="Y70" i="12"/>
  <c r="N131" i="12"/>
  <c r="N85" i="12"/>
  <c r="N39" i="12"/>
  <c r="O45" i="12"/>
  <c r="O138" i="12"/>
  <c r="T131" i="12"/>
  <c r="T39" i="12"/>
  <c r="T85" i="12"/>
  <c r="U45" i="12"/>
  <c r="U138" i="12"/>
  <c r="X131" i="12"/>
  <c r="X85" i="12"/>
  <c r="X39" i="12"/>
  <c r="Y135" i="12"/>
  <c r="Y42" i="12"/>
  <c r="Y48" i="12"/>
  <c r="K45" i="12"/>
  <c r="J59" i="15" s="1"/>
  <c r="K138" i="12"/>
  <c r="J184" i="15" s="1"/>
  <c r="O134" i="12"/>
  <c r="O87" i="12"/>
  <c r="O41" i="12"/>
  <c r="P135" i="12"/>
  <c r="P42" i="12"/>
  <c r="P48" i="12"/>
  <c r="U134" i="12"/>
  <c r="U87" i="12"/>
  <c r="U41" i="12"/>
  <c r="V135" i="12"/>
  <c r="V42" i="12"/>
  <c r="V48" i="12"/>
  <c r="Y45" i="12"/>
  <c r="Y138" i="12"/>
  <c r="K135" i="12"/>
  <c r="J179" i="15" s="1"/>
  <c r="K48" i="12"/>
  <c r="J62" i="15" s="1"/>
  <c r="K42" i="12"/>
  <c r="J54" i="15" s="1"/>
  <c r="J135" i="12"/>
  <c r="J48" i="12"/>
  <c r="J42" i="12"/>
  <c r="K134" i="12"/>
  <c r="J178" i="15" s="1"/>
  <c r="K87" i="12"/>
  <c r="J113" i="15" s="1"/>
  <c r="K41" i="12"/>
  <c r="J53" i="15" s="1"/>
  <c r="L45" i="12"/>
  <c r="L138" i="12"/>
  <c r="O131" i="12"/>
  <c r="O85" i="12"/>
  <c r="O39" i="12"/>
  <c r="P45" i="12"/>
  <c r="P138" i="12"/>
  <c r="U131" i="12"/>
  <c r="U39" i="12"/>
  <c r="U85" i="12"/>
  <c r="V45" i="12"/>
  <c r="V138" i="12"/>
  <c r="Y134" i="12"/>
  <c r="Y87" i="12"/>
  <c r="Y41" i="12"/>
  <c r="J45" i="12"/>
  <c r="K131" i="12"/>
  <c r="J175" i="15" s="1"/>
  <c r="K39" i="12"/>
  <c r="J51" i="15" s="1"/>
  <c r="K85" i="12"/>
  <c r="J111" i="15" s="1"/>
  <c r="L134" i="12"/>
  <c r="L41" i="12"/>
  <c r="L87" i="12"/>
  <c r="M135" i="12"/>
  <c r="M42" i="12"/>
  <c r="M48" i="12"/>
  <c r="P134" i="12"/>
  <c r="P41" i="12"/>
  <c r="P87" i="12"/>
  <c r="S135" i="12"/>
  <c r="S48" i="12"/>
  <c r="S42" i="12"/>
  <c r="V134" i="12"/>
  <c r="V87" i="12"/>
  <c r="V41" i="12"/>
  <c r="W135" i="12"/>
  <c r="W42" i="12"/>
  <c r="W48" i="12"/>
  <c r="Y131" i="12"/>
  <c r="Y85" i="12"/>
  <c r="Y39" i="12"/>
  <c r="L135" i="12"/>
  <c r="L42" i="12"/>
  <c r="L48" i="12"/>
  <c r="J134" i="12"/>
  <c r="J87" i="12"/>
  <c r="J41" i="12"/>
  <c r="L131" i="12"/>
  <c r="L39" i="12"/>
  <c r="L85" i="12"/>
  <c r="M45" i="12"/>
  <c r="M138" i="12"/>
  <c r="P85" i="12"/>
  <c r="P39" i="12"/>
  <c r="S45" i="12"/>
  <c r="S138" i="12"/>
  <c r="V131" i="12"/>
  <c r="V39" i="12"/>
  <c r="V85" i="12"/>
  <c r="W45" i="12"/>
  <c r="W138" i="12"/>
  <c r="J131" i="12"/>
  <c r="J39" i="12"/>
  <c r="J85" i="12"/>
  <c r="M134" i="12"/>
  <c r="M41" i="12"/>
  <c r="M87" i="12"/>
  <c r="N135" i="12"/>
  <c r="N48" i="12"/>
  <c r="N42" i="12"/>
  <c r="S134" i="12"/>
  <c r="S87" i="12"/>
  <c r="S41" i="12"/>
  <c r="T135" i="12"/>
  <c r="T48" i="12"/>
  <c r="T42" i="12"/>
  <c r="W134" i="12"/>
  <c r="W87" i="12"/>
  <c r="W41" i="12"/>
  <c r="X135" i="12"/>
  <c r="X42" i="12"/>
  <c r="X48" i="12"/>
  <c r="M131" i="12"/>
  <c r="M39" i="12"/>
  <c r="M85" i="12"/>
  <c r="N45" i="12"/>
  <c r="N138" i="12"/>
  <c r="S131" i="12"/>
  <c r="S39" i="12"/>
  <c r="S85" i="12"/>
  <c r="T45" i="12"/>
  <c r="T138" i="12"/>
  <c r="W131" i="12"/>
  <c r="W39" i="12"/>
  <c r="W85" i="12"/>
  <c r="X45" i="12"/>
  <c r="X138" i="12"/>
  <c r="N134" i="12"/>
  <c r="N87" i="12"/>
  <c r="N41" i="12"/>
  <c r="O135" i="12"/>
  <c r="O48" i="12"/>
  <c r="O42" i="12"/>
  <c r="T134" i="12"/>
  <c r="T87" i="12"/>
  <c r="T41" i="12"/>
  <c r="U135" i="12"/>
  <c r="U48" i="12"/>
  <c r="U42" i="12"/>
  <c r="X134" i="12"/>
  <c r="X41" i="12"/>
  <c r="X87" i="12"/>
  <c r="J126" i="12"/>
  <c r="X73" i="12"/>
  <c r="W73" i="12"/>
  <c r="V120" i="12"/>
  <c r="P120" i="12"/>
  <c r="S73" i="12"/>
  <c r="Y120" i="12"/>
  <c r="L120" i="12"/>
  <c r="M73" i="12"/>
  <c r="M120" i="12"/>
  <c r="N73" i="12"/>
  <c r="S120" i="12"/>
  <c r="T73" i="12"/>
  <c r="W120" i="12"/>
  <c r="T120" i="12"/>
  <c r="U73" i="12"/>
  <c r="Y73" i="12"/>
  <c r="N120" i="12"/>
  <c r="O73" i="12"/>
  <c r="X120" i="12"/>
  <c r="L73" i="12"/>
  <c r="O120" i="12"/>
  <c r="P73" i="12"/>
  <c r="U120" i="12"/>
  <c r="V73" i="12"/>
  <c r="K118" i="12"/>
  <c r="J156" i="15" s="1"/>
  <c r="K111" i="12"/>
  <c r="J147" i="15" s="1"/>
  <c r="K129" i="12"/>
  <c r="J171" i="15" s="1"/>
  <c r="K83" i="12"/>
  <c r="J107" i="15" s="1"/>
  <c r="K37" i="12"/>
  <c r="J47" i="15" s="1"/>
  <c r="K65" i="12"/>
  <c r="J85" i="15" s="1"/>
  <c r="K23" i="12"/>
  <c r="J31" i="15" s="1"/>
  <c r="K96" i="12"/>
  <c r="J128" i="15" s="1"/>
  <c r="K53" i="12"/>
  <c r="J69" i="15" s="1"/>
  <c r="K7" i="12"/>
  <c r="J9" i="15" s="1"/>
  <c r="L33" i="12"/>
  <c r="L124" i="12"/>
  <c r="L79" i="12"/>
  <c r="L129" i="12"/>
  <c r="L83" i="12"/>
  <c r="L37" i="12"/>
  <c r="M136" i="12"/>
  <c r="M89" i="12"/>
  <c r="M43" i="12"/>
  <c r="N31" i="12"/>
  <c r="N270" i="12" s="1"/>
  <c r="N122" i="12"/>
  <c r="N77" i="12"/>
  <c r="N118" i="12"/>
  <c r="N111" i="12"/>
  <c r="O109" i="12"/>
  <c r="O117" i="12"/>
  <c r="O71" i="12"/>
  <c r="O63" i="12"/>
  <c r="O14" i="12"/>
  <c r="O103" i="12"/>
  <c r="P33" i="12"/>
  <c r="P124" i="12"/>
  <c r="P79" i="12"/>
  <c r="P129" i="12"/>
  <c r="P83" i="12"/>
  <c r="P37" i="12"/>
  <c r="S136" i="12"/>
  <c r="S89" i="12"/>
  <c r="S43" i="12"/>
  <c r="T31" i="12"/>
  <c r="T270" i="12" s="1"/>
  <c r="T122" i="12"/>
  <c r="T77" i="12"/>
  <c r="T118" i="12"/>
  <c r="T111" i="12"/>
  <c r="U109" i="12"/>
  <c r="U117" i="12"/>
  <c r="U71" i="12"/>
  <c r="U63" i="12"/>
  <c r="U14" i="12"/>
  <c r="U103" i="12"/>
  <c r="V33" i="12"/>
  <c r="V124" i="12"/>
  <c r="V79" i="12"/>
  <c r="V129" i="12"/>
  <c r="V83" i="12"/>
  <c r="V37" i="12"/>
  <c r="W136" i="12"/>
  <c r="W89" i="12"/>
  <c r="W43" i="12"/>
  <c r="X31" i="12"/>
  <c r="X270" i="12" s="1"/>
  <c r="X122" i="12"/>
  <c r="X77" i="12"/>
  <c r="X118" i="12"/>
  <c r="X111" i="12"/>
  <c r="Y65" i="12"/>
  <c r="Y23" i="12"/>
  <c r="Y96" i="12"/>
  <c r="Y53" i="12"/>
  <c r="Y7" i="12"/>
  <c r="J71" i="12"/>
  <c r="J29" i="12"/>
  <c r="J63" i="12"/>
  <c r="J22" i="12"/>
  <c r="K109" i="12"/>
  <c r="J145" i="15" s="1"/>
  <c r="K117" i="12"/>
  <c r="J155" i="15" s="1"/>
  <c r="K71" i="12"/>
  <c r="J93" i="15" s="1"/>
  <c r="K63" i="12"/>
  <c r="J83" i="15" s="1"/>
  <c r="K14" i="12"/>
  <c r="J18" i="15" s="1"/>
  <c r="K103" i="12"/>
  <c r="J137" i="15" s="1"/>
  <c r="L65" i="12"/>
  <c r="L23" i="12"/>
  <c r="L96" i="12"/>
  <c r="L53" i="12"/>
  <c r="L7" i="12"/>
  <c r="N32" i="12"/>
  <c r="N271" i="12" s="1"/>
  <c r="N123" i="12"/>
  <c r="N78" i="12"/>
  <c r="O30" i="12"/>
  <c r="O121" i="12"/>
  <c r="O76" i="12"/>
  <c r="O100" i="12"/>
  <c r="O113" i="12"/>
  <c r="O104" i="12"/>
  <c r="O57" i="12"/>
  <c r="O75" i="12"/>
  <c r="O11" i="12"/>
  <c r="O67" i="12"/>
  <c r="O58" i="12"/>
  <c r="P65" i="12"/>
  <c r="P23" i="12"/>
  <c r="P96" i="12"/>
  <c r="P53" i="12"/>
  <c r="P7" i="12"/>
  <c r="T32" i="12"/>
  <c r="T271" i="12" s="1"/>
  <c r="T123" i="12"/>
  <c r="T78" i="12"/>
  <c r="U30" i="12"/>
  <c r="U121" i="12"/>
  <c r="U76" i="12"/>
  <c r="U100" i="12"/>
  <c r="U113" i="12"/>
  <c r="U57" i="12"/>
  <c r="U104" i="12"/>
  <c r="U75" i="12"/>
  <c r="U11" i="12"/>
  <c r="U67" i="12"/>
  <c r="U58" i="12"/>
  <c r="V65" i="12"/>
  <c r="V23" i="12"/>
  <c r="V96" i="12"/>
  <c r="V53" i="12"/>
  <c r="V7" i="12"/>
  <c r="X32" i="12"/>
  <c r="X271" i="12" s="1"/>
  <c r="X123" i="12"/>
  <c r="X78" i="12"/>
  <c r="Y109" i="12"/>
  <c r="Y117" i="12"/>
  <c r="Y71" i="12"/>
  <c r="Y63" i="12"/>
  <c r="Y14" i="12"/>
  <c r="Y103" i="12"/>
  <c r="J65" i="12"/>
  <c r="J23" i="12"/>
  <c r="K30" i="12"/>
  <c r="J38" i="15" s="1"/>
  <c r="K121" i="12"/>
  <c r="J161" i="15" s="1"/>
  <c r="K76" i="12"/>
  <c r="J98" i="15" s="1"/>
  <c r="K100" i="12"/>
  <c r="J132" i="15" s="1"/>
  <c r="K113" i="12"/>
  <c r="J151" i="15" s="1"/>
  <c r="K104" i="12"/>
  <c r="J138" i="15" s="1"/>
  <c r="K57" i="12"/>
  <c r="J75" i="15" s="1"/>
  <c r="K75" i="12"/>
  <c r="J97" i="15" s="1"/>
  <c r="K11" i="12"/>
  <c r="J13" i="15" s="1"/>
  <c r="K67" i="12"/>
  <c r="J89" i="15" s="1"/>
  <c r="K58" i="12"/>
  <c r="J76" i="15" s="1"/>
  <c r="J127" i="15"/>
  <c r="L109" i="12"/>
  <c r="L117" i="12"/>
  <c r="L71" i="12"/>
  <c r="L63" i="12"/>
  <c r="L14" i="12"/>
  <c r="L103" i="12"/>
  <c r="M33" i="12"/>
  <c r="M124" i="12"/>
  <c r="M79" i="12"/>
  <c r="M129" i="12"/>
  <c r="M83" i="12"/>
  <c r="M37" i="12"/>
  <c r="N136" i="12"/>
  <c r="N89" i="12"/>
  <c r="N43" i="12"/>
  <c r="O31" i="12"/>
  <c r="O270" i="12" s="1"/>
  <c r="O122" i="12"/>
  <c r="O77" i="12"/>
  <c r="O118" i="12"/>
  <c r="O111" i="12"/>
  <c r="P109" i="12"/>
  <c r="P117" i="12"/>
  <c r="P71" i="12"/>
  <c r="P63" i="12"/>
  <c r="P14" i="12"/>
  <c r="P103" i="12"/>
  <c r="S33" i="12"/>
  <c r="S124" i="12"/>
  <c r="S79" i="12"/>
  <c r="S129" i="12"/>
  <c r="S83" i="12"/>
  <c r="S37" i="12"/>
  <c r="T136" i="12"/>
  <c r="T89" i="12"/>
  <c r="T43" i="12"/>
  <c r="U31" i="12"/>
  <c r="U270" i="12" s="1"/>
  <c r="U122" i="12"/>
  <c r="U77" i="12"/>
  <c r="U118" i="12"/>
  <c r="U111" i="12"/>
  <c r="V109" i="12"/>
  <c r="V117" i="12"/>
  <c r="V71" i="12"/>
  <c r="V63" i="12"/>
  <c r="V14" i="12"/>
  <c r="V103" i="12"/>
  <c r="W33" i="12"/>
  <c r="W124" i="12"/>
  <c r="W79" i="12"/>
  <c r="W129" i="12"/>
  <c r="W83" i="12"/>
  <c r="W37" i="12"/>
  <c r="X136" i="12"/>
  <c r="X89" i="12"/>
  <c r="X43" i="12"/>
  <c r="Y30" i="12"/>
  <c r="Y121" i="12"/>
  <c r="Y76" i="12"/>
  <c r="Y100" i="12"/>
  <c r="Y113" i="12"/>
  <c r="Y75" i="12"/>
  <c r="Y104" i="12"/>
  <c r="Y57" i="12"/>
  <c r="Y11" i="12"/>
  <c r="Y67" i="12"/>
  <c r="Y58" i="12"/>
  <c r="V30" i="12"/>
  <c r="V121" i="12"/>
  <c r="V76" i="12"/>
  <c r="V100" i="12"/>
  <c r="V113" i="12"/>
  <c r="V104" i="12"/>
  <c r="V57" i="12"/>
  <c r="V75" i="12"/>
  <c r="V11" i="12"/>
  <c r="V67" i="12"/>
  <c r="V58" i="12"/>
  <c r="W65" i="12"/>
  <c r="W23" i="12"/>
  <c r="W96" i="12"/>
  <c r="W53" i="12"/>
  <c r="W7" i="12"/>
  <c r="Y31" i="12"/>
  <c r="Y270" i="12" s="1"/>
  <c r="Y122" i="12"/>
  <c r="Y77" i="12"/>
  <c r="Y118" i="12"/>
  <c r="Y111" i="12"/>
  <c r="J37" i="12"/>
  <c r="AT9" i="1"/>
  <c r="P30" i="12"/>
  <c r="P121" i="12"/>
  <c r="P76" i="12"/>
  <c r="S96" i="12"/>
  <c r="S53" i="12"/>
  <c r="S7" i="12"/>
  <c r="U32" i="12"/>
  <c r="U271" i="12" s="1"/>
  <c r="U123" i="12"/>
  <c r="U78" i="12"/>
  <c r="J76" i="12"/>
  <c r="J30" i="12"/>
  <c r="J100" i="12"/>
  <c r="J104" i="12"/>
  <c r="J67" i="12"/>
  <c r="J57" i="12"/>
  <c r="J75" i="12"/>
  <c r="J11" i="12"/>
  <c r="J58" i="12"/>
  <c r="J15" i="12"/>
  <c r="K32" i="12"/>
  <c r="K123" i="12"/>
  <c r="J163" i="15" s="1"/>
  <c r="K78" i="12"/>
  <c r="J100" i="15" s="1"/>
  <c r="L31" i="12"/>
  <c r="L270" i="12" s="1"/>
  <c r="L122" i="12"/>
  <c r="L77" i="12"/>
  <c r="L118" i="12"/>
  <c r="L111" i="12"/>
  <c r="M109" i="12"/>
  <c r="M117" i="12"/>
  <c r="M71" i="12"/>
  <c r="M63" i="12"/>
  <c r="M14" i="12"/>
  <c r="M103" i="12"/>
  <c r="N33" i="12"/>
  <c r="N124" i="12"/>
  <c r="N79" i="12"/>
  <c r="N129" i="12"/>
  <c r="N83" i="12"/>
  <c r="N37" i="12"/>
  <c r="O136" i="12"/>
  <c r="O89" i="12"/>
  <c r="O43" i="12"/>
  <c r="P31" i="12"/>
  <c r="P270" i="12" s="1"/>
  <c r="P122" i="12"/>
  <c r="P77" i="12"/>
  <c r="P118" i="12"/>
  <c r="P111" i="12"/>
  <c r="S109" i="12"/>
  <c r="S117" i="12"/>
  <c r="S71" i="12"/>
  <c r="S63" i="12"/>
  <c r="S14" i="12"/>
  <c r="S103" i="12"/>
  <c r="T33" i="12"/>
  <c r="T124" i="12"/>
  <c r="T79" i="12"/>
  <c r="T129" i="12"/>
  <c r="T83" i="12"/>
  <c r="T37" i="12"/>
  <c r="U136" i="12"/>
  <c r="U89" i="12"/>
  <c r="U43" i="12"/>
  <c r="V31" i="12"/>
  <c r="V270" i="12" s="1"/>
  <c r="V122" i="12"/>
  <c r="V77" i="12"/>
  <c r="V118" i="12"/>
  <c r="V111" i="12"/>
  <c r="W109" i="12"/>
  <c r="W117" i="12"/>
  <c r="W71" i="12"/>
  <c r="W63" i="12"/>
  <c r="W14" i="12"/>
  <c r="W103" i="12"/>
  <c r="X33" i="12"/>
  <c r="X124" i="12"/>
  <c r="X79" i="12"/>
  <c r="X129" i="12"/>
  <c r="X83" i="12"/>
  <c r="X37" i="12"/>
  <c r="Y32" i="12"/>
  <c r="Y271" i="12" s="1"/>
  <c r="Y123" i="12"/>
  <c r="Y78" i="12"/>
  <c r="J111" i="12"/>
  <c r="M96" i="12"/>
  <c r="M53" i="12"/>
  <c r="M7" i="12"/>
  <c r="O32" i="12"/>
  <c r="O271" i="12" s="1"/>
  <c r="O123" i="12"/>
  <c r="O78" i="12"/>
  <c r="P100" i="12"/>
  <c r="P113" i="12"/>
  <c r="P57" i="12"/>
  <c r="P104" i="12"/>
  <c r="P75" i="12"/>
  <c r="P11" i="12"/>
  <c r="P67" i="12"/>
  <c r="P58" i="12"/>
  <c r="J77" i="12"/>
  <c r="J31" i="12"/>
  <c r="J270" i="12" s="1"/>
  <c r="K89" i="12"/>
  <c r="J115" i="15" s="1"/>
  <c r="K43" i="12"/>
  <c r="J55" i="15" s="1"/>
  <c r="L32" i="12"/>
  <c r="L271" i="12" s="1"/>
  <c r="L123" i="12"/>
  <c r="L78" i="12"/>
  <c r="M30" i="12"/>
  <c r="M121" i="12"/>
  <c r="M76" i="12"/>
  <c r="M100" i="12"/>
  <c r="M113" i="12"/>
  <c r="M104" i="12"/>
  <c r="M57" i="12"/>
  <c r="M75" i="12"/>
  <c r="M11" i="12"/>
  <c r="M67" i="12"/>
  <c r="M58" i="12"/>
  <c r="N65" i="12"/>
  <c r="N23" i="12"/>
  <c r="N96" i="12"/>
  <c r="N53" i="12"/>
  <c r="N7" i="12"/>
  <c r="P32" i="12"/>
  <c r="P271" i="12" s="1"/>
  <c r="P123" i="12"/>
  <c r="P78" i="12"/>
  <c r="S30" i="12"/>
  <c r="S121" i="12"/>
  <c r="S76" i="12"/>
  <c r="S100" i="12"/>
  <c r="S113" i="12"/>
  <c r="S57" i="12"/>
  <c r="S104" i="12"/>
  <c r="S75" i="12"/>
  <c r="S11" i="12"/>
  <c r="S67" i="12"/>
  <c r="S58" i="12"/>
  <c r="T65" i="12"/>
  <c r="T23" i="12"/>
  <c r="T96" i="12"/>
  <c r="T53" i="12"/>
  <c r="T7" i="12"/>
  <c r="V32" i="12"/>
  <c r="V271" i="12" s="1"/>
  <c r="V123" i="12"/>
  <c r="V78" i="12"/>
  <c r="W30" i="12"/>
  <c r="W121" i="12"/>
  <c r="W76" i="12"/>
  <c r="W100" i="12"/>
  <c r="W113" i="12"/>
  <c r="W57" i="12"/>
  <c r="W104" i="12"/>
  <c r="W75" i="12"/>
  <c r="W11" i="12"/>
  <c r="W67" i="12"/>
  <c r="W58" i="12"/>
  <c r="X65" i="12"/>
  <c r="X23" i="12"/>
  <c r="X96" i="12"/>
  <c r="X53" i="12"/>
  <c r="X7" i="12"/>
  <c r="Y136" i="12"/>
  <c r="Y89" i="12"/>
  <c r="Y43" i="12"/>
  <c r="AT21" i="1"/>
  <c r="K31" i="12"/>
  <c r="K122" i="12"/>
  <c r="J162" i="15" s="1"/>
  <c r="K77" i="12"/>
  <c r="J99" i="15" s="1"/>
  <c r="L30" i="12"/>
  <c r="L121" i="12"/>
  <c r="L76" i="12"/>
  <c r="M65" i="12"/>
  <c r="M23" i="12"/>
  <c r="S65" i="12"/>
  <c r="S23" i="12"/>
  <c r="J78" i="12"/>
  <c r="J32" i="12"/>
  <c r="J271" i="12" s="1"/>
  <c r="AU17" i="1"/>
  <c r="L136" i="12"/>
  <c r="L89" i="12"/>
  <c r="L43" i="12"/>
  <c r="M31" i="12"/>
  <c r="M270" i="12" s="1"/>
  <c r="M122" i="12"/>
  <c r="M77" i="12"/>
  <c r="M118" i="12"/>
  <c r="M111" i="12"/>
  <c r="N109" i="12"/>
  <c r="N117" i="12"/>
  <c r="N71" i="12"/>
  <c r="N63" i="12"/>
  <c r="N14" i="12"/>
  <c r="N103" i="12"/>
  <c r="O33" i="12"/>
  <c r="O124" i="12"/>
  <c r="O79" i="12"/>
  <c r="O129" i="12"/>
  <c r="O83" i="12"/>
  <c r="O37" i="12"/>
  <c r="P136" i="12"/>
  <c r="P89" i="12"/>
  <c r="P43" i="12"/>
  <c r="S31" i="12"/>
  <c r="S270" i="12" s="1"/>
  <c r="S122" i="12"/>
  <c r="S77" i="12"/>
  <c r="S118" i="12"/>
  <c r="S111" i="12"/>
  <c r="T109" i="12"/>
  <c r="T117" i="12"/>
  <c r="T71" i="12"/>
  <c r="T63" i="12"/>
  <c r="T14" i="12"/>
  <c r="T103" i="12"/>
  <c r="U33" i="12"/>
  <c r="U124" i="12"/>
  <c r="U79" i="12"/>
  <c r="U129" i="12"/>
  <c r="U83" i="12"/>
  <c r="U37" i="12"/>
  <c r="V136" i="12"/>
  <c r="V89" i="12"/>
  <c r="V43" i="12"/>
  <c r="W31" i="12"/>
  <c r="W270" i="12" s="1"/>
  <c r="W122" i="12"/>
  <c r="W77" i="12"/>
  <c r="W118" i="12"/>
  <c r="W111" i="12"/>
  <c r="X109" i="12"/>
  <c r="X117" i="12"/>
  <c r="X71" i="12"/>
  <c r="X63" i="12"/>
  <c r="X14" i="12"/>
  <c r="X103" i="12"/>
  <c r="J79" i="12"/>
  <c r="J33" i="12"/>
  <c r="L100" i="12"/>
  <c r="L113" i="12"/>
  <c r="L57" i="12"/>
  <c r="L75" i="12"/>
  <c r="L104" i="12"/>
  <c r="L11" i="12"/>
  <c r="L67" i="12"/>
  <c r="L58" i="12"/>
  <c r="J43" i="12"/>
  <c r="K33" i="12"/>
  <c r="J41" i="15" s="1"/>
  <c r="K124" i="12"/>
  <c r="J164" i="15" s="1"/>
  <c r="K79" i="12"/>
  <c r="J101" i="15" s="1"/>
  <c r="M32" i="12"/>
  <c r="M271" i="12" s="1"/>
  <c r="M123" i="12"/>
  <c r="M78" i="12"/>
  <c r="N30" i="12"/>
  <c r="N121" i="12"/>
  <c r="N76" i="12"/>
  <c r="N100" i="12"/>
  <c r="N113" i="12"/>
  <c r="N57" i="12"/>
  <c r="N104" i="12"/>
  <c r="N75" i="12"/>
  <c r="N11" i="12"/>
  <c r="N67" i="12"/>
  <c r="N58" i="12"/>
  <c r="O65" i="12"/>
  <c r="O23" i="12"/>
  <c r="O96" i="12"/>
  <c r="O53" i="12"/>
  <c r="O7" i="12"/>
  <c r="S32" i="12"/>
  <c r="S271" i="12" s="1"/>
  <c r="S123" i="12"/>
  <c r="S78" i="12"/>
  <c r="T30" i="12"/>
  <c r="T121" i="12"/>
  <c r="T76" i="12"/>
  <c r="T100" i="12"/>
  <c r="T113" i="12"/>
  <c r="T57" i="12"/>
  <c r="T104" i="12"/>
  <c r="T75" i="12"/>
  <c r="T11" i="12"/>
  <c r="T67" i="12"/>
  <c r="T58" i="12"/>
  <c r="U65" i="12"/>
  <c r="U23" i="12"/>
  <c r="U96" i="12"/>
  <c r="U53" i="12"/>
  <c r="U7" i="12"/>
  <c r="W32" i="12"/>
  <c r="W271" i="12" s="1"/>
  <c r="W123" i="12"/>
  <c r="W78" i="12"/>
  <c r="X30" i="12"/>
  <c r="X121" i="12"/>
  <c r="X76" i="12"/>
  <c r="X100" i="12"/>
  <c r="X113" i="12"/>
  <c r="X57" i="12"/>
  <c r="X75" i="12"/>
  <c r="X104" i="12"/>
  <c r="X11" i="12"/>
  <c r="X67" i="12"/>
  <c r="X58" i="12"/>
  <c r="Y33" i="12"/>
  <c r="Y124" i="12"/>
  <c r="Y79" i="12"/>
  <c r="Y129" i="12"/>
  <c r="Y83" i="12"/>
  <c r="Y37" i="12"/>
  <c r="T25" i="12"/>
  <c r="T15" i="12"/>
  <c r="M29" i="12"/>
  <c r="M22" i="12"/>
  <c r="U29" i="12"/>
  <c r="U22" i="12"/>
  <c r="Y29" i="12"/>
  <c r="Y22" i="12"/>
  <c r="V29" i="12"/>
  <c r="V22" i="12"/>
  <c r="N29" i="12"/>
  <c r="N22" i="12"/>
  <c r="O29" i="12"/>
  <c r="O22" i="12"/>
  <c r="S29" i="12"/>
  <c r="S22" i="12"/>
  <c r="W29" i="12"/>
  <c r="W22" i="12"/>
  <c r="K29" i="12"/>
  <c r="J37" i="15" s="1"/>
  <c r="K22" i="12"/>
  <c r="J30" i="15" s="1"/>
  <c r="L29" i="12"/>
  <c r="L22" i="12"/>
  <c r="P29" i="12"/>
  <c r="P22" i="12"/>
  <c r="T29" i="12"/>
  <c r="T22" i="12"/>
  <c r="X29" i="12"/>
  <c r="X22" i="12"/>
  <c r="Q15" i="12"/>
  <c r="Q25" i="12"/>
  <c r="K25" i="12"/>
  <c r="J33" i="15" s="1"/>
  <c r="K15" i="12"/>
  <c r="J19" i="15" s="1"/>
  <c r="L25" i="12"/>
  <c r="L15" i="12"/>
  <c r="P15" i="12"/>
  <c r="P25" i="12"/>
  <c r="X25" i="12"/>
  <c r="X15" i="12"/>
  <c r="J25" i="12"/>
  <c r="U15" i="12"/>
  <c r="U25" i="12"/>
  <c r="Y25" i="12"/>
  <c r="Y15" i="12"/>
  <c r="M25" i="12"/>
  <c r="M15" i="12"/>
  <c r="N15" i="12"/>
  <c r="N25" i="12"/>
  <c r="R25" i="12"/>
  <c r="R15" i="12"/>
  <c r="V15" i="12"/>
  <c r="V25" i="12"/>
  <c r="AT10" i="1"/>
  <c r="O15" i="12"/>
  <c r="O25" i="12"/>
  <c r="S15" i="12"/>
  <c r="S25" i="12"/>
  <c r="W15" i="12"/>
  <c r="W25" i="12"/>
  <c r="BZ49" i="1"/>
  <c r="BJ49" i="1"/>
  <c r="AT49" i="1"/>
  <c r="CB50" i="1"/>
  <c r="BL50" i="1"/>
  <c r="AV50" i="1"/>
  <c r="AT46" i="1"/>
  <c r="BJ46" i="1"/>
  <c r="BZ46" i="1"/>
  <c r="BZ50" i="1"/>
  <c r="BJ50" i="1"/>
  <c r="AT50" i="1"/>
  <c r="BZ25" i="1"/>
  <c r="BJ25" i="1"/>
  <c r="AT25" i="1"/>
  <c r="BJ12" i="1"/>
  <c r="BZ12" i="1"/>
  <c r="CA49" i="1"/>
  <c r="BK49" i="1"/>
  <c r="AU49" i="1"/>
  <c r="CA41" i="1"/>
  <c r="BK41" i="1"/>
  <c r="AU41" i="1"/>
  <c r="CB52" i="1"/>
  <c r="BL52" i="1"/>
  <c r="AV52" i="1"/>
  <c r="AW46" i="1"/>
  <c r="BM46" i="1"/>
  <c r="CC46" i="1"/>
  <c r="CC35" i="1"/>
  <c r="BM35" i="1"/>
  <c r="AW35" i="1"/>
  <c r="CD49" i="1"/>
  <c r="AX49" i="1"/>
  <c r="BN49" i="1"/>
  <c r="CD41" i="1"/>
  <c r="BN41" i="1"/>
  <c r="AX41" i="1"/>
  <c r="BO53" i="1"/>
  <c r="AY53" i="1"/>
  <c r="CE53" i="1"/>
  <c r="CE19" i="1"/>
  <c r="AY19" i="1"/>
  <c r="BO19" i="1"/>
  <c r="CF47" i="1"/>
  <c r="BP47" i="1"/>
  <c r="AZ47" i="1"/>
  <c r="AZ22" i="1"/>
  <c r="CF22" i="1"/>
  <c r="BP22" i="1"/>
  <c r="BP10" i="1"/>
  <c r="AZ10" i="1"/>
  <c r="CF10" i="1"/>
  <c r="CG50" i="1"/>
  <c r="BQ50" i="1"/>
  <c r="BA50" i="1"/>
  <c r="BQ25" i="1"/>
  <c r="CG25" i="1"/>
  <c r="BA25" i="1"/>
  <c r="CG17" i="1"/>
  <c r="BQ17" i="1"/>
  <c r="BA17" i="1"/>
  <c r="CH45" i="1"/>
  <c r="BR45" i="1"/>
  <c r="BB45" i="1"/>
  <c r="BB20" i="1"/>
  <c r="CH20" i="1"/>
  <c r="BR20" i="1"/>
  <c r="CI48" i="1"/>
  <c r="BS48" i="1"/>
  <c r="BC48" i="1"/>
  <c r="BS12" i="1"/>
  <c r="BC12" i="1"/>
  <c r="CI12" i="1"/>
  <c r="CJ52" i="1"/>
  <c r="BT52" i="1"/>
  <c r="BD52" i="1"/>
  <c r="BE46" i="1"/>
  <c r="BU46" i="1"/>
  <c r="CK46" i="1"/>
  <c r="CK35" i="1"/>
  <c r="BU35" i="1"/>
  <c r="BE35" i="1"/>
  <c r="BV49" i="1"/>
  <c r="BF49" i="1"/>
  <c r="CL49" i="1"/>
  <c r="CL41" i="1"/>
  <c r="BV41" i="1"/>
  <c r="BF41" i="1"/>
  <c r="BG53" i="1"/>
  <c r="CM53" i="1"/>
  <c r="BW53" i="1"/>
  <c r="CM19" i="1"/>
  <c r="BW19" i="1"/>
  <c r="BG19" i="1"/>
  <c r="CN47" i="1"/>
  <c r="BX47" i="1"/>
  <c r="BH47" i="1"/>
  <c r="CN22" i="1"/>
  <c r="BH22" i="1"/>
  <c r="BX22" i="1"/>
  <c r="CN10" i="1"/>
  <c r="BX10" i="1"/>
  <c r="BH10" i="1"/>
  <c r="BI52" i="1"/>
  <c r="CO52" i="1"/>
  <c r="BY52" i="1"/>
  <c r="CA48" i="1"/>
  <c r="BK48" i="1"/>
  <c r="AU48" i="1"/>
  <c r="CC45" i="1"/>
  <c r="BM45" i="1"/>
  <c r="AW45" i="1"/>
  <c r="CD12" i="1"/>
  <c r="BN12" i="1"/>
  <c r="AX12" i="1"/>
  <c r="CG41" i="1"/>
  <c r="BQ41" i="1"/>
  <c r="BA41" i="1"/>
  <c r="CI47" i="1"/>
  <c r="BS47" i="1"/>
  <c r="BC47" i="1"/>
  <c r="CI22" i="1"/>
  <c r="BS22" i="1"/>
  <c r="BC22" i="1"/>
  <c r="CI10" i="1"/>
  <c r="BC10" i="1"/>
  <c r="BS10" i="1"/>
  <c r="CJ50" i="1"/>
  <c r="BT50" i="1"/>
  <c r="BD50" i="1"/>
  <c r="CJ25" i="1"/>
  <c r="BT25" i="1"/>
  <c r="BD25" i="1"/>
  <c r="CJ17" i="1"/>
  <c r="BT17" i="1"/>
  <c r="BD17" i="1"/>
  <c r="CK45" i="1"/>
  <c r="BU45" i="1"/>
  <c r="BE45" i="1"/>
  <c r="CK20" i="1"/>
  <c r="BU20" i="1"/>
  <c r="BE20" i="1"/>
  <c r="CL48" i="1"/>
  <c r="BF48" i="1"/>
  <c r="BV48" i="1"/>
  <c r="CL12" i="1"/>
  <c r="BV12" i="1"/>
  <c r="BF12" i="1"/>
  <c r="BG52" i="1"/>
  <c r="CM52" i="1"/>
  <c r="BW52" i="1"/>
  <c r="BH46" i="1"/>
  <c r="BX46" i="1"/>
  <c r="CN46" i="1"/>
  <c r="CN35" i="1"/>
  <c r="BX35" i="1"/>
  <c r="BH35" i="1"/>
  <c r="CO50" i="1"/>
  <c r="BY50" i="1"/>
  <c r="BI50" i="1"/>
  <c r="CO25" i="1"/>
  <c r="BY25" i="1"/>
  <c r="BI25" i="1"/>
  <c r="CO17" i="1"/>
  <c r="BY17" i="1"/>
  <c r="BI17" i="1"/>
  <c r="BZ10" i="1"/>
  <c r="BJ10" i="1"/>
  <c r="BK12" i="1"/>
  <c r="AU12" i="1"/>
  <c r="CA12" i="1"/>
  <c r="CC20" i="1"/>
  <c r="BM20" i="1"/>
  <c r="AW20" i="1"/>
  <c r="AZ46" i="1"/>
  <c r="BP46" i="1"/>
  <c r="CF46" i="1"/>
  <c r="BZ48" i="1"/>
  <c r="BJ48" i="1"/>
  <c r="AT48" i="1"/>
  <c r="CA47" i="1"/>
  <c r="BK47" i="1"/>
  <c r="AU47" i="1"/>
  <c r="CA22" i="1"/>
  <c r="BK22" i="1"/>
  <c r="AU22" i="1"/>
  <c r="AU10" i="1"/>
  <c r="BK10" i="1"/>
  <c r="CA10" i="1"/>
  <c r="CB49" i="1"/>
  <c r="BL49" i="1"/>
  <c r="AV49" i="1"/>
  <c r="CB41" i="1"/>
  <c r="BL41" i="1"/>
  <c r="AV41" i="1"/>
  <c r="CC53" i="1"/>
  <c r="BM53" i="1"/>
  <c r="AW53" i="1"/>
  <c r="CC19" i="1"/>
  <c r="BM19" i="1"/>
  <c r="AW19" i="1"/>
  <c r="CD47" i="1"/>
  <c r="BN47" i="1"/>
  <c r="AX47" i="1"/>
  <c r="CD22" i="1"/>
  <c r="BN22" i="1"/>
  <c r="AX22" i="1"/>
  <c r="CD10" i="1"/>
  <c r="BN10" i="1"/>
  <c r="AX10" i="1"/>
  <c r="CE50" i="1"/>
  <c r="BO50" i="1"/>
  <c r="AY50" i="1"/>
  <c r="CE25" i="1"/>
  <c r="AY25" i="1"/>
  <c r="BO25" i="1"/>
  <c r="BO17" i="1"/>
  <c r="CE17" i="1"/>
  <c r="AY17" i="1"/>
  <c r="CF45" i="1"/>
  <c r="BP45" i="1"/>
  <c r="AZ45" i="1"/>
  <c r="BP20" i="1"/>
  <c r="CF20" i="1"/>
  <c r="AZ20" i="1"/>
  <c r="CG48" i="1"/>
  <c r="BQ48" i="1"/>
  <c r="BA48" i="1"/>
  <c r="CG12" i="1"/>
  <c r="BQ12" i="1"/>
  <c r="BA12" i="1"/>
  <c r="CH52" i="1"/>
  <c r="BR52" i="1"/>
  <c r="BB52" i="1"/>
  <c r="BC46" i="1"/>
  <c r="BS46" i="1"/>
  <c r="CI46" i="1"/>
  <c r="CI35" i="1"/>
  <c r="BS35" i="1"/>
  <c r="BC35" i="1"/>
  <c r="CJ49" i="1"/>
  <c r="BT49" i="1"/>
  <c r="BD49" i="1"/>
  <c r="CJ41" i="1"/>
  <c r="BT41" i="1"/>
  <c r="BD41" i="1"/>
  <c r="BE53" i="1"/>
  <c r="CK53" i="1"/>
  <c r="BU53" i="1"/>
  <c r="CK19" i="1"/>
  <c r="BU19" i="1"/>
  <c r="BE19" i="1"/>
  <c r="CL47" i="1"/>
  <c r="BV47" i="1"/>
  <c r="BF47" i="1"/>
  <c r="BV22" i="1"/>
  <c r="BF22" i="1"/>
  <c r="CL22" i="1"/>
  <c r="CL10" i="1"/>
  <c r="BV10" i="1"/>
  <c r="BF10" i="1"/>
  <c r="BG50" i="1"/>
  <c r="BW50" i="1"/>
  <c r="CM50" i="1"/>
  <c r="BW25" i="1"/>
  <c r="BG25" i="1"/>
  <c r="CM25" i="1"/>
  <c r="CM17" i="1"/>
  <c r="BW17" i="1"/>
  <c r="BG17" i="1"/>
  <c r="CN45" i="1"/>
  <c r="BX45" i="1"/>
  <c r="BH45" i="1"/>
  <c r="BH20" i="1"/>
  <c r="BX20" i="1"/>
  <c r="CN20" i="1"/>
  <c r="CO49" i="1"/>
  <c r="BY49" i="1"/>
  <c r="BI49" i="1"/>
  <c r="CO41" i="1"/>
  <c r="BY41" i="1"/>
  <c r="BI41" i="1"/>
  <c r="AY52" i="1"/>
  <c r="CE52" i="1"/>
  <c r="BO52" i="1"/>
  <c r="CF35" i="1"/>
  <c r="BP35" i="1"/>
  <c r="AZ35" i="1"/>
  <c r="CG49" i="1"/>
  <c r="BQ49" i="1"/>
  <c r="BA49" i="1"/>
  <c r="CH53" i="1"/>
  <c r="BR53" i="1"/>
  <c r="BB53" i="1"/>
  <c r="CH19" i="1"/>
  <c r="BR19" i="1"/>
  <c r="BB19" i="1"/>
  <c r="BZ47" i="1"/>
  <c r="BJ47" i="1"/>
  <c r="AT47" i="1"/>
  <c r="AT20" i="1"/>
  <c r="BJ20" i="1"/>
  <c r="BZ20" i="1"/>
  <c r="AU46" i="1"/>
  <c r="BK46" i="1"/>
  <c r="CA46" i="1"/>
  <c r="CA35" i="1"/>
  <c r="BK35" i="1"/>
  <c r="AU35" i="1"/>
  <c r="CB48" i="1"/>
  <c r="BL48" i="1"/>
  <c r="AV48" i="1"/>
  <c r="BL12" i="1"/>
  <c r="AV12" i="1"/>
  <c r="CB12" i="1"/>
  <c r="BM52" i="1"/>
  <c r="AW52" i="1"/>
  <c r="CC52" i="1"/>
  <c r="AX46" i="1"/>
  <c r="BN46" i="1"/>
  <c r="CD46" i="1"/>
  <c r="CD35" i="1"/>
  <c r="BN35" i="1"/>
  <c r="AX35" i="1"/>
  <c r="BO49" i="1"/>
  <c r="CE49" i="1"/>
  <c r="AY49" i="1"/>
  <c r="AY41" i="1"/>
  <c r="CE41" i="1"/>
  <c r="BO41" i="1"/>
  <c r="CF53" i="1"/>
  <c r="BP53" i="1"/>
  <c r="AZ53" i="1"/>
  <c r="CF19" i="1"/>
  <c r="BP19" i="1"/>
  <c r="AZ19" i="1"/>
  <c r="CG47" i="1"/>
  <c r="BQ47" i="1"/>
  <c r="BA47" i="1"/>
  <c r="BA22" i="1"/>
  <c r="CG22" i="1"/>
  <c r="BQ22" i="1"/>
  <c r="BQ10" i="1"/>
  <c r="BA10" i="1"/>
  <c r="CG10" i="1"/>
  <c r="CH50" i="1"/>
  <c r="BR50" i="1"/>
  <c r="BB50" i="1"/>
  <c r="BB25" i="1"/>
  <c r="BR25" i="1"/>
  <c r="CH25" i="1"/>
  <c r="CH17" i="1"/>
  <c r="BR17" i="1"/>
  <c r="BB17" i="1"/>
  <c r="CI45" i="1"/>
  <c r="BS45" i="1"/>
  <c r="BC45" i="1"/>
  <c r="CI20" i="1"/>
  <c r="BS20" i="1"/>
  <c r="BC20" i="1"/>
  <c r="CJ48" i="1"/>
  <c r="BT48" i="1"/>
  <c r="BD48" i="1"/>
  <c r="BD12" i="1"/>
  <c r="CJ12" i="1"/>
  <c r="BT12" i="1"/>
  <c r="CK52" i="1"/>
  <c r="BU52" i="1"/>
  <c r="BE52" i="1"/>
  <c r="BF46" i="1"/>
  <c r="BV46" i="1"/>
  <c r="CL46" i="1"/>
  <c r="CL35" i="1"/>
  <c r="BV35" i="1"/>
  <c r="BF35" i="1"/>
  <c r="CM49" i="1"/>
  <c r="BW49" i="1"/>
  <c r="BG49" i="1"/>
  <c r="CM41" i="1"/>
  <c r="BW41" i="1"/>
  <c r="BG41" i="1"/>
  <c r="BH53" i="1"/>
  <c r="CN53" i="1"/>
  <c r="BX53" i="1"/>
  <c r="CN19" i="1"/>
  <c r="BX19" i="1"/>
  <c r="BH19" i="1"/>
  <c r="CO48" i="1"/>
  <c r="BY48" i="1"/>
  <c r="BI48" i="1"/>
  <c r="BY12" i="1"/>
  <c r="BI12" i="1"/>
  <c r="CO12" i="1"/>
  <c r="BN48" i="1"/>
  <c r="CD48" i="1"/>
  <c r="AX48" i="1"/>
  <c r="BZ19" i="1"/>
  <c r="BJ19" i="1"/>
  <c r="AT19" i="1"/>
  <c r="CB47" i="1"/>
  <c r="BL47" i="1"/>
  <c r="AV47" i="1"/>
  <c r="CB22" i="1"/>
  <c r="BL22" i="1"/>
  <c r="AV22" i="1"/>
  <c r="AV10" i="1"/>
  <c r="BL10" i="1"/>
  <c r="CB10" i="1"/>
  <c r="CC50" i="1"/>
  <c r="BM50" i="1"/>
  <c r="AW50" i="1"/>
  <c r="CC25" i="1"/>
  <c r="BM25" i="1"/>
  <c r="AW25" i="1"/>
  <c r="CC17" i="1"/>
  <c r="AW17" i="1"/>
  <c r="BM17" i="1"/>
  <c r="CD45" i="1"/>
  <c r="BN45" i="1"/>
  <c r="AX45" i="1"/>
  <c r="CD20" i="1"/>
  <c r="AX20" i="1"/>
  <c r="BN20" i="1"/>
  <c r="BO48" i="1"/>
  <c r="CE48" i="1"/>
  <c r="AY48" i="1"/>
  <c r="CE12" i="1"/>
  <c r="BO12" i="1"/>
  <c r="AY12" i="1"/>
  <c r="BP52" i="1"/>
  <c r="AZ52" i="1"/>
  <c r="CF52" i="1"/>
  <c r="BA46" i="1"/>
  <c r="BQ46" i="1"/>
  <c r="CG46" i="1"/>
  <c r="CG35" i="1"/>
  <c r="BQ35" i="1"/>
  <c r="BA35" i="1"/>
  <c r="CH49" i="1"/>
  <c r="BR49" i="1"/>
  <c r="BB49" i="1"/>
  <c r="CH41" i="1"/>
  <c r="BR41" i="1"/>
  <c r="BB41" i="1"/>
  <c r="CI53" i="1"/>
  <c r="BS53" i="1"/>
  <c r="BC53" i="1"/>
  <c r="CI19" i="1"/>
  <c r="BS19" i="1"/>
  <c r="BC19" i="1"/>
  <c r="CJ47" i="1"/>
  <c r="BT47" i="1"/>
  <c r="BD47" i="1"/>
  <c r="CJ22" i="1"/>
  <c r="BT22" i="1"/>
  <c r="BD22" i="1"/>
  <c r="BD10" i="1"/>
  <c r="CJ10" i="1"/>
  <c r="BT10" i="1"/>
  <c r="CK50" i="1"/>
  <c r="BU50" i="1"/>
  <c r="BE50" i="1"/>
  <c r="CK25" i="1"/>
  <c r="BU25" i="1"/>
  <c r="BE25" i="1"/>
  <c r="CK17" i="1"/>
  <c r="BU17" i="1"/>
  <c r="BE17" i="1"/>
  <c r="CL45" i="1"/>
  <c r="BV45" i="1"/>
  <c r="BF45" i="1"/>
  <c r="CL20" i="1"/>
  <c r="BF20" i="1"/>
  <c r="BV20" i="1"/>
  <c r="CM48" i="1"/>
  <c r="BG48" i="1"/>
  <c r="BW48" i="1"/>
  <c r="CM12" i="1"/>
  <c r="BW12" i="1"/>
  <c r="BG12" i="1"/>
  <c r="BH52" i="1"/>
  <c r="BX52" i="1"/>
  <c r="CN52" i="1"/>
  <c r="CO47" i="1"/>
  <c r="BY47" i="1"/>
  <c r="BI47" i="1"/>
  <c r="CO22" i="1"/>
  <c r="BY22" i="1"/>
  <c r="BI22" i="1"/>
  <c r="BI10" i="1"/>
  <c r="CO10" i="1"/>
  <c r="BY10" i="1"/>
  <c r="BJ22" i="1"/>
  <c r="BZ22" i="1"/>
  <c r="AT22" i="1"/>
  <c r="CB17" i="1"/>
  <c r="BL17" i="1"/>
  <c r="AV17" i="1"/>
  <c r="BZ35" i="1"/>
  <c r="BJ35" i="1"/>
  <c r="AT35" i="1"/>
  <c r="CA45" i="1"/>
  <c r="BK45" i="1"/>
  <c r="AU45" i="1"/>
  <c r="CA53" i="1"/>
  <c r="BK53" i="1"/>
  <c r="AU53" i="1"/>
  <c r="CA19" i="1"/>
  <c r="BK19" i="1"/>
  <c r="AU19" i="1"/>
  <c r="AV46" i="1"/>
  <c r="BL46" i="1"/>
  <c r="CB46" i="1"/>
  <c r="CB35" i="1"/>
  <c r="BL35" i="1"/>
  <c r="AV35" i="1"/>
  <c r="CC49" i="1"/>
  <c r="BM49" i="1"/>
  <c r="AW49" i="1"/>
  <c r="AW41" i="1"/>
  <c r="BM41" i="1"/>
  <c r="CC41" i="1"/>
  <c r="BN53" i="1"/>
  <c r="AX53" i="1"/>
  <c r="CD53" i="1"/>
  <c r="AX19" i="1"/>
  <c r="BN19" i="1"/>
  <c r="CD19" i="1"/>
  <c r="CE47" i="1"/>
  <c r="BO47" i="1"/>
  <c r="AY47" i="1"/>
  <c r="BO22" i="1"/>
  <c r="AY22" i="1"/>
  <c r="CE22" i="1"/>
  <c r="CE10" i="1"/>
  <c r="BO10" i="1"/>
  <c r="AY10" i="1"/>
  <c r="CF50" i="1"/>
  <c r="AZ50" i="1"/>
  <c r="BP50" i="1"/>
  <c r="CF25" i="1"/>
  <c r="AZ25" i="1"/>
  <c r="BP25" i="1"/>
  <c r="CF17" i="1"/>
  <c r="BP17" i="1"/>
  <c r="AZ17" i="1"/>
  <c r="CG45" i="1"/>
  <c r="BQ45" i="1"/>
  <c r="BA45" i="1"/>
  <c r="BQ20" i="1"/>
  <c r="BA20" i="1"/>
  <c r="CG20" i="1"/>
  <c r="CH48" i="1"/>
  <c r="BR48" i="1"/>
  <c r="BB48" i="1"/>
  <c r="BB12" i="1"/>
  <c r="CH12" i="1"/>
  <c r="BR12" i="1"/>
  <c r="CI52" i="1"/>
  <c r="BS52" i="1"/>
  <c r="BC52" i="1"/>
  <c r="BD46" i="1"/>
  <c r="BT46" i="1"/>
  <c r="CJ46" i="1"/>
  <c r="CJ35" i="1"/>
  <c r="BT35" i="1"/>
  <c r="BD35" i="1"/>
  <c r="CK49" i="1"/>
  <c r="BU49" i="1"/>
  <c r="BE49" i="1"/>
  <c r="CK41" i="1"/>
  <c r="BU41" i="1"/>
  <c r="BE41" i="1"/>
  <c r="BV53" i="1"/>
  <c r="CL53" i="1"/>
  <c r="BF53" i="1"/>
  <c r="BV19" i="1"/>
  <c r="BF19" i="1"/>
  <c r="CL19" i="1"/>
  <c r="CM47" i="1"/>
  <c r="BW47" i="1"/>
  <c r="BG47" i="1"/>
  <c r="CM22" i="1"/>
  <c r="BG22" i="1"/>
  <c r="BW22" i="1"/>
  <c r="CM10" i="1"/>
  <c r="BW10" i="1"/>
  <c r="BG10" i="1"/>
  <c r="CN50" i="1"/>
  <c r="BH50" i="1"/>
  <c r="BX50" i="1"/>
  <c r="BX25" i="1"/>
  <c r="BH25" i="1"/>
  <c r="CN25" i="1"/>
  <c r="CN17" i="1"/>
  <c r="BX17" i="1"/>
  <c r="BH17" i="1"/>
  <c r="BI46" i="1"/>
  <c r="BY46" i="1"/>
  <c r="CO46" i="1"/>
  <c r="CO35" i="1"/>
  <c r="BY35" i="1"/>
  <c r="BI35" i="1"/>
  <c r="CA20" i="1"/>
  <c r="BK20" i="1"/>
  <c r="AU20" i="1"/>
  <c r="BZ45" i="1"/>
  <c r="BJ45" i="1"/>
  <c r="AT45" i="1"/>
  <c r="BJ53" i="1"/>
  <c r="AT53" i="1"/>
  <c r="BZ53" i="1"/>
  <c r="BZ17" i="1"/>
  <c r="BJ17" i="1"/>
  <c r="AT17" i="1"/>
  <c r="CA52" i="1"/>
  <c r="BK52" i="1"/>
  <c r="AU52" i="1"/>
  <c r="CB45" i="1"/>
  <c r="BL45" i="1"/>
  <c r="AV45" i="1"/>
  <c r="CB20" i="1"/>
  <c r="BL20" i="1"/>
  <c r="AV20" i="1"/>
  <c r="CC48" i="1"/>
  <c r="BM48" i="1"/>
  <c r="AW48" i="1"/>
  <c r="CC12" i="1"/>
  <c r="BM12" i="1"/>
  <c r="AW12" i="1"/>
  <c r="AX52" i="1"/>
  <c r="CD52" i="1"/>
  <c r="BN52" i="1"/>
  <c r="AY46" i="1"/>
  <c r="BO46" i="1"/>
  <c r="CE46" i="1"/>
  <c r="CE35" i="1"/>
  <c r="BO35" i="1"/>
  <c r="AY35" i="1"/>
  <c r="CF49" i="1"/>
  <c r="BP49" i="1"/>
  <c r="AZ49" i="1"/>
  <c r="CF41" i="1"/>
  <c r="BP41" i="1"/>
  <c r="AZ41" i="1"/>
  <c r="BQ53" i="1"/>
  <c r="CG53" i="1"/>
  <c r="BA53" i="1"/>
  <c r="CG19" i="1"/>
  <c r="BQ19" i="1"/>
  <c r="BA19" i="1"/>
  <c r="CH47" i="1"/>
  <c r="BR47" i="1"/>
  <c r="BB47" i="1"/>
  <c r="BR22" i="1"/>
  <c r="BB22" i="1"/>
  <c r="CH22" i="1"/>
  <c r="CH10" i="1"/>
  <c r="BR10" i="1"/>
  <c r="BB10" i="1"/>
  <c r="CI50" i="1"/>
  <c r="BS50" i="1"/>
  <c r="BC50" i="1"/>
  <c r="CI25" i="1"/>
  <c r="BS25" i="1"/>
  <c r="BC25" i="1"/>
  <c r="BC17" i="1"/>
  <c r="CI17" i="1"/>
  <c r="BS17" i="1"/>
  <c r="CJ45" i="1"/>
  <c r="BT45" i="1"/>
  <c r="BD45" i="1"/>
  <c r="CJ20" i="1"/>
  <c r="BT20" i="1"/>
  <c r="BD20" i="1"/>
  <c r="CK48" i="1"/>
  <c r="BU48" i="1"/>
  <c r="BE48" i="1"/>
  <c r="CK12" i="1"/>
  <c r="BU12" i="1"/>
  <c r="BE12" i="1"/>
  <c r="BV52" i="1"/>
  <c r="CL52" i="1"/>
  <c r="BF52" i="1"/>
  <c r="BG46" i="1"/>
  <c r="BW46" i="1"/>
  <c r="CM46" i="1"/>
  <c r="CM35" i="1"/>
  <c r="BW35" i="1"/>
  <c r="BG35" i="1"/>
  <c r="CN49" i="1"/>
  <c r="BX49" i="1"/>
  <c r="BH49" i="1"/>
  <c r="CN41" i="1"/>
  <c r="BX41" i="1"/>
  <c r="BH41" i="1"/>
  <c r="CO45" i="1"/>
  <c r="BY45" i="1"/>
  <c r="BI45" i="1"/>
  <c r="BI20" i="1"/>
  <c r="CO20" i="1"/>
  <c r="BY20" i="1"/>
  <c r="BZ41" i="1"/>
  <c r="BJ41" i="1"/>
  <c r="AT41" i="1"/>
  <c r="CB25" i="1"/>
  <c r="BL25" i="1"/>
  <c r="AV25" i="1"/>
  <c r="BJ52" i="1"/>
  <c r="BZ52" i="1"/>
  <c r="AT52" i="1"/>
  <c r="CA50" i="1"/>
  <c r="BK50" i="1"/>
  <c r="AU50" i="1"/>
  <c r="CA25" i="1"/>
  <c r="BK25" i="1"/>
  <c r="AU25" i="1"/>
  <c r="CA17" i="1"/>
  <c r="BK17" i="1"/>
  <c r="CB53" i="1"/>
  <c r="BL53" i="1"/>
  <c r="AV53" i="1"/>
  <c r="CB19" i="1"/>
  <c r="BL19" i="1"/>
  <c r="AV19" i="1"/>
  <c r="CC47" i="1"/>
  <c r="BM47" i="1"/>
  <c r="AW47" i="1"/>
  <c r="BM22" i="1"/>
  <c r="CC22" i="1"/>
  <c r="AW22" i="1"/>
  <c r="CC10" i="1"/>
  <c r="BM10" i="1"/>
  <c r="AW10" i="1"/>
  <c r="CD50" i="1"/>
  <c r="BN50" i="1"/>
  <c r="AX50" i="1"/>
  <c r="CD25" i="1"/>
  <c r="BN25" i="1"/>
  <c r="AX25" i="1"/>
  <c r="AX17" i="1"/>
  <c r="CD17" i="1"/>
  <c r="BN17" i="1"/>
  <c r="CE45" i="1"/>
  <c r="BO45" i="1"/>
  <c r="AY45" i="1"/>
  <c r="CE20" i="1"/>
  <c r="AY20" i="1"/>
  <c r="BO20" i="1"/>
  <c r="CF48" i="1"/>
  <c r="BP48" i="1"/>
  <c r="AZ48" i="1"/>
  <c r="CF12" i="1"/>
  <c r="AZ12" i="1"/>
  <c r="BP12" i="1"/>
  <c r="BQ52" i="1"/>
  <c r="BA52" i="1"/>
  <c r="CG52" i="1"/>
  <c r="BB46" i="1"/>
  <c r="BR46" i="1"/>
  <c r="CH46" i="1"/>
  <c r="CH35" i="1"/>
  <c r="BR35" i="1"/>
  <c r="BB35" i="1"/>
  <c r="CI49" i="1"/>
  <c r="BS49" i="1"/>
  <c r="BC49" i="1"/>
  <c r="BC41" i="1"/>
  <c r="CI41" i="1"/>
  <c r="BS41" i="1"/>
  <c r="CJ53" i="1"/>
  <c r="BT53" i="1"/>
  <c r="BD53" i="1"/>
  <c r="CJ19" i="1"/>
  <c r="BT19" i="1"/>
  <c r="BD19" i="1"/>
  <c r="CK47" i="1"/>
  <c r="BU47" i="1"/>
  <c r="BE47" i="1"/>
  <c r="CK22" i="1"/>
  <c r="BU22" i="1"/>
  <c r="BE22" i="1"/>
  <c r="CK10" i="1"/>
  <c r="BU10" i="1"/>
  <c r="BE10" i="1"/>
  <c r="CL50" i="1"/>
  <c r="BV50" i="1"/>
  <c r="BF50" i="1"/>
  <c r="BF25" i="1"/>
  <c r="BV25" i="1"/>
  <c r="CL25" i="1"/>
  <c r="CL17" i="1"/>
  <c r="BV17" i="1"/>
  <c r="BF17" i="1"/>
  <c r="CM45" i="1"/>
  <c r="BW45" i="1"/>
  <c r="BG45" i="1"/>
  <c r="CM20" i="1"/>
  <c r="BW20" i="1"/>
  <c r="BG20" i="1"/>
  <c r="CN48" i="1"/>
  <c r="BX48" i="1"/>
  <c r="BH48" i="1"/>
  <c r="BH12" i="1"/>
  <c r="CN12" i="1"/>
  <c r="BX12" i="1"/>
  <c r="BY53" i="1"/>
  <c r="BI53" i="1"/>
  <c r="CO53" i="1"/>
  <c r="CO19" i="1"/>
  <c r="BY19" i="1"/>
  <c r="BI19" i="1"/>
  <c r="BN4" i="1"/>
  <c r="AX4" i="1"/>
  <c r="CD4" i="1"/>
  <c r="BP4" i="1"/>
  <c r="AZ4" i="1"/>
  <c r="CF4" i="1"/>
  <c r="CH4" i="1"/>
  <c r="BR4" i="1"/>
  <c r="BB4" i="1"/>
  <c r="CJ4" i="1"/>
  <c r="BD4" i="1"/>
  <c r="BT4" i="1"/>
  <c r="CL4" i="1"/>
  <c r="BV4" i="1"/>
  <c r="BF4" i="1"/>
  <c r="CN4" i="1"/>
  <c r="BX4" i="1"/>
  <c r="BH4" i="1"/>
  <c r="CB4" i="1"/>
  <c r="AV4" i="1"/>
  <c r="BL4" i="1"/>
  <c r="BI4" i="1"/>
  <c r="CO4" i="1"/>
  <c r="BY4" i="1"/>
  <c r="CC4" i="1"/>
  <c r="BM4" i="1"/>
  <c r="AW4" i="1"/>
  <c r="AY4" i="1"/>
  <c r="BO4" i="1"/>
  <c r="CE4" i="1"/>
  <c r="CG4" i="1"/>
  <c r="BQ4" i="1"/>
  <c r="BA4" i="1"/>
  <c r="CI4" i="1"/>
  <c r="BS4" i="1"/>
  <c r="BC4" i="1"/>
  <c r="CK4" i="1"/>
  <c r="BU4" i="1"/>
  <c r="BE4" i="1"/>
  <c r="CM4" i="1"/>
  <c r="BW4" i="1"/>
  <c r="BG4" i="1"/>
  <c r="CA4" i="1"/>
  <c r="BK4" i="1"/>
  <c r="AU4" i="1"/>
  <c r="AT55" i="1"/>
  <c r="BJ55" i="1"/>
  <c r="BZ55" i="1"/>
  <c r="AV43" i="1"/>
  <c r="CB43" i="1"/>
  <c r="BL43" i="1"/>
  <c r="AX43" i="1"/>
  <c r="CD43" i="1"/>
  <c r="BN43" i="1"/>
  <c r="AZ43" i="1"/>
  <c r="CF43" i="1"/>
  <c r="BP43" i="1"/>
  <c r="BB43" i="1"/>
  <c r="CH43" i="1"/>
  <c r="BR43" i="1"/>
  <c r="BD43" i="1"/>
  <c r="CJ43" i="1"/>
  <c r="BT43" i="1"/>
  <c r="BF43" i="1"/>
  <c r="CL43" i="1"/>
  <c r="BV43" i="1"/>
  <c r="BH43" i="1"/>
  <c r="CN43" i="1"/>
  <c r="BX43" i="1"/>
  <c r="AU18" i="1"/>
  <c r="CA18" i="1"/>
  <c r="BK18" i="1"/>
  <c r="AT54" i="1"/>
  <c r="BJ54" i="1"/>
  <c r="BZ54" i="1"/>
  <c r="AV42" i="1"/>
  <c r="CB42" i="1"/>
  <c r="BL42" i="1"/>
  <c r="AV18" i="1"/>
  <c r="CB18" i="1"/>
  <c r="BL18" i="1"/>
  <c r="AW55" i="1"/>
  <c r="CC55" i="1"/>
  <c r="BM55" i="1"/>
  <c r="AX42" i="1"/>
  <c r="CD42" i="1"/>
  <c r="BN42" i="1"/>
  <c r="AX18" i="1"/>
  <c r="BN18" i="1"/>
  <c r="CD18" i="1"/>
  <c r="AY55" i="1"/>
  <c r="CE55" i="1"/>
  <c r="BO55" i="1"/>
  <c r="AZ42" i="1"/>
  <c r="CF42" i="1"/>
  <c r="BP42" i="1"/>
  <c r="AZ18" i="1"/>
  <c r="CF18" i="1"/>
  <c r="BP18" i="1"/>
  <c r="BA55" i="1"/>
  <c r="CG55" i="1"/>
  <c r="BQ55" i="1"/>
  <c r="BB42" i="1"/>
  <c r="CH42" i="1"/>
  <c r="BR42" i="1"/>
  <c r="BB18" i="1"/>
  <c r="CH18" i="1"/>
  <c r="BR18" i="1"/>
  <c r="BC55" i="1"/>
  <c r="CI55" i="1"/>
  <c r="BS55" i="1"/>
  <c r="BD42" i="1"/>
  <c r="BT42" i="1"/>
  <c r="CJ42" i="1"/>
  <c r="BD18" i="1"/>
  <c r="CJ18" i="1"/>
  <c r="BT18" i="1"/>
  <c r="BE55" i="1"/>
  <c r="CK55" i="1"/>
  <c r="BU55" i="1"/>
  <c r="BF42" i="1"/>
  <c r="CL42" i="1"/>
  <c r="BV42" i="1"/>
  <c r="BF18" i="1"/>
  <c r="CL18" i="1"/>
  <c r="BV18" i="1"/>
  <c r="BG55" i="1"/>
  <c r="BW55" i="1"/>
  <c r="CM55" i="1"/>
  <c r="BH42" i="1"/>
  <c r="CN42" i="1"/>
  <c r="BX42" i="1"/>
  <c r="BH18" i="1"/>
  <c r="CN18" i="1"/>
  <c r="BX18" i="1"/>
  <c r="AU42" i="1"/>
  <c r="CA42" i="1"/>
  <c r="BK42" i="1"/>
  <c r="AT44" i="1"/>
  <c r="BZ44" i="1"/>
  <c r="BJ44" i="1"/>
  <c r="AT33" i="1"/>
  <c r="BZ33" i="1"/>
  <c r="BJ33" i="1"/>
  <c r="AU55" i="1"/>
  <c r="CA55" i="1"/>
  <c r="BK55" i="1"/>
  <c r="AW54" i="1"/>
  <c r="CC54" i="1"/>
  <c r="BM54" i="1"/>
  <c r="AY54" i="1"/>
  <c r="BO54" i="1"/>
  <c r="CE54" i="1"/>
  <c r="BA54" i="1"/>
  <c r="CG54" i="1"/>
  <c r="BQ54" i="1"/>
  <c r="BC54" i="1"/>
  <c r="CI54" i="1"/>
  <c r="BS54" i="1"/>
  <c r="BE54" i="1"/>
  <c r="BU54" i="1"/>
  <c r="CK54" i="1"/>
  <c r="BG54" i="1"/>
  <c r="CM54" i="1"/>
  <c r="BW54" i="1"/>
  <c r="BI55" i="1"/>
  <c r="CO55" i="1"/>
  <c r="BY55" i="1"/>
  <c r="AT43" i="1"/>
  <c r="BZ43" i="1"/>
  <c r="BJ43" i="1"/>
  <c r="AU54" i="1"/>
  <c r="CA54" i="1"/>
  <c r="BK54" i="1"/>
  <c r="AW44" i="1"/>
  <c r="CC44" i="1"/>
  <c r="BM44" i="1"/>
  <c r="AW33" i="1"/>
  <c r="CC33" i="1"/>
  <c r="BM33" i="1"/>
  <c r="AY44" i="1"/>
  <c r="CE44" i="1"/>
  <c r="BO44" i="1"/>
  <c r="AY33" i="1"/>
  <c r="CE33" i="1"/>
  <c r="BO33" i="1"/>
  <c r="BA44" i="1"/>
  <c r="CG44" i="1"/>
  <c r="BQ44" i="1"/>
  <c r="BA33" i="1"/>
  <c r="CG33" i="1"/>
  <c r="BQ33" i="1"/>
  <c r="BC44" i="1"/>
  <c r="CI44" i="1"/>
  <c r="BS44" i="1"/>
  <c r="BC33" i="1"/>
  <c r="CI33" i="1"/>
  <c r="BS33" i="1"/>
  <c r="BE44" i="1"/>
  <c r="CK44" i="1"/>
  <c r="BU44" i="1"/>
  <c r="BE33" i="1"/>
  <c r="CK33" i="1"/>
  <c r="BU33" i="1"/>
  <c r="BG44" i="1"/>
  <c r="CM44" i="1"/>
  <c r="BW44" i="1"/>
  <c r="BG33" i="1"/>
  <c r="CM33" i="1"/>
  <c r="BW33" i="1"/>
  <c r="CO54" i="1"/>
  <c r="BY54" i="1"/>
  <c r="AT18" i="1"/>
  <c r="BZ18" i="1"/>
  <c r="BJ18" i="1"/>
  <c r="AU44" i="1"/>
  <c r="CA44" i="1"/>
  <c r="BK44" i="1"/>
  <c r="AU33" i="1"/>
  <c r="CA33" i="1"/>
  <c r="BK33" i="1"/>
  <c r="AW43" i="1"/>
  <c r="CC43" i="1"/>
  <c r="BM43" i="1"/>
  <c r="AY43" i="1"/>
  <c r="CE43" i="1"/>
  <c r="BO43" i="1"/>
  <c r="BA43" i="1"/>
  <c r="CG43" i="1"/>
  <c r="BQ43" i="1"/>
  <c r="BC43" i="1"/>
  <c r="CI43" i="1"/>
  <c r="BS43" i="1"/>
  <c r="BE43" i="1"/>
  <c r="BU43" i="1"/>
  <c r="CK43" i="1"/>
  <c r="BG43" i="1"/>
  <c r="CM43" i="1"/>
  <c r="BW43" i="1"/>
  <c r="BI44" i="1"/>
  <c r="CO44" i="1"/>
  <c r="BY44" i="1"/>
  <c r="BI33" i="1"/>
  <c r="BY33" i="1"/>
  <c r="CO33" i="1"/>
  <c r="AT42" i="1"/>
  <c r="BZ42" i="1"/>
  <c r="BJ42" i="1"/>
  <c r="AU43" i="1"/>
  <c r="CA43" i="1"/>
  <c r="BK43" i="1"/>
  <c r="AV55" i="1"/>
  <c r="CB55" i="1"/>
  <c r="BL55" i="1"/>
  <c r="AW42" i="1"/>
  <c r="CC42" i="1"/>
  <c r="BM42" i="1"/>
  <c r="AW18" i="1"/>
  <c r="CC18" i="1"/>
  <c r="BM18" i="1"/>
  <c r="AX55" i="1"/>
  <c r="CD55" i="1"/>
  <c r="BN55" i="1"/>
  <c r="AY42" i="1"/>
  <c r="CE42" i="1"/>
  <c r="BO42" i="1"/>
  <c r="AY18" i="1"/>
  <c r="CE18" i="1"/>
  <c r="BO18" i="1"/>
  <c r="AZ55" i="1"/>
  <c r="BP55" i="1"/>
  <c r="CF55" i="1"/>
  <c r="BA42" i="1"/>
  <c r="CG42" i="1"/>
  <c r="BQ42" i="1"/>
  <c r="BA18" i="1"/>
  <c r="CG18" i="1"/>
  <c r="BQ18" i="1"/>
  <c r="BB55" i="1"/>
  <c r="CH55" i="1"/>
  <c r="BR55" i="1"/>
  <c r="BC42" i="1"/>
  <c r="CI42" i="1"/>
  <c r="BS42" i="1"/>
  <c r="BC18" i="1"/>
  <c r="CI18" i="1"/>
  <c r="BS18" i="1"/>
  <c r="BD55" i="1"/>
  <c r="CJ55" i="1"/>
  <c r="BT55" i="1"/>
  <c r="BE42" i="1"/>
  <c r="CK42" i="1"/>
  <c r="BU42" i="1"/>
  <c r="BE18" i="1"/>
  <c r="BU18" i="1"/>
  <c r="CK18" i="1"/>
  <c r="BF55" i="1"/>
  <c r="CL55" i="1"/>
  <c r="BV55" i="1"/>
  <c r="BG42" i="1"/>
  <c r="CM42" i="1"/>
  <c r="BW42" i="1"/>
  <c r="BG18" i="1"/>
  <c r="CM18" i="1"/>
  <c r="BW18" i="1"/>
  <c r="BH55" i="1"/>
  <c r="CN55" i="1"/>
  <c r="BX55" i="1"/>
  <c r="BI43" i="1"/>
  <c r="CO43" i="1"/>
  <c r="BY43" i="1"/>
  <c r="AV54" i="1"/>
  <c r="CB54" i="1"/>
  <c r="BL54" i="1"/>
  <c r="AX54" i="1"/>
  <c r="BN54" i="1"/>
  <c r="CD54" i="1"/>
  <c r="AZ54" i="1"/>
  <c r="CF54" i="1"/>
  <c r="BP54" i="1"/>
  <c r="BB54" i="1"/>
  <c r="CH54" i="1"/>
  <c r="BR54" i="1"/>
  <c r="BD54" i="1"/>
  <c r="CJ54" i="1"/>
  <c r="BT54" i="1"/>
  <c r="BF54" i="1"/>
  <c r="CL54" i="1"/>
  <c r="BV54" i="1"/>
  <c r="CN54" i="1"/>
  <c r="BX54" i="1"/>
  <c r="BI42" i="1"/>
  <c r="CO42" i="1"/>
  <c r="BY42" i="1"/>
  <c r="CO18" i="1"/>
  <c r="BY18" i="1"/>
  <c r="AV44" i="1"/>
  <c r="CB44" i="1"/>
  <c r="BL44" i="1"/>
  <c r="AV33" i="1"/>
  <c r="CB33" i="1"/>
  <c r="BL33" i="1"/>
  <c r="AX44" i="1"/>
  <c r="CD44" i="1"/>
  <c r="BN44" i="1"/>
  <c r="AX33" i="1"/>
  <c r="CD33" i="1"/>
  <c r="BN33" i="1"/>
  <c r="AZ44" i="1"/>
  <c r="CF44" i="1"/>
  <c r="BP44" i="1"/>
  <c r="AZ33" i="1"/>
  <c r="CF33" i="1"/>
  <c r="BP33" i="1"/>
  <c r="BB44" i="1"/>
  <c r="CH44" i="1"/>
  <c r="BR44" i="1"/>
  <c r="BB33" i="1"/>
  <c r="BR33" i="1"/>
  <c r="CH33" i="1"/>
  <c r="BD44" i="1"/>
  <c r="CJ44" i="1"/>
  <c r="BT44" i="1"/>
  <c r="BD33" i="1"/>
  <c r="CJ33" i="1"/>
  <c r="BT33" i="1"/>
  <c r="BF44" i="1"/>
  <c r="BV44" i="1"/>
  <c r="CL44" i="1"/>
  <c r="BF33" i="1"/>
  <c r="CL33" i="1"/>
  <c r="BV33" i="1"/>
  <c r="BH44" i="1"/>
  <c r="CN44" i="1"/>
  <c r="BX44" i="1"/>
  <c r="BH33" i="1"/>
  <c r="CN33" i="1"/>
  <c r="BX33" i="1"/>
  <c r="BE40" i="1"/>
  <c r="CK40" i="1"/>
  <c r="BU40" i="1"/>
  <c r="AX40" i="1"/>
  <c r="BN40" i="1"/>
  <c r="CD40" i="1"/>
  <c r="BH40" i="1"/>
  <c r="CN40" i="1"/>
  <c r="BX40" i="1"/>
  <c r="AZ40" i="1"/>
  <c r="CF40" i="1"/>
  <c r="BP40" i="1"/>
  <c r="BD40" i="1"/>
  <c r="CJ40" i="1"/>
  <c r="BT40" i="1"/>
  <c r="AV40" i="1"/>
  <c r="CB40" i="1"/>
  <c r="BL40" i="1"/>
  <c r="BF40" i="1"/>
  <c r="BV40" i="1"/>
  <c r="CL40" i="1"/>
  <c r="AW40" i="1"/>
  <c r="CC40" i="1"/>
  <c r="BM40" i="1"/>
  <c r="BB40" i="1"/>
  <c r="CH40" i="1"/>
  <c r="BR40" i="1"/>
  <c r="AT40" i="1"/>
  <c r="BZ40" i="1"/>
  <c r="BJ40" i="1"/>
  <c r="AY40" i="1"/>
  <c r="CE40" i="1"/>
  <c r="BO40" i="1"/>
  <c r="BC40" i="1"/>
  <c r="CI40" i="1"/>
  <c r="BS40" i="1"/>
  <c r="BG40" i="1"/>
  <c r="CM40" i="1"/>
  <c r="BW40" i="1"/>
  <c r="BA40" i="1"/>
  <c r="CG40" i="1"/>
  <c r="BQ40" i="1"/>
  <c r="AU40" i="1"/>
  <c r="CA40" i="1"/>
  <c r="BK40" i="1"/>
  <c r="BI40" i="1"/>
  <c r="CO40" i="1"/>
  <c r="BY40" i="1"/>
  <c r="AW34" i="1"/>
  <c r="CC34" i="1"/>
  <c r="BM34" i="1"/>
  <c r="BE34" i="1"/>
  <c r="CK34" i="1"/>
  <c r="BU34" i="1"/>
  <c r="AY34" i="1"/>
  <c r="CE34" i="1"/>
  <c r="BO34" i="1"/>
  <c r="BI34" i="1"/>
  <c r="CO34" i="1"/>
  <c r="BY34" i="1"/>
  <c r="BC34" i="1"/>
  <c r="CI34" i="1"/>
  <c r="BS34" i="1"/>
  <c r="AU34" i="1"/>
  <c r="CA34" i="1"/>
  <c r="BK34" i="1"/>
  <c r="BA34" i="1"/>
  <c r="BQ34" i="1"/>
  <c r="CG34" i="1"/>
  <c r="BG34" i="1"/>
  <c r="CM34" i="1"/>
  <c r="BW34" i="1"/>
  <c r="AV34" i="1"/>
  <c r="CB34" i="1"/>
  <c r="BL34" i="1"/>
  <c r="AX34" i="1"/>
  <c r="CD34" i="1"/>
  <c r="BN34" i="1"/>
  <c r="BH34" i="1"/>
  <c r="CN34" i="1"/>
  <c r="BX34" i="1"/>
  <c r="AT34" i="1"/>
  <c r="BZ34" i="1"/>
  <c r="BJ34" i="1"/>
  <c r="AZ34" i="1"/>
  <c r="CF34" i="1"/>
  <c r="BP34" i="1"/>
  <c r="BD34" i="1"/>
  <c r="CJ34" i="1"/>
  <c r="BT34" i="1"/>
  <c r="BB34" i="1"/>
  <c r="CH34" i="1"/>
  <c r="BR34" i="1"/>
  <c r="BF34" i="1"/>
  <c r="CL34" i="1"/>
  <c r="BV34" i="1"/>
  <c r="BB32" i="1"/>
  <c r="CH32" i="1"/>
  <c r="BR32" i="1"/>
  <c r="BF32" i="1"/>
  <c r="CL32" i="1"/>
  <c r="BV32" i="1"/>
  <c r="AZ32" i="1"/>
  <c r="CF32" i="1"/>
  <c r="BP32" i="1"/>
  <c r="AT32" i="1"/>
  <c r="BZ32" i="1"/>
  <c r="BJ32" i="1"/>
  <c r="AW32" i="1"/>
  <c r="BM32" i="1"/>
  <c r="CC32" i="1"/>
  <c r="BG32" i="1"/>
  <c r="CM32" i="1"/>
  <c r="BW32" i="1"/>
  <c r="AY32" i="1"/>
  <c r="CE32" i="1"/>
  <c r="BO32" i="1"/>
  <c r="BE32" i="1"/>
  <c r="CK32" i="1"/>
  <c r="BU32" i="1"/>
  <c r="AV32" i="1"/>
  <c r="BL32" i="1"/>
  <c r="CB32" i="1"/>
  <c r="BC32" i="1"/>
  <c r="CI32" i="1"/>
  <c r="BS32" i="1"/>
  <c r="AU32" i="1"/>
  <c r="CA32" i="1"/>
  <c r="BK32" i="1"/>
  <c r="BA32" i="1"/>
  <c r="CG32" i="1"/>
  <c r="BQ32" i="1"/>
  <c r="BI32" i="1"/>
  <c r="CO32" i="1"/>
  <c r="BY32" i="1"/>
  <c r="AX32" i="1"/>
  <c r="CD32" i="1"/>
  <c r="BN32" i="1"/>
  <c r="BD32" i="1"/>
  <c r="BT32" i="1"/>
  <c r="CJ32" i="1"/>
  <c r="BH32" i="1"/>
  <c r="CN32" i="1"/>
  <c r="BX32" i="1"/>
  <c r="AW24" i="1"/>
  <c r="CC24" i="1"/>
  <c r="BM24" i="1"/>
  <c r="BC24" i="1"/>
  <c r="CI24" i="1"/>
  <c r="BS24" i="1"/>
  <c r="AU24" i="1"/>
  <c r="CA24" i="1"/>
  <c r="BK24" i="1"/>
  <c r="AY24" i="1"/>
  <c r="CE24" i="1"/>
  <c r="BO24" i="1"/>
  <c r="AV24" i="1"/>
  <c r="BL24" i="1"/>
  <c r="CB24" i="1"/>
  <c r="BH24" i="1"/>
  <c r="CN24" i="1"/>
  <c r="BX24" i="1"/>
  <c r="BB24" i="1"/>
  <c r="CH24" i="1"/>
  <c r="BR24" i="1"/>
  <c r="BD24" i="1"/>
  <c r="CJ24" i="1"/>
  <c r="BT24" i="1"/>
  <c r="AZ24" i="1"/>
  <c r="CF24" i="1"/>
  <c r="BP24" i="1"/>
  <c r="BF24" i="1"/>
  <c r="CL24" i="1"/>
  <c r="BV24" i="1"/>
  <c r="AX24" i="1"/>
  <c r="BN24" i="1"/>
  <c r="CD24" i="1"/>
  <c r="AT24" i="1"/>
  <c r="BZ24" i="1"/>
  <c r="BJ24" i="1"/>
  <c r="BA24" i="1"/>
  <c r="CG24" i="1"/>
  <c r="BQ24" i="1"/>
  <c r="BE24" i="1"/>
  <c r="CK24" i="1"/>
  <c r="BU24" i="1"/>
  <c r="BG24" i="1"/>
  <c r="CM24" i="1"/>
  <c r="BW24" i="1"/>
  <c r="BI24" i="1"/>
  <c r="CO24" i="1"/>
  <c r="BY24" i="1"/>
  <c r="BA23" i="1"/>
  <c r="BQ23" i="1"/>
  <c r="CG23" i="1"/>
  <c r="BE23" i="1"/>
  <c r="CK23" i="1"/>
  <c r="BU23" i="1"/>
  <c r="AY23" i="1"/>
  <c r="CE23" i="1"/>
  <c r="BO23" i="1"/>
  <c r="AU23" i="1"/>
  <c r="CA23" i="1"/>
  <c r="BK23" i="1"/>
  <c r="AW23" i="1"/>
  <c r="CC23" i="1"/>
  <c r="BM23" i="1"/>
  <c r="BI23" i="1"/>
  <c r="BY23" i="1"/>
  <c r="CO23" i="1"/>
  <c r="BB23" i="1"/>
  <c r="CH23" i="1"/>
  <c r="BR23" i="1"/>
  <c r="BH23" i="1"/>
  <c r="CN23" i="1"/>
  <c r="BX23" i="1"/>
  <c r="BD23" i="1"/>
  <c r="CJ23" i="1"/>
  <c r="BT23" i="1"/>
  <c r="BF23" i="1"/>
  <c r="CL23" i="1"/>
  <c r="BV23" i="1"/>
  <c r="AX23" i="1"/>
  <c r="CD23" i="1"/>
  <c r="BN23" i="1"/>
  <c r="AZ23" i="1"/>
  <c r="CF23" i="1"/>
  <c r="BP23" i="1"/>
  <c r="BJ23" i="1"/>
  <c r="BZ23" i="1"/>
  <c r="AV23" i="1"/>
  <c r="CB23" i="1"/>
  <c r="BL23" i="1"/>
  <c r="BC23" i="1"/>
  <c r="CI23" i="1"/>
  <c r="BS23" i="1"/>
  <c r="BG23" i="1"/>
  <c r="CM23" i="1"/>
  <c r="BW23" i="1"/>
  <c r="AV21" i="1"/>
  <c r="CB21" i="1"/>
  <c r="BL21" i="1"/>
  <c r="BZ21" i="1"/>
  <c r="BJ21" i="1"/>
  <c r="BC21" i="1"/>
  <c r="CI21" i="1"/>
  <c r="BS21" i="1"/>
  <c r="CM21" i="1"/>
  <c r="BW21" i="1"/>
  <c r="AY21" i="1"/>
  <c r="BO21" i="1"/>
  <c r="CE21" i="1"/>
  <c r="AU21" i="1"/>
  <c r="CA21" i="1"/>
  <c r="BK21" i="1"/>
  <c r="AW21" i="1"/>
  <c r="BM21" i="1"/>
  <c r="CC21" i="1"/>
  <c r="CO21" i="1"/>
  <c r="BY21" i="1"/>
  <c r="BA21" i="1"/>
  <c r="CG21" i="1"/>
  <c r="BQ21" i="1"/>
  <c r="BE21" i="1"/>
  <c r="BU21" i="1"/>
  <c r="CK21" i="1"/>
  <c r="AZ21" i="1"/>
  <c r="BP21" i="1"/>
  <c r="CF21" i="1"/>
  <c r="CN21" i="1"/>
  <c r="BX21" i="1"/>
  <c r="AX21" i="1"/>
  <c r="BN21" i="1"/>
  <c r="CD21" i="1"/>
  <c r="CL21" i="1"/>
  <c r="BV21" i="1"/>
  <c r="BB21" i="1"/>
  <c r="CH21" i="1"/>
  <c r="BR21" i="1"/>
  <c r="CJ21" i="1"/>
  <c r="BT21" i="1"/>
  <c r="BA16" i="1"/>
  <c r="BQ16" i="1"/>
  <c r="CG16" i="1"/>
  <c r="AU16" i="1"/>
  <c r="CA16" i="1"/>
  <c r="BK16" i="1"/>
  <c r="AV16" i="1"/>
  <c r="CB16" i="1"/>
  <c r="BL16" i="1"/>
  <c r="BH16" i="1"/>
  <c r="CN16" i="1"/>
  <c r="BX16" i="1"/>
  <c r="AX16" i="1"/>
  <c r="CD16" i="1"/>
  <c r="BN16" i="1"/>
  <c r="BD16" i="1"/>
  <c r="CJ16" i="1"/>
  <c r="BT16" i="1"/>
  <c r="AZ16" i="1"/>
  <c r="CF16" i="1"/>
  <c r="BP16" i="1"/>
  <c r="BF16" i="1"/>
  <c r="CL16" i="1"/>
  <c r="BV16" i="1"/>
  <c r="BB16" i="1"/>
  <c r="CH16" i="1"/>
  <c r="BR16" i="1"/>
  <c r="BJ16" i="1"/>
  <c r="BZ16" i="1"/>
  <c r="AY16" i="1"/>
  <c r="CE16" i="1"/>
  <c r="BO16" i="1"/>
  <c r="BE16" i="1"/>
  <c r="CK16" i="1"/>
  <c r="BU16" i="1"/>
  <c r="BG16" i="1"/>
  <c r="CM16" i="1"/>
  <c r="BW16" i="1"/>
  <c r="AW16" i="1"/>
  <c r="BM16" i="1"/>
  <c r="CC16" i="1"/>
  <c r="BC16" i="1"/>
  <c r="CI16" i="1"/>
  <c r="BS16" i="1"/>
  <c r="BI16" i="1"/>
  <c r="CO16" i="1"/>
  <c r="BY16" i="1"/>
  <c r="BJ9" i="1"/>
  <c r="BZ9" i="1"/>
  <c r="BG9" i="1"/>
  <c r="BW9" i="1"/>
  <c r="CM9" i="1"/>
  <c r="BC9" i="1"/>
  <c r="BS9" i="1"/>
  <c r="CI9" i="1"/>
  <c r="BI9" i="1"/>
  <c r="CO9" i="1"/>
  <c r="BY9" i="1"/>
  <c r="AY9" i="1"/>
  <c r="CE9" i="1"/>
  <c r="BO9" i="1"/>
  <c r="AU9" i="1"/>
  <c r="CA9" i="1"/>
  <c r="BK9" i="1"/>
  <c r="BA9" i="1"/>
  <c r="CG9" i="1"/>
  <c r="BQ9" i="1"/>
  <c r="BE9" i="1"/>
  <c r="CK9" i="1"/>
  <c r="BU9" i="1"/>
  <c r="AW9" i="1"/>
  <c r="CC9" i="1"/>
  <c r="BM9" i="1"/>
  <c r="AX9" i="1"/>
  <c r="CD9" i="1"/>
  <c r="BN9" i="1"/>
  <c r="BH9" i="1"/>
  <c r="CN9" i="1"/>
  <c r="BX9" i="1"/>
  <c r="AZ9" i="1"/>
  <c r="CF9" i="1"/>
  <c r="BP9" i="1"/>
  <c r="BF9" i="1"/>
  <c r="CL9" i="1"/>
  <c r="BV9" i="1"/>
  <c r="AV9" i="1"/>
  <c r="CB9" i="1"/>
  <c r="BL9" i="1"/>
  <c r="BB9" i="1"/>
  <c r="BR9" i="1"/>
  <c r="CH9" i="1"/>
  <c r="BD9" i="1"/>
  <c r="CJ9" i="1"/>
  <c r="BT9" i="1"/>
  <c r="BG8" i="1"/>
  <c r="BW8" i="1"/>
  <c r="CM8" i="1"/>
  <c r="AW8" i="1"/>
  <c r="CC8" i="1"/>
  <c r="BM8" i="1"/>
  <c r="BE8" i="1"/>
  <c r="CK8" i="1"/>
  <c r="BU8" i="1"/>
  <c r="AY8" i="1"/>
  <c r="CE8" i="1"/>
  <c r="BO8" i="1"/>
  <c r="BC8" i="1"/>
  <c r="CI8" i="1"/>
  <c r="BS8" i="1"/>
  <c r="BI8" i="1"/>
  <c r="CO8" i="1"/>
  <c r="BY8" i="1"/>
  <c r="AT8" i="1"/>
  <c r="BZ8" i="1"/>
  <c r="BJ8" i="1"/>
  <c r="BA8" i="1"/>
  <c r="BQ8" i="1"/>
  <c r="CG8" i="1"/>
  <c r="AU8" i="1"/>
  <c r="CA8" i="1"/>
  <c r="BK8" i="1"/>
  <c r="AV8" i="1"/>
  <c r="CB8" i="1"/>
  <c r="BL8" i="1"/>
  <c r="BB8" i="1"/>
  <c r="BR8" i="1"/>
  <c r="CH8" i="1"/>
  <c r="BH8" i="1"/>
  <c r="CN8" i="1"/>
  <c r="BX8" i="1"/>
  <c r="AX8" i="1"/>
  <c r="CD8" i="1"/>
  <c r="BN8" i="1"/>
  <c r="AZ8" i="1"/>
  <c r="BP8" i="1"/>
  <c r="CF8" i="1"/>
  <c r="BD8" i="1"/>
  <c r="CJ8" i="1"/>
  <c r="BT8" i="1"/>
  <c r="BF8" i="1"/>
  <c r="CL8" i="1"/>
  <c r="BV8" i="1"/>
  <c r="BG21" i="1"/>
  <c r="BI54" i="1"/>
  <c r="BI21" i="1"/>
  <c r="BD21" i="1"/>
  <c r="BF21" i="1"/>
  <c r="BH54" i="1"/>
  <c r="BH21" i="1"/>
  <c r="BI18" i="1"/>
  <c r="Z155" i="12" l="1"/>
  <c r="J272" i="12"/>
  <c r="AK149" i="12"/>
  <c r="AF147" i="12"/>
  <c r="R16" i="15"/>
  <c r="AD163" i="12"/>
  <c r="AF171" i="12"/>
  <c r="AJ149" i="12"/>
  <c r="Q8" i="15"/>
  <c r="R9" i="15"/>
  <c r="R18" i="15"/>
  <c r="S184" i="12"/>
  <c r="S185" i="12" s="1"/>
  <c r="S147" i="12" s="1"/>
  <c r="X184" i="12"/>
  <c r="X185" i="12" s="1"/>
  <c r="X168" i="12" s="1"/>
  <c r="J315" i="12"/>
  <c r="J293" i="12"/>
  <c r="K270" i="12"/>
  <c r="J39" i="15"/>
  <c r="J44" i="15"/>
  <c r="AA185" i="12"/>
  <c r="AA163" i="12" s="1"/>
  <c r="K219" i="15" s="1"/>
  <c r="K246" i="15"/>
  <c r="R11" i="15"/>
  <c r="K134" i="15"/>
  <c r="K122" i="15" s="1"/>
  <c r="K142" i="15" s="1"/>
  <c r="K182" i="15"/>
  <c r="K173" i="15"/>
  <c r="K149" i="15"/>
  <c r="J202" i="15"/>
  <c r="J259" i="15"/>
  <c r="J232" i="15"/>
  <c r="J211" i="15"/>
  <c r="J205" i="15" s="1"/>
  <c r="Q15" i="15"/>
  <c r="J104" i="15"/>
  <c r="AN171" i="12"/>
  <c r="L184" i="12"/>
  <c r="L185" i="12" s="1"/>
  <c r="K252" i="15"/>
  <c r="K256" i="15"/>
  <c r="K199" i="15"/>
  <c r="K189" i="15" s="1"/>
  <c r="K229" i="15" s="1"/>
  <c r="R30" i="15" s="1"/>
  <c r="Q22" i="15"/>
  <c r="J168" i="15"/>
  <c r="AA82" i="12"/>
  <c r="AA55" i="12" s="1"/>
  <c r="K71" i="15" s="1"/>
  <c r="K105" i="15"/>
  <c r="K104" i="15"/>
  <c r="R15" i="15"/>
  <c r="J103" i="15"/>
  <c r="Q14" i="15"/>
  <c r="AA36" i="12"/>
  <c r="AA44" i="12" s="1"/>
  <c r="K56" i="15" s="1"/>
  <c r="K45" i="15"/>
  <c r="J336" i="12"/>
  <c r="K271" i="12"/>
  <c r="J40" i="15"/>
  <c r="J125" i="15"/>
  <c r="J158" i="15" s="1"/>
  <c r="Q21" i="15" s="1"/>
  <c r="Q28" i="15"/>
  <c r="J244" i="15"/>
  <c r="AD147" i="12"/>
  <c r="T184" i="12"/>
  <c r="T185" i="12" s="1"/>
  <c r="T168" i="12" s="1"/>
  <c r="M184" i="12"/>
  <c r="M185" i="12" s="1"/>
  <c r="M163" i="12" s="1"/>
  <c r="R8" i="15"/>
  <c r="K44" i="15"/>
  <c r="K143" i="12"/>
  <c r="J191" i="15" s="1"/>
  <c r="J193" i="15"/>
  <c r="K259" i="15"/>
  <c r="K202" i="15"/>
  <c r="K232" i="15"/>
  <c r="K211" i="15"/>
  <c r="K205" i="15" s="1"/>
  <c r="K168" i="15"/>
  <c r="R22" i="15"/>
  <c r="AC187" i="12"/>
  <c r="M462" i="12" s="1"/>
  <c r="AK163" i="12"/>
  <c r="AB171" i="12"/>
  <c r="AE147" i="12"/>
  <c r="AO147" i="12"/>
  <c r="AE155" i="12"/>
  <c r="AE151" i="12" s="1"/>
  <c r="AE189" i="12" s="1"/>
  <c r="Z171" i="12"/>
  <c r="AG147" i="12"/>
  <c r="AI171" i="12"/>
  <c r="AG149" i="12"/>
  <c r="AI147" i="12"/>
  <c r="AH149" i="12"/>
  <c r="AH187" i="12"/>
  <c r="AO155" i="12"/>
  <c r="AO151" i="12" s="1"/>
  <c r="AO191" i="12" s="1"/>
  <c r="AJ147" i="12"/>
  <c r="AG171" i="12"/>
  <c r="AJ171" i="12"/>
  <c r="AI155" i="12"/>
  <c r="AI151" i="12" s="1"/>
  <c r="AI191" i="12" s="1"/>
  <c r="Z163" i="12"/>
  <c r="AG155" i="12"/>
  <c r="AG144" i="12" s="1"/>
  <c r="AJ155" i="12"/>
  <c r="AI149" i="12"/>
  <c r="AG187" i="12"/>
  <c r="AJ187" i="12"/>
  <c r="AI187" i="12"/>
  <c r="AM171" i="12"/>
  <c r="AC163" i="12"/>
  <c r="AB187" i="12"/>
  <c r="AL147" i="12"/>
  <c r="AM155" i="12"/>
  <c r="W462" i="12" s="1"/>
  <c r="AN187" i="12"/>
  <c r="X462" i="12" s="1"/>
  <c r="AC149" i="12"/>
  <c r="AK171" i="12"/>
  <c r="AF149" i="12"/>
  <c r="AL149" i="12"/>
  <c r="AM147" i="12"/>
  <c r="AC147" i="12"/>
  <c r="AC144" i="12" s="1"/>
  <c r="AK147" i="12"/>
  <c r="AF163" i="12"/>
  <c r="AD155" i="12"/>
  <c r="AD151" i="12" s="1"/>
  <c r="AD189" i="12" s="1"/>
  <c r="AN147" i="12"/>
  <c r="AE149" i="12"/>
  <c r="AC171" i="12"/>
  <c r="AB155" i="12"/>
  <c r="AB151" i="12" s="1"/>
  <c r="AB150" i="12" s="1"/>
  <c r="AH171" i="12"/>
  <c r="AO163" i="12"/>
  <c r="Z147" i="12"/>
  <c r="Z144" i="12" s="1"/>
  <c r="AM149" i="12"/>
  <c r="AD171" i="12"/>
  <c r="AN149" i="12"/>
  <c r="AE163" i="12"/>
  <c r="AB149" i="12"/>
  <c r="AH155" i="12"/>
  <c r="AO171" i="12"/>
  <c r="Z187" i="12"/>
  <c r="J462" i="12" s="1"/>
  <c r="AM163" i="12"/>
  <c r="AD187" i="12"/>
  <c r="AN163" i="12"/>
  <c r="AE187" i="12"/>
  <c r="AB147" i="12"/>
  <c r="AK155" i="12"/>
  <c r="U462" i="12" s="1"/>
  <c r="AF155" i="12"/>
  <c r="P462" i="12" s="1"/>
  <c r="AH147" i="12"/>
  <c r="AO187" i="12"/>
  <c r="AL155" i="12"/>
  <c r="AL151" i="12" s="1"/>
  <c r="Y184" i="12"/>
  <c r="Y185" i="12" s="1"/>
  <c r="Y333" i="12" s="1"/>
  <c r="M143" i="12"/>
  <c r="J300" i="12"/>
  <c r="K184" i="12"/>
  <c r="W184" i="12"/>
  <c r="W185" i="12" s="1"/>
  <c r="W171" i="12" s="1"/>
  <c r="J343" i="12"/>
  <c r="O168" i="12"/>
  <c r="O333" i="12"/>
  <c r="P168" i="12"/>
  <c r="P333" i="12"/>
  <c r="P143" i="12"/>
  <c r="Y143" i="12"/>
  <c r="N168" i="12"/>
  <c r="N333" i="12"/>
  <c r="U168" i="12"/>
  <c r="U333" i="12"/>
  <c r="V184" i="12"/>
  <c r="V185" i="12" s="1"/>
  <c r="V187" i="12" s="1"/>
  <c r="N143" i="12"/>
  <c r="AL168" i="12"/>
  <c r="V439" i="12"/>
  <c r="AM168" i="12"/>
  <c r="W439" i="12"/>
  <c r="AC168" i="12"/>
  <c r="M439" i="12"/>
  <c r="AB168" i="12"/>
  <c r="L439" i="12"/>
  <c r="AG168" i="12"/>
  <c r="Q439" i="12"/>
  <c r="AJ168" i="12"/>
  <c r="T439" i="12"/>
  <c r="AI168" i="12"/>
  <c r="S439" i="12"/>
  <c r="V143" i="12"/>
  <c r="AD168" i="12"/>
  <c r="N439" i="12"/>
  <c r="AN168" i="12"/>
  <c r="X439" i="12"/>
  <c r="AK168" i="12"/>
  <c r="U439" i="12"/>
  <c r="AF168" i="12"/>
  <c r="P439" i="12"/>
  <c r="AL171" i="12"/>
  <c r="AL187" i="12"/>
  <c r="Z168" i="12"/>
  <c r="J439" i="12"/>
  <c r="AE168" i="12"/>
  <c r="O439" i="12"/>
  <c r="AH168" i="12"/>
  <c r="R439" i="12"/>
  <c r="AO168" i="12"/>
  <c r="Y439" i="12"/>
  <c r="S143" i="12"/>
  <c r="J344" i="12"/>
  <c r="X143" i="12"/>
  <c r="U143" i="12"/>
  <c r="AF151" i="12"/>
  <c r="AF189" i="12" s="1"/>
  <c r="Q151" i="12"/>
  <c r="Q189" i="12" s="1"/>
  <c r="Q144" i="12"/>
  <c r="R151" i="12"/>
  <c r="R150" i="12" s="1"/>
  <c r="R144" i="12"/>
  <c r="AG151" i="12"/>
  <c r="AG189" i="12" s="1"/>
  <c r="AJ151" i="12"/>
  <c r="AJ191" i="12" s="1"/>
  <c r="AC151" i="12"/>
  <c r="AC150" i="12" s="1"/>
  <c r="AN151" i="12"/>
  <c r="AN189" i="12" s="1"/>
  <c r="Z151" i="12"/>
  <c r="Z191" i="12" s="1"/>
  <c r="W143" i="12"/>
  <c r="J143" i="12"/>
  <c r="O143" i="12"/>
  <c r="T143" i="12"/>
  <c r="L143" i="12"/>
  <c r="J184" i="12"/>
  <c r="J185" i="12" s="1"/>
  <c r="L187" i="12"/>
  <c r="L155" i="12"/>
  <c r="L171" i="12"/>
  <c r="L163" i="12"/>
  <c r="L147" i="12"/>
  <c r="N187" i="12"/>
  <c r="N163" i="12"/>
  <c r="N149" i="12"/>
  <c r="N147" i="12"/>
  <c r="N155" i="12"/>
  <c r="N171" i="12"/>
  <c r="O187" i="12"/>
  <c r="O171" i="12"/>
  <c r="O163" i="12"/>
  <c r="O149" i="12"/>
  <c r="O147" i="12"/>
  <c r="O155" i="12"/>
  <c r="P187" i="12"/>
  <c r="P149" i="12"/>
  <c r="P147" i="12"/>
  <c r="P155" i="12"/>
  <c r="P171" i="12"/>
  <c r="P163" i="12"/>
  <c r="T171" i="12"/>
  <c r="T155" i="12"/>
  <c r="T147" i="12"/>
  <c r="M187" i="12"/>
  <c r="U187" i="12"/>
  <c r="U163" i="12"/>
  <c r="U147" i="12"/>
  <c r="U171" i="12"/>
  <c r="U149" i="12"/>
  <c r="U155" i="12"/>
  <c r="AJ59" i="12"/>
  <c r="AB16" i="12"/>
  <c r="AJ55" i="12"/>
  <c r="AH66" i="12"/>
  <c r="R59" i="12"/>
  <c r="AK66" i="12"/>
  <c r="R84" i="12"/>
  <c r="AB59" i="12"/>
  <c r="AL56" i="12"/>
  <c r="R56" i="12"/>
  <c r="AK10" i="12"/>
  <c r="AD9" i="12"/>
  <c r="T272" i="12"/>
  <c r="N272" i="12"/>
  <c r="M272" i="12"/>
  <c r="O272" i="12"/>
  <c r="K272" i="12"/>
  <c r="X272" i="12"/>
  <c r="W272" i="12"/>
  <c r="V272" i="12"/>
  <c r="AJ56" i="12"/>
  <c r="R66" i="12"/>
  <c r="Y272" i="12"/>
  <c r="S272" i="12"/>
  <c r="U272" i="12"/>
  <c r="L272" i="12"/>
  <c r="P272" i="12"/>
  <c r="R90" i="12"/>
  <c r="R10" i="12"/>
  <c r="R55" i="12"/>
  <c r="R16" i="12"/>
  <c r="AH84" i="12"/>
  <c r="AC55" i="12"/>
  <c r="AK90" i="12"/>
  <c r="K269" i="12"/>
  <c r="AH127" i="12"/>
  <c r="AH128" i="12" s="1"/>
  <c r="R408" i="12" s="1"/>
  <c r="R409" i="12" s="1"/>
  <c r="AG127" i="12"/>
  <c r="AG128" i="12" s="1"/>
  <c r="Q408" i="12" s="1"/>
  <c r="AM127" i="12"/>
  <c r="AM128" i="12" s="1"/>
  <c r="W408" i="12" s="1"/>
  <c r="AL12" i="12"/>
  <c r="AE84" i="12"/>
  <c r="AN10" i="12"/>
  <c r="AH44" i="12"/>
  <c r="K415" i="12"/>
  <c r="AE127" i="12"/>
  <c r="AE128" i="12" s="1"/>
  <c r="O408" i="12" s="1"/>
  <c r="J94" i="12"/>
  <c r="J119" i="12" s="1"/>
  <c r="AF127" i="12"/>
  <c r="AF128" i="12" s="1"/>
  <c r="P408" i="12" s="1"/>
  <c r="AF44" i="12"/>
  <c r="AO127" i="12"/>
  <c r="AO128" i="12" s="1"/>
  <c r="Y408" i="12" s="1"/>
  <c r="AN127" i="12"/>
  <c r="AN128" i="12" s="1"/>
  <c r="X408" i="12" s="1"/>
  <c r="AB127" i="12"/>
  <c r="AB128" i="12" s="1"/>
  <c r="L408" i="12" s="1"/>
  <c r="AD127" i="12"/>
  <c r="AD128" i="12" s="1"/>
  <c r="N408" i="12" s="1"/>
  <c r="AI127" i="12"/>
  <c r="AI128" i="12" s="1"/>
  <c r="S408" i="12" s="1"/>
  <c r="AJ127" i="12"/>
  <c r="AJ128" i="12" s="1"/>
  <c r="T408" i="12" s="1"/>
  <c r="AL127" i="12"/>
  <c r="AL128" i="12" s="1"/>
  <c r="V408" i="12" s="1"/>
  <c r="R44" i="12"/>
  <c r="Q127" i="12"/>
  <c r="Q128" i="12" s="1"/>
  <c r="Q310" i="12" s="1"/>
  <c r="Q10" i="12"/>
  <c r="Q9" i="12"/>
  <c r="Q55" i="12"/>
  <c r="Q56" i="12"/>
  <c r="Q90" i="12"/>
  <c r="Q12" i="12"/>
  <c r="Q38" i="12"/>
  <c r="Q44" i="12"/>
  <c r="Q66" i="12"/>
  <c r="AL55" i="12"/>
  <c r="AL51" i="12" s="1"/>
  <c r="AL90" i="12"/>
  <c r="AB84" i="12"/>
  <c r="AJ90" i="12"/>
  <c r="AL84" i="12"/>
  <c r="AM56" i="12"/>
  <c r="AH16" i="12"/>
  <c r="AC9" i="12"/>
  <c r="AH12" i="12"/>
  <c r="AJ38" i="12"/>
  <c r="AM10" i="12"/>
  <c r="AI59" i="12"/>
  <c r="AH90" i="12"/>
  <c r="AJ66" i="12"/>
  <c r="AM16" i="12"/>
  <c r="AN66" i="12"/>
  <c r="AN9" i="12"/>
  <c r="AD10" i="12"/>
  <c r="AM44" i="12"/>
  <c r="AC56" i="12"/>
  <c r="AD90" i="12"/>
  <c r="AC38" i="12"/>
  <c r="AC40" i="12"/>
  <c r="AK84" i="12"/>
  <c r="AI84" i="12"/>
  <c r="AC44" i="12"/>
  <c r="AL9" i="12"/>
  <c r="AC59" i="12"/>
  <c r="AE59" i="12"/>
  <c r="AF84" i="12"/>
  <c r="AL44" i="12"/>
  <c r="AC46" i="12"/>
  <c r="AH59" i="12"/>
  <c r="AK55" i="12"/>
  <c r="AE66" i="12"/>
  <c r="AI90" i="12"/>
  <c r="AG66" i="12"/>
  <c r="AF90" i="12"/>
  <c r="AC10" i="12"/>
  <c r="AE56" i="12"/>
  <c r="AF55" i="12"/>
  <c r="AM55" i="12"/>
  <c r="AC12" i="12"/>
  <c r="AI9" i="12"/>
  <c r="AE90" i="12"/>
  <c r="AD55" i="12"/>
  <c r="AL16" i="12"/>
  <c r="AC84" i="12"/>
  <c r="AM66" i="12"/>
  <c r="AH55" i="12"/>
  <c r="AC66" i="12"/>
  <c r="AJ84" i="12"/>
  <c r="AE55" i="12"/>
  <c r="AM84" i="12"/>
  <c r="AL38" i="12"/>
  <c r="AB12" i="12"/>
  <c r="AB44" i="12"/>
  <c r="L370" i="12" s="1"/>
  <c r="AG9" i="12"/>
  <c r="AJ44" i="12"/>
  <c r="AD46" i="12"/>
  <c r="AB55" i="12"/>
  <c r="AI66" i="12"/>
  <c r="AB9" i="12"/>
  <c r="AD84" i="12"/>
  <c r="AL66" i="12"/>
  <c r="AK56" i="12"/>
  <c r="AD66" i="12"/>
  <c r="AG56" i="12"/>
  <c r="AN16" i="12"/>
  <c r="AD16" i="12"/>
  <c r="AH38" i="12"/>
  <c r="AN46" i="12"/>
  <c r="AO55" i="12"/>
  <c r="AG59" i="12"/>
  <c r="AN12" i="12"/>
  <c r="AK44" i="12"/>
  <c r="AD44" i="12"/>
  <c r="AO16" i="12"/>
  <c r="AI12" i="12"/>
  <c r="AI40" i="12"/>
  <c r="S375" i="12" s="1"/>
  <c r="AO10" i="12"/>
  <c r="AI10" i="12"/>
  <c r="AI46" i="12"/>
  <c r="S373" i="12" s="1"/>
  <c r="AI16" i="12"/>
  <c r="AO90" i="12"/>
  <c r="AI44" i="12"/>
  <c r="S370" i="12" s="1"/>
  <c r="AO84" i="12"/>
  <c r="AO59" i="12"/>
  <c r="AO56" i="12"/>
  <c r="AF59" i="12"/>
  <c r="AK9" i="12"/>
  <c r="AD38" i="12"/>
  <c r="AG44" i="12"/>
  <c r="AF56" i="12"/>
  <c r="AL59" i="12"/>
  <c r="AC90" i="12"/>
  <c r="AN56" i="12"/>
  <c r="AN44" i="12"/>
  <c r="AL10" i="12"/>
  <c r="AH9" i="12"/>
  <c r="AO38" i="12"/>
  <c r="AE16" i="12"/>
  <c r="AJ10" i="12"/>
  <c r="AL46" i="12"/>
  <c r="R38" i="12"/>
  <c r="Q40" i="12"/>
  <c r="Q16" i="12"/>
  <c r="Q46" i="12"/>
  <c r="AK59" i="12"/>
  <c r="AB56" i="12"/>
  <c r="AB90" i="12"/>
  <c r="Z12" i="12"/>
  <c r="AF12" i="12"/>
  <c r="AG12" i="12"/>
  <c r="AO9" i="12"/>
  <c r="AE12" i="12"/>
  <c r="AO46" i="12"/>
  <c r="AG46" i="12"/>
  <c r="AB66" i="12"/>
  <c r="AN55" i="12"/>
  <c r="AF10" i="12"/>
  <c r="AO44" i="12"/>
  <c r="AO40" i="12"/>
  <c r="AI55" i="12"/>
  <c r="AI56" i="12"/>
  <c r="AN90" i="12"/>
  <c r="AN59" i="12"/>
  <c r="AB10" i="12"/>
  <c r="AD12" i="12"/>
  <c r="AG16" i="12"/>
  <c r="AB40" i="12"/>
  <c r="AB46" i="12"/>
  <c r="AG90" i="12"/>
  <c r="Q401" i="12" s="1"/>
  <c r="AO12" i="12"/>
  <c r="AN84" i="12"/>
  <c r="P348" i="12"/>
  <c r="W348" i="12"/>
  <c r="AE40" i="12"/>
  <c r="O348" i="12"/>
  <c r="U348" i="12"/>
  <c r="Q348" i="12"/>
  <c r="T348" i="12"/>
  <c r="N379" i="12"/>
  <c r="P379" i="12"/>
  <c r="AF9" i="12"/>
  <c r="R12" i="12"/>
  <c r="AM9" i="12"/>
  <c r="AG10" i="12"/>
  <c r="AE10" i="12"/>
  <c r="N348" i="12"/>
  <c r="X348" i="12"/>
  <c r="M348" i="12"/>
  <c r="W379" i="12"/>
  <c r="R379" i="12"/>
  <c r="L348" i="12"/>
  <c r="S348" i="12"/>
  <c r="V348" i="12"/>
  <c r="AK12" i="12"/>
  <c r="R9" i="12"/>
  <c r="AM12" i="12"/>
  <c r="AE44" i="12"/>
  <c r="AJ9" i="12"/>
  <c r="AC127" i="12"/>
  <c r="AC128" i="12" s="1"/>
  <c r="M408" i="12" s="1"/>
  <c r="R46" i="12"/>
  <c r="R348" i="12"/>
  <c r="T379" i="12"/>
  <c r="R40" i="12"/>
  <c r="Y379" i="12"/>
  <c r="AF38" i="12"/>
  <c r="AK16" i="12"/>
  <c r="AG38" i="12"/>
  <c r="AJ16" i="12"/>
  <c r="AK127" i="12"/>
  <c r="AK128" i="12" s="1"/>
  <c r="U408" i="12" s="1"/>
  <c r="AG55" i="12"/>
  <c r="Q379" i="12"/>
  <c r="S379" i="12"/>
  <c r="U379" i="12"/>
  <c r="AK46" i="12"/>
  <c r="AF46" i="12"/>
  <c r="AD59" i="12"/>
  <c r="AK40" i="12"/>
  <c r="AE9" i="12"/>
  <c r="J415" i="12"/>
  <c r="J348" i="12"/>
  <c r="AL40" i="12"/>
  <c r="AF40" i="12"/>
  <c r="AH46" i="12"/>
  <c r="AG40" i="12"/>
  <c r="AJ40" i="12"/>
  <c r="O269" i="12"/>
  <c r="Q84" i="12"/>
  <c r="Q288" i="12"/>
  <c r="T269" i="12"/>
  <c r="M269" i="12"/>
  <c r="V269" i="12"/>
  <c r="R288" i="12"/>
  <c r="U269" i="12"/>
  <c r="X269" i="12"/>
  <c r="S269" i="12"/>
  <c r="Y269" i="12"/>
  <c r="AM46" i="12"/>
  <c r="N269" i="12"/>
  <c r="P269" i="12"/>
  <c r="L269" i="12"/>
  <c r="W269" i="12"/>
  <c r="AM40" i="12"/>
  <c r="AM59" i="12"/>
  <c r="AJ46" i="12"/>
  <c r="AH40" i="12"/>
  <c r="AD40" i="12"/>
  <c r="AN40" i="12"/>
  <c r="AE46" i="12"/>
  <c r="J291" i="12"/>
  <c r="J313" i="12"/>
  <c r="J269" i="12"/>
  <c r="J290" i="12"/>
  <c r="J292" i="12"/>
  <c r="J312" i="12"/>
  <c r="J52" i="12"/>
  <c r="J301" i="12" s="1"/>
  <c r="J379" i="12"/>
  <c r="AA127" i="12"/>
  <c r="Z9" i="12"/>
  <c r="Z90" i="12"/>
  <c r="Z38" i="12"/>
  <c r="Z66" i="12"/>
  <c r="Z10" i="12"/>
  <c r="Z40" i="12"/>
  <c r="Z59" i="12"/>
  <c r="Z84" i="12"/>
  <c r="Z56" i="12"/>
  <c r="Z55" i="12"/>
  <c r="Z44" i="12"/>
  <c r="AA9" i="12"/>
  <c r="K11" i="15" s="1"/>
  <c r="AA40" i="12"/>
  <c r="K52" i="15" s="1"/>
  <c r="AA12" i="12"/>
  <c r="K14" i="15" s="1"/>
  <c r="Z46" i="12"/>
  <c r="AA10" i="12"/>
  <c r="K12" i="15" s="1"/>
  <c r="J306" i="12"/>
  <c r="J81" i="12"/>
  <c r="J82" i="12" s="1"/>
  <c r="R137" i="12"/>
  <c r="R139" i="12"/>
  <c r="R132" i="12"/>
  <c r="R99" i="12"/>
  <c r="R98" i="12"/>
  <c r="R112" i="12"/>
  <c r="AH112" i="12"/>
  <c r="R101" i="12"/>
  <c r="R130" i="12"/>
  <c r="N94" i="12"/>
  <c r="R105" i="12"/>
  <c r="Z127" i="12"/>
  <c r="Z128" i="12" s="1"/>
  <c r="AM98" i="12"/>
  <c r="AM137" i="12"/>
  <c r="J323" i="12"/>
  <c r="V35" i="12"/>
  <c r="V36" i="12" s="1"/>
  <c r="V267" i="12" s="1"/>
  <c r="P35" i="12"/>
  <c r="P36" i="12" s="1"/>
  <c r="P267" i="12" s="1"/>
  <c r="AG137" i="12"/>
  <c r="T81" i="12"/>
  <c r="T82" i="12" s="1"/>
  <c r="T288" i="12" s="1"/>
  <c r="W81" i="12"/>
  <c r="W82" i="12" s="1"/>
  <c r="W288" i="12" s="1"/>
  <c r="M81" i="12"/>
  <c r="M82" i="12" s="1"/>
  <c r="M288" i="12" s="1"/>
  <c r="X81" i="12"/>
  <c r="X82" i="12" s="1"/>
  <c r="X288" i="12" s="1"/>
  <c r="N81" i="12"/>
  <c r="N82" i="12" s="1"/>
  <c r="N288" i="12" s="1"/>
  <c r="T35" i="12"/>
  <c r="T36" i="12" s="1"/>
  <c r="T267" i="12" s="1"/>
  <c r="Y81" i="12"/>
  <c r="Y82" i="12" s="1"/>
  <c r="Y288" i="12" s="1"/>
  <c r="K81" i="12"/>
  <c r="S35" i="12"/>
  <c r="S36" i="12" s="1"/>
  <c r="S267" i="12" s="1"/>
  <c r="Y35" i="12"/>
  <c r="Y36" i="12" s="1"/>
  <c r="Y267" i="12" s="1"/>
  <c r="P81" i="12"/>
  <c r="P82" i="12" s="1"/>
  <c r="P288" i="12" s="1"/>
  <c r="O81" i="12"/>
  <c r="O82" i="12" s="1"/>
  <c r="O288" i="12" s="1"/>
  <c r="S81" i="12"/>
  <c r="S82" i="12" s="1"/>
  <c r="S288" i="12" s="1"/>
  <c r="X35" i="12"/>
  <c r="X36" i="12" s="1"/>
  <c r="X267" i="12" s="1"/>
  <c r="M35" i="12"/>
  <c r="M36" i="12" s="1"/>
  <c r="M267" i="12" s="1"/>
  <c r="V81" i="12"/>
  <c r="V82" i="12" s="1"/>
  <c r="V288" i="12" s="1"/>
  <c r="L81" i="12"/>
  <c r="L82" i="12" s="1"/>
  <c r="L288" i="12" s="1"/>
  <c r="U81" i="12"/>
  <c r="U82" i="12" s="1"/>
  <c r="U288" i="12" s="1"/>
  <c r="L35" i="12"/>
  <c r="L36" i="12" s="1"/>
  <c r="L267" i="12" s="1"/>
  <c r="O35" i="12"/>
  <c r="O36" i="12" s="1"/>
  <c r="O267" i="12" s="1"/>
  <c r="U35" i="12"/>
  <c r="U36" i="12" s="1"/>
  <c r="U267" i="12" s="1"/>
  <c r="J35" i="12"/>
  <c r="J36" i="12" s="1"/>
  <c r="K35" i="12"/>
  <c r="N35" i="12"/>
  <c r="N36" i="12" s="1"/>
  <c r="N267" i="12" s="1"/>
  <c r="W35" i="12"/>
  <c r="W36" i="12" s="1"/>
  <c r="W267" i="12" s="1"/>
  <c r="U52" i="12"/>
  <c r="O52" i="12"/>
  <c r="J307" i="12"/>
  <c r="N52" i="12"/>
  <c r="V52" i="12"/>
  <c r="Y52" i="12"/>
  <c r="X52" i="12"/>
  <c r="M52" i="12"/>
  <c r="L52" i="12"/>
  <c r="T52" i="12"/>
  <c r="S52" i="12"/>
  <c r="P52" i="12"/>
  <c r="K52" i="12"/>
  <c r="J68" i="15" s="1"/>
  <c r="W52" i="12"/>
  <c r="X94" i="12"/>
  <c r="M4" i="12"/>
  <c r="V4" i="12"/>
  <c r="U4" i="12"/>
  <c r="Y4" i="12"/>
  <c r="T94" i="12"/>
  <c r="X4" i="12"/>
  <c r="S4" i="12"/>
  <c r="N4" i="12"/>
  <c r="L4" i="12"/>
  <c r="P4" i="12"/>
  <c r="W4" i="12"/>
  <c r="O4" i="12"/>
  <c r="T4" i="12"/>
  <c r="K4" i="12"/>
  <c r="J6" i="15" s="1"/>
  <c r="J4" i="12"/>
  <c r="J279" i="12" s="1"/>
  <c r="Y94" i="12"/>
  <c r="W94" i="12"/>
  <c r="S94" i="12"/>
  <c r="M94" i="12"/>
  <c r="K94" i="12"/>
  <c r="J124" i="15" s="1"/>
  <c r="O94" i="12"/>
  <c r="V94" i="12"/>
  <c r="U94" i="12"/>
  <c r="L94" i="12"/>
  <c r="P94" i="12"/>
  <c r="AJ51" i="12"/>
  <c r="AM144" i="12" l="1"/>
  <c r="AA149" i="12"/>
  <c r="K197" i="15" s="1"/>
  <c r="AA56" i="12"/>
  <c r="K72" i="15" s="1"/>
  <c r="AH137" i="12"/>
  <c r="AA155" i="12"/>
  <c r="K209" i="15" s="1"/>
  <c r="AA66" i="12"/>
  <c r="K86" i="15" s="1"/>
  <c r="AA59" i="12"/>
  <c r="K77" i="15" s="1"/>
  <c r="AA168" i="12"/>
  <c r="K224" i="15" s="1"/>
  <c r="AA84" i="12"/>
  <c r="K108" i="15" s="1"/>
  <c r="AA90" i="12"/>
  <c r="K118" i="15" s="1"/>
  <c r="AE132" i="12"/>
  <c r="K439" i="12"/>
  <c r="M147" i="12"/>
  <c r="M144" i="12" s="1"/>
  <c r="M149" i="12"/>
  <c r="AN99" i="12"/>
  <c r="X419" i="12" s="1"/>
  <c r="M171" i="12"/>
  <c r="V462" i="12"/>
  <c r="AA171" i="12"/>
  <c r="K227" i="15" s="1"/>
  <c r="AA187" i="12"/>
  <c r="K249" i="15" s="1"/>
  <c r="Q409" i="12"/>
  <c r="M168" i="12"/>
  <c r="AH139" i="12"/>
  <c r="AN101" i="12"/>
  <c r="AG98" i="12"/>
  <c r="AJ144" i="12"/>
  <c r="X155" i="12"/>
  <c r="S187" i="12"/>
  <c r="X147" i="12"/>
  <c r="X144" i="12" s="1"/>
  <c r="S171" i="12"/>
  <c r="X149" i="12"/>
  <c r="X187" i="12"/>
  <c r="X333" i="12"/>
  <c r="AA16" i="12"/>
  <c r="K20" i="15" s="1"/>
  <c r="Y187" i="12"/>
  <c r="AA38" i="12"/>
  <c r="K48" i="15" s="1"/>
  <c r="Y163" i="12"/>
  <c r="R462" i="12"/>
  <c r="AG112" i="12"/>
  <c r="S462" i="12"/>
  <c r="AG99" i="12"/>
  <c r="Q419" i="12" s="1"/>
  <c r="AG139" i="12"/>
  <c r="S333" i="12"/>
  <c r="AL144" i="12"/>
  <c r="AA46" i="12"/>
  <c r="K60" i="15" s="1"/>
  <c r="AF137" i="12"/>
  <c r="AF98" i="12"/>
  <c r="AI144" i="12"/>
  <c r="S448" i="12" s="1"/>
  <c r="S168" i="12"/>
  <c r="AG101" i="12"/>
  <c r="AG132" i="12"/>
  <c r="Q437" i="12" s="1"/>
  <c r="AF105" i="12"/>
  <c r="S155" i="12"/>
  <c r="S144" i="12" s="1"/>
  <c r="S163" i="12"/>
  <c r="S149" i="12"/>
  <c r="X163" i="12"/>
  <c r="AO144" i="12"/>
  <c r="Y448" i="12" s="1"/>
  <c r="X171" i="12"/>
  <c r="M333" i="12"/>
  <c r="T149" i="12"/>
  <c r="T144" i="12" s="1"/>
  <c r="T187" i="12"/>
  <c r="AM151" i="12"/>
  <c r="AM150" i="12" s="1"/>
  <c r="R401" i="12"/>
  <c r="AC51" i="12"/>
  <c r="AH151" i="12"/>
  <c r="AH191" i="12" s="1"/>
  <c r="O462" i="12"/>
  <c r="L333" i="12"/>
  <c r="L168" i="12"/>
  <c r="AF99" i="12"/>
  <c r="AA151" i="12"/>
  <c r="AA189" i="12" s="1"/>
  <c r="AH144" i="12"/>
  <c r="AF130" i="12"/>
  <c r="AH105" i="12"/>
  <c r="AK151" i="12"/>
  <c r="AK191" i="12" s="1"/>
  <c r="AD144" i="12"/>
  <c r="N448" i="12" s="1"/>
  <c r="AF144" i="12"/>
  <c r="P448" i="12" s="1"/>
  <c r="AN144" i="12"/>
  <c r="AG130" i="12"/>
  <c r="Q431" i="12" s="1"/>
  <c r="AG105" i="12"/>
  <c r="AK144" i="12"/>
  <c r="U448" i="12" s="1"/>
  <c r="AN112" i="12"/>
  <c r="AM112" i="12"/>
  <c r="AN105" i="12"/>
  <c r="AI137" i="12"/>
  <c r="AM105" i="12"/>
  <c r="AN137" i="12"/>
  <c r="AM99" i="12"/>
  <c r="AM130" i="12"/>
  <c r="W431" i="12" s="1"/>
  <c r="AN98" i="12"/>
  <c r="AM139" i="12"/>
  <c r="AN130" i="12"/>
  <c r="AM101" i="12"/>
  <c r="AM132" i="12"/>
  <c r="W437" i="12" s="1"/>
  <c r="Y171" i="12"/>
  <c r="Y155" i="12"/>
  <c r="Y144" i="12" s="1"/>
  <c r="AB144" i="12"/>
  <c r="L448" i="12" s="1"/>
  <c r="Y149" i="12"/>
  <c r="Y147" i="12"/>
  <c r="AE144" i="12"/>
  <c r="O448" i="12" s="1"/>
  <c r="T390" i="12"/>
  <c r="Y168" i="12"/>
  <c r="R25" i="15"/>
  <c r="M155" i="12"/>
  <c r="T163" i="12"/>
  <c r="L149" i="12"/>
  <c r="L144" i="12" s="1"/>
  <c r="T333" i="12"/>
  <c r="J43" i="15"/>
  <c r="AE137" i="12"/>
  <c r="AO99" i="12"/>
  <c r="AE139" i="12"/>
  <c r="AF112" i="12"/>
  <c r="AF101" i="12"/>
  <c r="P419" i="12" s="1"/>
  <c r="AO112" i="12"/>
  <c r="AE99" i="12"/>
  <c r="AF139" i="12"/>
  <c r="AE130" i="12"/>
  <c r="O431" i="12" s="1"/>
  <c r="AF132" i="12"/>
  <c r="P435" i="12" s="1"/>
  <c r="R23" i="15"/>
  <c r="AO137" i="12"/>
  <c r="Y431" i="12" s="1"/>
  <c r="AO132" i="12"/>
  <c r="Y437" i="12" s="1"/>
  <c r="AO101" i="12"/>
  <c r="Y419" i="12" s="1"/>
  <c r="AO130" i="12"/>
  <c r="AO139" i="12"/>
  <c r="AN132" i="12"/>
  <c r="K257" i="15"/>
  <c r="K253" i="15"/>
  <c r="K200" i="15"/>
  <c r="K190" i="15" s="1"/>
  <c r="K230" i="15" s="1"/>
  <c r="R31" i="15" s="1"/>
  <c r="J201" i="15"/>
  <c r="J258" i="15"/>
  <c r="J231" i="15"/>
  <c r="J210" i="15"/>
  <c r="J204" i="15" s="1"/>
  <c r="K117" i="15"/>
  <c r="K110" i="15"/>
  <c r="K74" i="15"/>
  <c r="K67" i="15" s="1"/>
  <c r="K81" i="15" s="1"/>
  <c r="K88" i="15"/>
  <c r="J74" i="15"/>
  <c r="J67" i="15" s="1"/>
  <c r="J81" i="15" s="1"/>
  <c r="J110" i="15"/>
  <c r="J117" i="15"/>
  <c r="J88" i="15"/>
  <c r="K36" i="12"/>
  <c r="K12" i="12" s="1"/>
  <c r="J14" i="15" s="1"/>
  <c r="J45" i="15"/>
  <c r="Y462" i="12"/>
  <c r="K16" i="15"/>
  <c r="K5" i="15" s="1"/>
  <c r="K29" i="15" s="1"/>
  <c r="K58" i="15"/>
  <c r="K50" i="15"/>
  <c r="R12" i="15" s="1"/>
  <c r="K22" i="15"/>
  <c r="K379" i="12"/>
  <c r="K106" i="15"/>
  <c r="R32" i="15"/>
  <c r="J257" i="15"/>
  <c r="J253" i="15"/>
  <c r="J200" i="15"/>
  <c r="J190" i="15" s="1"/>
  <c r="J230" i="15" s="1"/>
  <c r="Q31" i="15" s="1"/>
  <c r="J167" i="15"/>
  <c r="K348" i="12"/>
  <c r="K46" i="15"/>
  <c r="J174" i="15"/>
  <c r="J183" i="15"/>
  <c r="J135" i="15"/>
  <c r="J123" i="15" s="1"/>
  <c r="J143" i="15" s="1"/>
  <c r="J150" i="15"/>
  <c r="AA128" i="12"/>
  <c r="AA98" i="12" s="1"/>
  <c r="K130" i="15" s="1"/>
  <c r="K169" i="15"/>
  <c r="AA147" i="12"/>
  <c r="K247" i="15"/>
  <c r="Q7" i="15"/>
  <c r="K185" i="12"/>
  <c r="J246" i="15"/>
  <c r="K82" i="12"/>
  <c r="K59" i="12" s="1"/>
  <c r="J77" i="15" s="1"/>
  <c r="J105" i="15"/>
  <c r="J73" i="15"/>
  <c r="J66" i="15" s="1"/>
  <c r="J80" i="15" s="1"/>
  <c r="J116" i="15"/>
  <c r="J109" i="15"/>
  <c r="J87" i="15"/>
  <c r="J50" i="15"/>
  <c r="J16" i="15"/>
  <c r="J5" i="15" s="1"/>
  <c r="J29" i="15" s="1"/>
  <c r="J58" i="15"/>
  <c r="J22" i="15"/>
  <c r="K135" i="15"/>
  <c r="K123" i="15" s="1"/>
  <c r="K143" i="15" s="1"/>
  <c r="K183" i="15"/>
  <c r="K150" i="15"/>
  <c r="K174" i="15"/>
  <c r="AO105" i="12"/>
  <c r="AO98" i="12"/>
  <c r="Q448" i="12"/>
  <c r="N462" i="12"/>
  <c r="T448" i="12"/>
  <c r="AL150" i="12"/>
  <c r="AL191" i="12"/>
  <c r="AI130" i="12"/>
  <c r="AI99" i="12"/>
  <c r="AI132" i="12"/>
  <c r="AI139" i="12"/>
  <c r="AK150" i="12"/>
  <c r="AD191" i="12"/>
  <c r="X448" i="12"/>
  <c r="W448" i="12"/>
  <c r="AB189" i="12"/>
  <c r="AM189" i="12"/>
  <c r="AB191" i="12"/>
  <c r="AD150" i="12"/>
  <c r="AE191" i="12"/>
  <c r="AO150" i="12"/>
  <c r="AE150" i="12"/>
  <c r="T462" i="12"/>
  <c r="Q462" i="12"/>
  <c r="Z150" i="12"/>
  <c r="L462" i="12"/>
  <c r="AI150" i="12"/>
  <c r="AF191" i="12"/>
  <c r="AF192" i="12" s="1"/>
  <c r="AF193" i="12" s="1"/>
  <c r="P460" i="12" s="1"/>
  <c r="AN191" i="12"/>
  <c r="AN192" i="12" s="1"/>
  <c r="AN193" i="12" s="1"/>
  <c r="X460" i="12" s="1"/>
  <c r="R448" i="12"/>
  <c r="AF150" i="12"/>
  <c r="AF142" i="12" s="1"/>
  <c r="Z189" i="12"/>
  <c r="Z192" i="12" s="1"/>
  <c r="Z193" i="12" s="1"/>
  <c r="J460" i="12" s="1"/>
  <c r="J448" i="12"/>
  <c r="V448" i="12"/>
  <c r="R51" i="12"/>
  <c r="R61" i="12" s="1"/>
  <c r="V171" i="12"/>
  <c r="W163" i="12"/>
  <c r="W147" i="12"/>
  <c r="W149" i="12"/>
  <c r="W155" i="12"/>
  <c r="W151" i="12" s="1"/>
  <c r="W189" i="12" s="1"/>
  <c r="W187" i="12"/>
  <c r="V155" i="12"/>
  <c r="V151" i="12" s="1"/>
  <c r="V150" i="12" s="1"/>
  <c r="W333" i="12"/>
  <c r="R91" i="12"/>
  <c r="R92" i="12" s="1"/>
  <c r="R282" i="12" s="1"/>
  <c r="W168" i="12"/>
  <c r="R191" i="12"/>
  <c r="V168" i="12"/>
  <c r="V333" i="12"/>
  <c r="V147" i="12"/>
  <c r="J267" i="12"/>
  <c r="V149" i="12"/>
  <c r="J288" i="12"/>
  <c r="J380" i="12" s="1"/>
  <c r="V163" i="12"/>
  <c r="J339" i="12"/>
  <c r="J340" i="12"/>
  <c r="J171" i="12"/>
  <c r="J333" i="12"/>
  <c r="M448" i="12"/>
  <c r="R189" i="12"/>
  <c r="AC191" i="12"/>
  <c r="AO189" i="12"/>
  <c r="AO192" i="12" s="1"/>
  <c r="AO193" i="12" s="1"/>
  <c r="Y460" i="12" s="1"/>
  <c r="AN150" i="12"/>
  <c r="AN142" i="12" s="1"/>
  <c r="AM191" i="12"/>
  <c r="AM192" i="12" s="1"/>
  <c r="AM193" i="12" s="1"/>
  <c r="W460" i="12" s="1"/>
  <c r="J278" i="12"/>
  <c r="AK189" i="12"/>
  <c r="AK192" i="12" s="1"/>
  <c r="AK193" i="12" s="1"/>
  <c r="U460" i="12" s="1"/>
  <c r="AC189" i="12"/>
  <c r="J155" i="12"/>
  <c r="J187" i="12"/>
  <c r="P151" i="12"/>
  <c r="P191" i="12" s="1"/>
  <c r="P144" i="12"/>
  <c r="M151" i="12"/>
  <c r="M150" i="12" s="1"/>
  <c r="Y151" i="12"/>
  <c r="Y191" i="12" s="1"/>
  <c r="X151" i="12"/>
  <c r="X150" i="12" s="1"/>
  <c r="N151" i="12"/>
  <c r="N191" i="12" s="1"/>
  <c r="N144" i="12"/>
  <c r="AH150" i="12"/>
  <c r="AH142" i="12" s="1"/>
  <c r="AG191" i="12"/>
  <c r="O151" i="12"/>
  <c r="O150" i="12" s="1"/>
  <c r="O144" i="12"/>
  <c r="U151" i="12"/>
  <c r="U150" i="12" s="1"/>
  <c r="U144" i="12"/>
  <c r="AH189" i="12"/>
  <c r="AH192" i="12" s="1"/>
  <c r="AH193" i="12" s="1"/>
  <c r="R460" i="12" s="1"/>
  <c r="Q191" i="12"/>
  <c r="AJ150" i="12"/>
  <c r="AJ142" i="12" s="1"/>
  <c r="AG150" i="12"/>
  <c r="AG142" i="12" s="1"/>
  <c r="L151" i="12"/>
  <c r="L191" i="12" s="1"/>
  <c r="AL189" i="12"/>
  <c r="AL192" i="12" s="1"/>
  <c r="AL193" i="12" s="1"/>
  <c r="V460" i="12" s="1"/>
  <c r="Q150" i="12"/>
  <c r="Q142" i="12" s="1"/>
  <c r="J147" i="12"/>
  <c r="AJ189" i="12"/>
  <c r="AJ192" i="12" s="1"/>
  <c r="AJ193" i="12" s="1"/>
  <c r="T460" i="12" s="1"/>
  <c r="AI189" i="12"/>
  <c r="AI192" i="12" s="1"/>
  <c r="AI193" i="12" s="1"/>
  <c r="S460" i="12" s="1"/>
  <c r="S151" i="12"/>
  <c r="S191" i="12" s="1"/>
  <c r="J149" i="12"/>
  <c r="T151" i="12"/>
  <c r="T189" i="12" s="1"/>
  <c r="J163" i="12"/>
  <c r="J168" i="12"/>
  <c r="AE192" i="12"/>
  <c r="AE193" i="12" s="1"/>
  <c r="O460" i="12" s="1"/>
  <c r="AE142" i="12"/>
  <c r="R142" i="12"/>
  <c r="AB192" i="12"/>
  <c r="AB193" i="12" s="1"/>
  <c r="L460" i="12" s="1"/>
  <c r="AD192" i="12"/>
  <c r="AD193" i="12" s="1"/>
  <c r="N460" i="12" s="1"/>
  <c r="AC142" i="12"/>
  <c r="AI142" i="12"/>
  <c r="Z142" i="12"/>
  <c r="AL142" i="12"/>
  <c r="AB142" i="12"/>
  <c r="AK142" i="12"/>
  <c r="AM142" i="12"/>
  <c r="AO142" i="12"/>
  <c r="AD142" i="12"/>
  <c r="AI101" i="12"/>
  <c r="AI112" i="12"/>
  <c r="AJ105" i="12"/>
  <c r="AI98" i="12"/>
  <c r="AI105" i="12"/>
  <c r="S419" i="12" s="1"/>
  <c r="Q101" i="12"/>
  <c r="AJ137" i="12"/>
  <c r="AJ101" i="12"/>
  <c r="AD101" i="12"/>
  <c r="AE101" i="12"/>
  <c r="AH99" i="12"/>
  <c r="R419" i="12" s="1"/>
  <c r="AD139" i="12"/>
  <c r="AH132" i="12"/>
  <c r="R437" i="12" s="1"/>
  <c r="AE105" i="12"/>
  <c r="AH101" i="12"/>
  <c r="AD132" i="12"/>
  <c r="AJ139" i="12"/>
  <c r="AE112" i="12"/>
  <c r="AD98" i="12"/>
  <c r="AH130" i="12"/>
  <c r="AD99" i="12"/>
  <c r="AD112" i="12"/>
  <c r="AD137" i="12"/>
  <c r="AD105" i="12"/>
  <c r="AE98" i="12"/>
  <c r="AD130" i="12"/>
  <c r="N431" i="12" s="1"/>
  <c r="AH98" i="12"/>
  <c r="AB98" i="12"/>
  <c r="AH3" i="12"/>
  <c r="AH19" i="12" s="1"/>
  <c r="AI3" i="12"/>
  <c r="AI21" i="12" s="1"/>
  <c r="AB130" i="12"/>
  <c r="L431" i="12" s="1"/>
  <c r="AB91" i="12"/>
  <c r="AB92" i="12" s="1"/>
  <c r="L399" i="12" s="1"/>
  <c r="AB112" i="12"/>
  <c r="AB132" i="12"/>
  <c r="L437" i="12" s="1"/>
  <c r="AB105" i="12"/>
  <c r="AB139" i="12"/>
  <c r="AB99" i="12"/>
  <c r="AB137" i="12"/>
  <c r="AB101" i="12"/>
  <c r="AJ130" i="12"/>
  <c r="AJ132" i="12"/>
  <c r="AJ98" i="12"/>
  <c r="AN139" i="12"/>
  <c r="X434" i="12" s="1"/>
  <c r="AJ112" i="12"/>
  <c r="AD3" i="12"/>
  <c r="AD21" i="12" s="1"/>
  <c r="AN51" i="12"/>
  <c r="AN61" i="12" s="1"/>
  <c r="AK51" i="12"/>
  <c r="AK61" i="12" s="1"/>
  <c r="AO51" i="12"/>
  <c r="AO61" i="12" s="1"/>
  <c r="AO91" i="12"/>
  <c r="AO92" i="12" s="1"/>
  <c r="Y399" i="12" s="1"/>
  <c r="AE51" i="12"/>
  <c r="AE61" i="12" s="1"/>
  <c r="AE91" i="12"/>
  <c r="AE92" i="12" s="1"/>
  <c r="O399" i="12" s="1"/>
  <c r="AF91" i="12"/>
  <c r="AF92" i="12" s="1"/>
  <c r="P399" i="12" s="1"/>
  <c r="AL137" i="12"/>
  <c r="Q105" i="12"/>
  <c r="Q3" i="12"/>
  <c r="Q19" i="12" s="1"/>
  <c r="S377" i="12"/>
  <c r="Q130" i="12"/>
  <c r="Q132" i="12"/>
  <c r="AD51" i="12"/>
  <c r="AD61" i="12" s="1"/>
  <c r="AD68" i="12" s="1"/>
  <c r="AD69" i="12" s="1"/>
  <c r="N388" i="12" s="1"/>
  <c r="Q99" i="12"/>
  <c r="R390" i="12"/>
  <c r="AI91" i="12"/>
  <c r="AI92" i="12" s="1"/>
  <c r="S399" i="12" s="1"/>
  <c r="Q51" i="12"/>
  <c r="Q61" i="12" s="1"/>
  <c r="AN91" i="12"/>
  <c r="AN92" i="12" s="1"/>
  <c r="X399" i="12" s="1"/>
  <c r="AC105" i="12"/>
  <c r="M390" i="12"/>
  <c r="AH51" i="12"/>
  <c r="AH91" i="12"/>
  <c r="AH92" i="12" s="1"/>
  <c r="R399" i="12" s="1"/>
  <c r="AC112" i="12"/>
  <c r="AC91" i="12"/>
  <c r="AC92" i="12" s="1"/>
  <c r="M399" i="12" s="1"/>
  <c r="AL99" i="12"/>
  <c r="AC99" i="12"/>
  <c r="R3" i="12"/>
  <c r="R19" i="12" s="1"/>
  <c r="AC3" i="12"/>
  <c r="AC21" i="12" s="1"/>
  <c r="AL132" i="12"/>
  <c r="V437" i="12" s="1"/>
  <c r="AL112" i="12"/>
  <c r="AK91" i="12"/>
  <c r="AK92" i="12" s="1"/>
  <c r="U399" i="12" s="1"/>
  <c r="AM91" i="12"/>
  <c r="AM92" i="12" s="1"/>
  <c r="W399" i="12" s="1"/>
  <c r="AL101" i="12"/>
  <c r="AG91" i="12"/>
  <c r="AG92" i="12" s="1"/>
  <c r="Q399" i="12" s="1"/>
  <c r="AK137" i="12"/>
  <c r="AL130" i="12"/>
  <c r="AL91" i="12"/>
  <c r="AL92" i="12" s="1"/>
  <c r="V399" i="12" s="1"/>
  <c r="AL105" i="12"/>
  <c r="AJ99" i="12"/>
  <c r="M371" i="12"/>
  <c r="AB49" i="12"/>
  <c r="AB50" i="12" s="1"/>
  <c r="L368" i="12" s="1"/>
  <c r="AN3" i="12"/>
  <c r="AN19" i="12" s="1"/>
  <c r="AL98" i="12"/>
  <c r="V419" i="12" s="1"/>
  <c r="AB51" i="12"/>
  <c r="AB61" i="12" s="1"/>
  <c r="X357" i="12"/>
  <c r="AG3" i="12"/>
  <c r="AG21" i="12" s="1"/>
  <c r="AL139" i="12"/>
  <c r="V432" i="12" s="1"/>
  <c r="S371" i="12"/>
  <c r="N373" i="12"/>
  <c r="AK101" i="12"/>
  <c r="AI51" i="12"/>
  <c r="M357" i="12"/>
  <c r="V357" i="12"/>
  <c r="O401" i="12"/>
  <c r="AF3" i="12"/>
  <c r="AF19" i="12" s="1"/>
  <c r="AF51" i="12"/>
  <c r="T401" i="12"/>
  <c r="AC49" i="12"/>
  <c r="AC50" i="12" s="1"/>
  <c r="M368" i="12" s="1"/>
  <c r="Q98" i="12"/>
  <c r="AJ91" i="12"/>
  <c r="AJ92" i="12" s="1"/>
  <c r="T399" i="12" s="1"/>
  <c r="AD49" i="12"/>
  <c r="AD50" i="12" s="1"/>
  <c r="N368" i="12" s="1"/>
  <c r="AD91" i="12"/>
  <c r="AD92" i="12" s="1"/>
  <c r="N399" i="12" s="1"/>
  <c r="AK99" i="12"/>
  <c r="Q112" i="12"/>
  <c r="Q139" i="12"/>
  <c r="U390" i="12"/>
  <c r="Q137" i="12"/>
  <c r="Y390" i="12"/>
  <c r="AE49" i="12"/>
  <c r="AE50" i="12" s="1"/>
  <c r="O368" i="12" s="1"/>
  <c r="AM3" i="12"/>
  <c r="AB3" i="12"/>
  <c r="AB21" i="12" s="1"/>
  <c r="AK3" i="12"/>
  <c r="M375" i="12"/>
  <c r="AK130" i="12"/>
  <c r="M377" i="12"/>
  <c r="M370" i="12"/>
  <c r="P401" i="12"/>
  <c r="AM51" i="12"/>
  <c r="AM61" i="12" s="1"/>
  <c r="AM49" i="12"/>
  <c r="AM50" i="12" s="1"/>
  <c r="W368" i="12" s="1"/>
  <c r="N371" i="12"/>
  <c r="AK112" i="12"/>
  <c r="AC130" i="12"/>
  <c r="V373" i="12"/>
  <c r="J401" i="12"/>
  <c r="AI49" i="12"/>
  <c r="AI50" i="12" s="1"/>
  <c r="S368" i="12" s="1"/>
  <c r="AA105" i="12"/>
  <c r="K139" i="15" s="1"/>
  <c r="AO49" i="12"/>
  <c r="AO50" i="12" s="1"/>
  <c r="Y368" i="12" s="1"/>
  <c r="AO3" i="12"/>
  <c r="AO21" i="12" s="1"/>
  <c r="AL49" i="12"/>
  <c r="AL50" i="12" s="1"/>
  <c r="V368" i="12" s="1"/>
  <c r="X371" i="12"/>
  <c r="M401" i="12"/>
  <c r="V401" i="12"/>
  <c r="W401" i="12"/>
  <c r="M373" i="12"/>
  <c r="U401" i="12"/>
  <c r="AE3" i="12"/>
  <c r="AE21" i="12" s="1"/>
  <c r="AK98" i="12"/>
  <c r="AG49" i="12"/>
  <c r="AG50" i="12" s="1"/>
  <c r="Q368" i="12" s="1"/>
  <c r="AC101" i="12"/>
  <c r="AL3" i="12"/>
  <c r="AL21" i="12" s="1"/>
  <c r="AC139" i="12"/>
  <c r="R357" i="12"/>
  <c r="N401" i="12"/>
  <c r="V371" i="12"/>
  <c r="X401" i="12"/>
  <c r="AN49" i="12"/>
  <c r="AN50" i="12" s="1"/>
  <c r="X368" i="12" s="1"/>
  <c r="AG51" i="12"/>
  <c r="AG61" i="12" s="1"/>
  <c r="P390" i="12"/>
  <c r="X373" i="12"/>
  <c r="Q371" i="12"/>
  <c r="R370" i="12"/>
  <c r="X370" i="12"/>
  <c r="W370" i="12"/>
  <c r="L375" i="12"/>
  <c r="Y377" i="12"/>
  <c r="Q49" i="12"/>
  <c r="Q50" i="12" s="1"/>
  <c r="V370" i="12"/>
  <c r="O390" i="12"/>
  <c r="L390" i="12"/>
  <c r="Y401" i="12"/>
  <c r="S401" i="12"/>
  <c r="AK105" i="12"/>
  <c r="AC137" i="12"/>
  <c r="AK132" i="12"/>
  <c r="U435" i="12" s="1"/>
  <c r="L401" i="12"/>
  <c r="AJ3" i="12"/>
  <c r="Y370" i="12"/>
  <c r="AF49" i="12"/>
  <c r="AF50" i="12" s="1"/>
  <c r="P368" i="12" s="1"/>
  <c r="L373" i="12"/>
  <c r="L371" i="12"/>
  <c r="T370" i="12"/>
  <c r="N370" i="12"/>
  <c r="Q373" i="12"/>
  <c r="S357" i="12"/>
  <c r="AJ49" i="12"/>
  <c r="AJ50" i="12" s="1"/>
  <c r="T368" i="12" s="1"/>
  <c r="V390" i="12"/>
  <c r="Y371" i="12"/>
  <c r="U370" i="12"/>
  <c r="Y375" i="12"/>
  <c r="Y373" i="12"/>
  <c r="L377" i="12"/>
  <c r="AC98" i="12"/>
  <c r="M419" i="12" s="1"/>
  <c r="X390" i="12"/>
  <c r="S390" i="12"/>
  <c r="AC132" i="12"/>
  <c r="M437" i="12" s="1"/>
  <c r="L357" i="12"/>
  <c r="AK139" i="12"/>
  <c r="Y357" i="12"/>
  <c r="AH49" i="12"/>
  <c r="AH50" i="12" s="1"/>
  <c r="R368" i="12" s="1"/>
  <c r="R49" i="12"/>
  <c r="R50" i="12" s="1"/>
  <c r="Q91" i="12"/>
  <c r="Q92" i="12" s="1"/>
  <c r="Q304" i="12" s="1"/>
  <c r="N357" i="12"/>
  <c r="AK49" i="12"/>
  <c r="AK50" i="12" s="1"/>
  <c r="U368" i="12" s="1"/>
  <c r="W380" i="12"/>
  <c r="U349" i="12"/>
  <c r="T431" i="12"/>
  <c r="P431" i="12"/>
  <c r="S437" i="12"/>
  <c r="S435" i="12"/>
  <c r="P434" i="12"/>
  <c r="P432" i="12"/>
  <c r="Q375" i="12"/>
  <c r="Q377" i="12"/>
  <c r="V377" i="12"/>
  <c r="V375" i="12"/>
  <c r="S380" i="12"/>
  <c r="P370" i="12"/>
  <c r="W390" i="12"/>
  <c r="O380" i="12"/>
  <c r="X431" i="12"/>
  <c r="W419" i="12"/>
  <c r="S431" i="12"/>
  <c r="S434" i="12"/>
  <c r="S432" i="12"/>
  <c r="Q432" i="12"/>
  <c r="Q434" i="12"/>
  <c r="R371" i="12"/>
  <c r="R373" i="12"/>
  <c r="U377" i="12"/>
  <c r="U375" i="12"/>
  <c r="V380" i="12"/>
  <c r="T357" i="12"/>
  <c r="T349" i="12"/>
  <c r="L349" i="12"/>
  <c r="P380" i="12"/>
  <c r="L434" i="12"/>
  <c r="L432" i="12"/>
  <c r="O434" i="12"/>
  <c r="O432" i="12"/>
  <c r="T432" i="12"/>
  <c r="T434" i="12"/>
  <c r="R380" i="12"/>
  <c r="U357" i="12"/>
  <c r="N390" i="12"/>
  <c r="T380" i="12"/>
  <c r="W357" i="12"/>
  <c r="N380" i="12"/>
  <c r="V349" i="12"/>
  <c r="W434" i="12"/>
  <c r="W432" i="12"/>
  <c r="O437" i="12"/>
  <c r="O435" i="12"/>
  <c r="T437" i="12"/>
  <c r="T435" i="12"/>
  <c r="W373" i="12"/>
  <c r="W371" i="12"/>
  <c r="Y349" i="12"/>
  <c r="Y380" i="12"/>
  <c r="X380" i="12"/>
  <c r="X375" i="12"/>
  <c r="X377" i="12"/>
  <c r="Q380" i="12"/>
  <c r="Q370" i="12"/>
  <c r="R349" i="12"/>
  <c r="L380" i="12"/>
  <c r="N349" i="12"/>
  <c r="O349" i="12"/>
  <c r="Q357" i="12"/>
  <c r="P349" i="12"/>
  <c r="X437" i="12"/>
  <c r="X435" i="12"/>
  <c r="N375" i="12"/>
  <c r="N377" i="12"/>
  <c r="W377" i="12"/>
  <c r="W375" i="12"/>
  <c r="P371" i="12"/>
  <c r="P373" i="12"/>
  <c r="Q390" i="12"/>
  <c r="O377" i="12"/>
  <c r="O375" i="12"/>
  <c r="M349" i="12"/>
  <c r="N435" i="12"/>
  <c r="R432" i="12"/>
  <c r="R434" i="12"/>
  <c r="R375" i="12"/>
  <c r="R377" i="12"/>
  <c r="T373" i="12"/>
  <c r="T371" i="12"/>
  <c r="P375" i="12"/>
  <c r="P377" i="12"/>
  <c r="U371" i="12"/>
  <c r="U373" i="12"/>
  <c r="U380" i="12"/>
  <c r="S349" i="12"/>
  <c r="M380" i="12"/>
  <c r="P357" i="12"/>
  <c r="Q349" i="12"/>
  <c r="W349" i="12"/>
  <c r="X349" i="12"/>
  <c r="R431" i="12"/>
  <c r="Y432" i="12"/>
  <c r="Y434" i="12"/>
  <c r="M434" i="12"/>
  <c r="M432" i="12"/>
  <c r="O373" i="12"/>
  <c r="O371" i="12"/>
  <c r="T375" i="12"/>
  <c r="T377" i="12"/>
  <c r="O357" i="12"/>
  <c r="O370" i="12"/>
  <c r="J357" i="12"/>
  <c r="J373" i="12"/>
  <c r="J371" i="12"/>
  <c r="J390" i="12"/>
  <c r="K401" i="12"/>
  <c r="J370" i="12"/>
  <c r="K371" i="12"/>
  <c r="K373" i="12"/>
  <c r="J375" i="12"/>
  <c r="J377" i="12"/>
  <c r="K375" i="12"/>
  <c r="K377" i="12"/>
  <c r="K357" i="12"/>
  <c r="AK21" i="12"/>
  <c r="L119" i="12"/>
  <c r="Y119" i="12"/>
  <c r="X119" i="12"/>
  <c r="P119" i="12"/>
  <c r="W119" i="12"/>
  <c r="AL61" i="12"/>
  <c r="N119" i="12"/>
  <c r="M119" i="12"/>
  <c r="AH61" i="12"/>
  <c r="AM19" i="12"/>
  <c r="AJ61" i="12"/>
  <c r="U119" i="12"/>
  <c r="AC61" i="12"/>
  <c r="AI61" i="12"/>
  <c r="V119" i="12"/>
  <c r="AB19" i="12"/>
  <c r="O119" i="12"/>
  <c r="T119" i="12"/>
  <c r="T127" i="12" s="1"/>
  <c r="T128" i="12" s="1"/>
  <c r="T310" i="12" s="1"/>
  <c r="AF61" i="12"/>
  <c r="S119" i="12"/>
  <c r="K119" i="12"/>
  <c r="J157" i="15" s="1"/>
  <c r="Z91" i="12"/>
  <c r="Z92" i="12" s="1"/>
  <c r="J399" i="12" s="1"/>
  <c r="J324" i="12"/>
  <c r="Z51" i="12"/>
  <c r="Z61" i="12" s="1"/>
  <c r="Z49" i="12"/>
  <c r="Z50" i="12" s="1"/>
  <c r="J368" i="12" s="1"/>
  <c r="Z3" i="12"/>
  <c r="Z19" i="12" s="1"/>
  <c r="AA91" i="12"/>
  <c r="AA51" i="12"/>
  <c r="K65" i="15" s="1"/>
  <c r="AA49" i="12"/>
  <c r="AA3" i="12"/>
  <c r="K3" i="15" s="1"/>
  <c r="L56" i="12"/>
  <c r="R140" i="12"/>
  <c r="R141" i="12" s="1"/>
  <c r="R327" i="12" s="1"/>
  <c r="X44" i="12"/>
  <c r="X46" i="12"/>
  <c r="X40" i="12"/>
  <c r="U44" i="12"/>
  <c r="U46" i="12"/>
  <c r="U40" i="12"/>
  <c r="O44" i="12"/>
  <c r="O40" i="12"/>
  <c r="O46" i="12"/>
  <c r="W44" i="12"/>
  <c r="W46" i="12"/>
  <c r="W40" i="12"/>
  <c r="Y44" i="12"/>
  <c r="Y46" i="12"/>
  <c r="Y40" i="12"/>
  <c r="T44" i="12"/>
  <c r="T46" i="12"/>
  <c r="T40" i="12"/>
  <c r="N44" i="12"/>
  <c r="N40" i="12"/>
  <c r="N46" i="12"/>
  <c r="S44" i="12"/>
  <c r="S40" i="12"/>
  <c r="S46" i="12"/>
  <c r="P44" i="12"/>
  <c r="P40" i="12"/>
  <c r="P46" i="12"/>
  <c r="L44" i="12"/>
  <c r="L40" i="12"/>
  <c r="L46" i="12"/>
  <c r="J349" i="12"/>
  <c r="J46" i="12"/>
  <c r="J40" i="12"/>
  <c r="M44" i="12"/>
  <c r="M46" i="12"/>
  <c r="M40" i="12"/>
  <c r="V44" i="12"/>
  <c r="V46" i="12"/>
  <c r="V40" i="12"/>
  <c r="Z137" i="12"/>
  <c r="Z139" i="12"/>
  <c r="Z132" i="12"/>
  <c r="R93" i="12"/>
  <c r="AH140" i="12"/>
  <c r="AH141" i="12" s="1"/>
  <c r="R429" i="12" s="1"/>
  <c r="AI93" i="12"/>
  <c r="AH93" i="12"/>
  <c r="AK19" i="12"/>
  <c r="AM93" i="12"/>
  <c r="AO93" i="12"/>
  <c r="AI140" i="12"/>
  <c r="AI141" i="12" s="1"/>
  <c r="S429" i="12" s="1"/>
  <c r="AG19" i="12"/>
  <c r="AN93" i="12"/>
  <c r="Z112" i="12"/>
  <c r="J408" i="12"/>
  <c r="Z98" i="12"/>
  <c r="Z99" i="12"/>
  <c r="Z101" i="12"/>
  <c r="AF93" i="12"/>
  <c r="Z130" i="12"/>
  <c r="AO140" i="12"/>
  <c r="AO141" i="12" s="1"/>
  <c r="Y429" i="12" s="1"/>
  <c r="Z105" i="12"/>
  <c r="AB140" i="12"/>
  <c r="AB141" i="12" s="1"/>
  <c r="L429" i="12" s="1"/>
  <c r="AF140" i="12"/>
  <c r="AF141" i="12" s="1"/>
  <c r="P429" i="12" s="1"/>
  <c r="AM140" i="12"/>
  <c r="AM141" i="12" s="1"/>
  <c r="W429" i="12" s="1"/>
  <c r="AM21" i="12"/>
  <c r="AG93" i="12"/>
  <c r="AJ140" i="12"/>
  <c r="AJ141" i="12" s="1"/>
  <c r="T429" i="12" s="1"/>
  <c r="AL140" i="12"/>
  <c r="AL141" i="12" s="1"/>
  <c r="V429" i="12" s="1"/>
  <c r="AG140" i="12"/>
  <c r="AG141" i="12" s="1"/>
  <c r="Q429" i="12" s="1"/>
  <c r="AE140" i="12"/>
  <c r="AE141" i="12" s="1"/>
  <c r="O429" i="12" s="1"/>
  <c r="AN140" i="12"/>
  <c r="AN141" i="12" s="1"/>
  <c r="X429" i="12" s="1"/>
  <c r="R21" i="12"/>
  <c r="AK93" i="12"/>
  <c r="AE93" i="12"/>
  <c r="AL93" i="12"/>
  <c r="J16" i="12"/>
  <c r="P38" i="12"/>
  <c r="X10" i="12"/>
  <c r="X9" i="12"/>
  <c r="X16" i="12"/>
  <c r="M9" i="12"/>
  <c r="X12" i="12"/>
  <c r="M10" i="12"/>
  <c r="M16" i="12"/>
  <c r="L55" i="12"/>
  <c r="L66" i="12"/>
  <c r="L90" i="12"/>
  <c r="N38" i="12"/>
  <c r="X38" i="12"/>
  <c r="K9" i="12"/>
  <c r="J11" i="15" s="1"/>
  <c r="K16" i="12"/>
  <c r="J20" i="15" s="1"/>
  <c r="L84" i="12"/>
  <c r="N10" i="12"/>
  <c r="V38" i="12"/>
  <c r="J38" i="12"/>
  <c r="J10" i="12"/>
  <c r="L38" i="12"/>
  <c r="T10" i="12"/>
  <c r="L10" i="12"/>
  <c r="T16" i="12"/>
  <c r="L59" i="12"/>
  <c r="L16" i="12"/>
  <c r="O10" i="12"/>
  <c r="W38" i="12"/>
  <c r="V9" i="12"/>
  <c r="V12" i="12"/>
  <c r="V10" i="12"/>
  <c r="V16" i="12"/>
  <c r="W12" i="12"/>
  <c r="S10" i="12"/>
  <c r="W9" i="12"/>
  <c r="U9" i="12"/>
  <c r="L12" i="12"/>
  <c r="W10" i="12"/>
  <c r="U10" i="12"/>
  <c r="J12" i="12"/>
  <c r="M38" i="12"/>
  <c r="W16" i="12"/>
  <c r="N9" i="12"/>
  <c r="U16" i="12"/>
  <c r="J9" i="12"/>
  <c r="U38" i="12"/>
  <c r="M12" i="12"/>
  <c r="N12" i="12"/>
  <c r="L9" i="12"/>
  <c r="N16" i="12"/>
  <c r="O9" i="12"/>
  <c r="T38" i="12"/>
  <c r="J44" i="12"/>
  <c r="W55" i="12"/>
  <c r="W84" i="12"/>
  <c r="W90" i="12"/>
  <c r="W59" i="12"/>
  <c r="W66" i="12"/>
  <c r="W56" i="12"/>
  <c r="X55" i="12"/>
  <c r="X84" i="12"/>
  <c r="X90" i="12"/>
  <c r="X59" i="12"/>
  <c r="X56" i="12"/>
  <c r="X66" i="12"/>
  <c r="Y56" i="12"/>
  <c r="Y55" i="12"/>
  <c r="Y59" i="12"/>
  <c r="Y90" i="12"/>
  <c r="Y66" i="12"/>
  <c r="Y84" i="12"/>
  <c r="P12" i="12"/>
  <c r="Y38" i="12"/>
  <c r="P90" i="12"/>
  <c r="P55" i="12"/>
  <c r="P56" i="12"/>
  <c r="P66" i="12"/>
  <c r="P59" i="12"/>
  <c r="P84" i="12"/>
  <c r="S16" i="12"/>
  <c r="U12" i="12"/>
  <c r="Y12" i="12"/>
  <c r="V55" i="12"/>
  <c r="V90" i="12"/>
  <c r="V66" i="12"/>
  <c r="V84" i="12"/>
  <c r="V59" i="12"/>
  <c r="V56" i="12"/>
  <c r="T9" i="12"/>
  <c r="Y16" i="12"/>
  <c r="J59" i="12"/>
  <c r="J66" i="12"/>
  <c r="J90" i="12"/>
  <c r="J84" i="12"/>
  <c r="J56" i="12"/>
  <c r="J55" i="12"/>
  <c r="T56" i="12"/>
  <c r="T55" i="12"/>
  <c r="T59" i="12"/>
  <c r="T90" i="12"/>
  <c r="T84" i="12"/>
  <c r="T66" i="12"/>
  <c r="U66" i="12"/>
  <c r="U90" i="12"/>
  <c r="U84" i="12"/>
  <c r="U56" i="12"/>
  <c r="U55" i="12"/>
  <c r="U59" i="12"/>
  <c r="K84" i="12"/>
  <c r="J108" i="15" s="1"/>
  <c r="K56" i="12"/>
  <c r="J72" i="15" s="1"/>
  <c r="K66" i="12"/>
  <c r="J86" i="15" s="1"/>
  <c r="K90" i="12"/>
  <c r="J118" i="15" s="1"/>
  <c r="K55" i="12"/>
  <c r="J71" i="15" s="1"/>
  <c r="O56" i="12"/>
  <c r="O59" i="12"/>
  <c r="O90" i="12"/>
  <c r="O55" i="12"/>
  <c r="O66" i="12"/>
  <c r="O84" i="12"/>
  <c r="S9" i="12"/>
  <c r="T12" i="12"/>
  <c r="Y9" i="12"/>
  <c r="O16" i="12"/>
  <c r="O38" i="12"/>
  <c r="S38" i="12"/>
  <c r="S90" i="12"/>
  <c r="S56" i="12"/>
  <c r="S66" i="12"/>
  <c r="S59" i="12"/>
  <c r="S55" i="12"/>
  <c r="S84" i="12"/>
  <c r="N55" i="12"/>
  <c r="N56" i="12"/>
  <c r="N59" i="12"/>
  <c r="N66" i="12"/>
  <c r="N90" i="12"/>
  <c r="N84" i="12"/>
  <c r="M59" i="12"/>
  <c r="M56" i="12"/>
  <c r="M90" i="12"/>
  <c r="M84" i="12"/>
  <c r="M55" i="12"/>
  <c r="M66" i="12"/>
  <c r="P9" i="12"/>
  <c r="P10" i="12"/>
  <c r="P16" i="12"/>
  <c r="Y10" i="12"/>
  <c r="O12" i="12"/>
  <c r="S12" i="12"/>
  <c r="L435" i="12" l="1"/>
  <c r="K44" i="12"/>
  <c r="J56" i="15" s="1"/>
  <c r="K370" i="12"/>
  <c r="Y435" i="12"/>
  <c r="K462" i="12"/>
  <c r="AH21" i="12"/>
  <c r="K390" i="12"/>
  <c r="W435" i="12"/>
  <c r="AA139" i="12"/>
  <c r="K185" i="15" s="1"/>
  <c r="AA150" i="12"/>
  <c r="K198" i="15" s="1"/>
  <c r="K10" i="12"/>
  <c r="J12" i="15" s="1"/>
  <c r="R435" i="12"/>
  <c r="AA130" i="12"/>
  <c r="K172" i="15" s="1"/>
  <c r="O419" i="12"/>
  <c r="K46" i="12"/>
  <c r="J60" i="15" s="1"/>
  <c r="K40" i="12"/>
  <c r="J52" i="15" s="1"/>
  <c r="V434" i="12"/>
  <c r="AA99" i="12"/>
  <c r="K131" i="15" s="1"/>
  <c r="AA132" i="12"/>
  <c r="K176" i="15" s="1"/>
  <c r="K203" i="15"/>
  <c r="K38" i="12"/>
  <c r="J48" i="15" s="1"/>
  <c r="AA112" i="12"/>
  <c r="K148" i="15" s="1"/>
  <c r="AA101" i="12"/>
  <c r="K133" i="15" s="1"/>
  <c r="AA137" i="12"/>
  <c r="K181" i="15" s="1"/>
  <c r="X432" i="12"/>
  <c r="R304" i="12"/>
  <c r="P437" i="12"/>
  <c r="Q435" i="12"/>
  <c r="AA191" i="12"/>
  <c r="K255" i="15" s="1"/>
  <c r="AC19" i="12"/>
  <c r="AF21" i="12"/>
  <c r="N434" i="12"/>
  <c r="V435" i="12"/>
  <c r="N432" i="12"/>
  <c r="AL19" i="12"/>
  <c r="AD19" i="12"/>
  <c r="AI19" i="12"/>
  <c r="U431" i="12"/>
  <c r="R192" i="12"/>
  <c r="R193" i="12" s="1"/>
  <c r="R341" i="12" s="1"/>
  <c r="R461" i="12" s="1"/>
  <c r="U419" i="12"/>
  <c r="V431" i="12"/>
  <c r="W144" i="12"/>
  <c r="J49" i="15"/>
  <c r="Q11" i="15" s="1"/>
  <c r="J57" i="15"/>
  <c r="Q17" i="15"/>
  <c r="R17" i="15"/>
  <c r="Q140" i="12"/>
  <c r="Q141" i="12" s="1"/>
  <c r="Q327" i="12" s="1"/>
  <c r="Q24" i="15"/>
  <c r="J21" i="15"/>
  <c r="Q10" i="15"/>
  <c r="J15" i="15"/>
  <c r="J4" i="15" s="1"/>
  <c r="J28" i="15" s="1"/>
  <c r="Q18" i="15"/>
  <c r="R24" i="15"/>
  <c r="J247" i="15"/>
  <c r="K168" i="12"/>
  <c r="J224" i="15" s="1"/>
  <c r="K163" i="12"/>
  <c r="J219" i="15" s="1"/>
  <c r="K333" i="12"/>
  <c r="K147" i="12"/>
  <c r="J195" i="15" s="1"/>
  <c r="K155" i="12"/>
  <c r="K149" i="12"/>
  <c r="J197" i="15" s="1"/>
  <c r="K171" i="12"/>
  <c r="J227" i="15" s="1"/>
  <c r="K187" i="12"/>
  <c r="J249" i="15" s="1"/>
  <c r="AA192" i="12"/>
  <c r="K251" i="15"/>
  <c r="R26" i="15"/>
  <c r="J3" i="12"/>
  <c r="AA92" i="12"/>
  <c r="K119" i="15"/>
  <c r="Q33" i="15"/>
  <c r="K267" i="12"/>
  <c r="J46" i="15"/>
  <c r="P189" i="12"/>
  <c r="K195" i="15"/>
  <c r="AA144" i="12"/>
  <c r="K408" i="12"/>
  <c r="K170" i="15"/>
  <c r="Q16" i="15"/>
  <c r="J256" i="15"/>
  <c r="J252" i="15"/>
  <c r="J199" i="15"/>
  <c r="J189" i="15" s="1"/>
  <c r="J229" i="15" s="1"/>
  <c r="Q30" i="15" s="1"/>
  <c r="AA142" i="12"/>
  <c r="K188" i="15" s="1"/>
  <c r="K288" i="12"/>
  <c r="J106" i="15"/>
  <c r="J173" i="15"/>
  <c r="J134" i="15"/>
  <c r="J122" i="15" s="1"/>
  <c r="J142" i="15" s="1"/>
  <c r="J182" i="15"/>
  <c r="J149" i="15"/>
  <c r="AA50" i="12"/>
  <c r="K63" i="15"/>
  <c r="Q12" i="15"/>
  <c r="R10" i="15"/>
  <c r="Q19" i="15"/>
  <c r="R19" i="15"/>
  <c r="R33" i="15"/>
  <c r="AN21" i="12"/>
  <c r="Q21" i="12"/>
  <c r="AG192" i="12"/>
  <c r="AG193" i="12" s="1"/>
  <c r="Q460" i="12" s="1"/>
  <c r="AC192" i="12"/>
  <c r="AC193" i="12" s="1"/>
  <c r="M460" i="12" s="1"/>
  <c r="P150" i="12"/>
  <c r="P142" i="12" s="1"/>
  <c r="N150" i="12"/>
  <c r="N142" i="12" s="1"/>
  <c r="V144" i="12"/>
  <c r="V189" i="12"/>
  <c r="Y150" i="12"/>
  <c r="Y142" i="12" s="1"/>
  <c r="Y189" i="12"/>
  <c r="Y192" i="12" s="1"/>
  <c r="Y193" i="12" s="1"/>
  <c r="Y341" i="12" s="1"/>
  <c r="V191" i="12"/>
  <c r="M191" i="12"/>
  <c r="U191" i="12"/>
  <c r="J440" i="12"/>
  <c r="L150" i="12"/>
  <c r="L142" i="12" s="1"/>
  <c r="L189" i="12"/>
  <c r="L192" i="12" s="1"/>
  <c r="L193" i="12" s="1"/>
  <c r="L341" i="12" s="1"/>
  <c r="O189" i="12"/>
  <c r="O191" i="12"/>
  <c r="S150" i="12"/>
  <c r="S142" i="12" s="1"/>
  <c r="Q192" i="12"/>
  <c r="Q193" i="12" s="1"/>
  <c r="Q341" i="12" s="1"/>
  <c r="S189" i="12"/>
  <c r="S192" i="12" s="1"/>
  <c r="S193" i="12" s="1"/>
  <c r="S341" i="12" s="1"/>
  <c r="AO19" i="12"/>
  <c r="AL156" i="12"/>
  <c r="AL158" i="12"/>
  <c r="AL164" i="12"/>
  <c r="AN156" i="12"/>
  <c r="AN158" i="12"/>
  <c r="AN164" i="12"/>
  <c r="AE156" i="12"/>
  <c r="AE158" i="12"/>
  <c r="AE164" i="12"/>
  <c r="Q158" i="12"/>
  <c r="Q164" i="12"/>
  <c r="Q156" i="12"/>
  <c r="AB158" i="12"/>
  <c r="AB164" i="12"/>
  <c r="AB156" i="12"/>
  <c r="R156" i="12"/>
  <c r="R158" i="12"/>
  <c r="R164" i="12"/>
  <c r="AD156" i="12"/>
  <c r="AD158" i="12"/>
  <c r="AD164" i="12"/>
  <c r="AM156" i="12"/>
  <c r="AM158" i="12"/>
  <c r="AM164" i="12"/>
  <c r="AI164" i="12"/>
  <c r="AI156" i="12"/>
  <c r="AI158" i="12"/>
  <c r="AG158" i="12"/>
  <c r="AG164" i="12"/>
  <c r="AG156" i="12"/>
  <c r="AO156" i="12"/>
  <c r="AO158" i="12"/>
  <c r="AO164" i="12"/>
  <c r="AK156" i="12"/>
  <c r="AK158" i="12"/>
  <c r="AK164" i="12"/>
  <c r="AF156" i="12"/>
  <c r="AF164" i="12"/>
  <c r="AF158" i="12"/>
  <c r="Z156" i="12"/>
  <c r="Z158" i="12"/>
  <c r="Z164" i="12"/>
  <c r="AC156" i="12"/>
  <c r="AC158" i="12"/>
  <c r="AC164" i="12"/>
  <c r="AJ158" i="12"/>
  <c r="AJ164" i="12"/>
  <c r="AJ156" i="12"/>
  <c r="AH156" i="12"/>
  <c r="AH158" i="12"/>
  <c r="AH164" i="12"/>
  <c r="U189" i="12"/>
  <c r="M189" i="12"/>
  <c r="J342" i="12"/>
  <c r="J151" i="12"/>
  <c r="J191" i="12" s="1"/>
  <c r="J299" i="12"/>
  <c r="J277" i="12"/>
  <c r="W191" i="12"/>
  <c r="T191" i="12"/>
  <c r="J144" i="12"/>
  <c r="J338" i="12" s="1"/>
  <c r="T150" i="12"/>
  <c r="T142" i="12" s="1"/>
  <c r="N189" i="12"/>
  <c r="N192" i="12" s="1"/>
  <c r="N193" i="12" s="1"/>
  <c r="N341" i="12" s="1"/>
  <c r="W150" i="12"/>
  <c r="W142" i="12" s="1"/>
  <c r="X189" i="12"/>
  <c r="X191" i="12"/>
  <c r="P192" i="12"/>
  <c r="P193" i="12" s="1"/>
  <c r="P341" i="12" s="1"/>
  <c r="M142" i="12"/>
  <c r="X142" i="12"/>
  <c r="U142" i="12"/>
  <c r="V142" i="12"/>
  <c r="O142" i="12"/>
  <c r="N419" i="12"/>
  <c r="AE19" i="12"/>
  <c r="AE26" i="12" s="1"/>
  <c r="AE27" i="12" s="1"/>
  <c r="O355" i="12" s="1"/>
  <c r="AJ93" i="12"/>
  <c r="AJ107" i="12" s="1"/>
  <c r="AB93" i="12"/>
  <c r="AB107" i="12" s="1"/>
  <c r="Q93" i="12"/>
  <c r="Q107" i="12" s="1"/>
  <c r="AD93" i="12"/>
  <c r="AD107" i="12" s="1"/>
  <c r="L419" i="12"/>
  <c r="AD140" i="12"/>
  <c r="AD141" i="12" s="1"/>
  <c r="N429" i="12" s="1"/>
  <c r="T419" i="12"/>
  <c r="N437" i="12"/>
  <c r="AC93" i="12"/>
  <c r="AC107" i="12" s="1"/>
  <c r="AJ19" i="12"/>
  <c r="AK140" i="12"/>
  <c r="AK141" i="12" s="1"/>
  <c r="U429" i="12" s="1"/>
  <c r="AA93" i="12"/>
  <c r="K121" i="15" s="1"/>
  <c r="M435" i="12"/>
  <c r="U437" i="12"/>
  <c r="Q282" i="12"/>
  <c r="AJ21" i="12"/>
  <c r="M431" i="12"/>
  <c r="AC140" i="12"/>
  <c r="AC141" i="12" s="1"/>
  <c r="M429" i="12" s="1"/>
  <c r="U432" i="12"/>
  <c r="U434" i="12"/>
  <c r="AA140" i="12"/>
  <c r="Y127" i="12"/>
  <c r="Y128" i="12" s="1"/>
  <c r="Y310" i="12" s="1"/>
  <c r="V127" i="12"/>
  <c r="V128" i="12" s="1"/>
  <c r="V310" i="12" s="1"/>
  <c r="V409" i="12" s="1"/>
  <c r="R369" i="12"/>
  <c r="Q400" i="12"/>
  <c r="R400" i="12"/>
  <c r="T409" i="12"/>
  <c r="Q430" i="12"/>
  <c r="R430" i="12"/>
  <c r="J419" i="12"/>
  <c r="J431" i="12"/>
  <c r="O127" i="12"/>
  <c r="O128" i="12" s="1"/>
  <c r="O310" i="12" s="1"/>
  <c r="J435" i="12"/>
  <c r="J437" i="12"/>
  <c r="K432" i="12"/>
  <c r="K434" i="12"/>
  <c r="J432" i="12"/>
  <c r="J434" i="12"/>
  <c r="J285" i="12"/>
  <c r="AM68" i="12"/>
  <c r="AM69" i="12" s="1"/>
  <c r="W388" i="12" s="1"/>
  <c r="AK107" i="12"/>
  <c r="Q26" i="12"/>
  <c r="Q27" i="12" s="1"/>
  <c r="Q276" i="12" s="1"/>
  <c r="AK26" i="12"/>
  <c r="AK27" i="12" s="1"/>
  <c r="U355" i="12" s="1"/>
  <c r="J284" i="12"/>
  <c r="K127" i="12"/>
  <c r="AC68" i="12"/>
  <c r="AC69" i="12" s="1"/>
  <c r="M388" i="12" s="1"/>
  <c r="AB68" i="12"/>
  <c r="AB69" i="12" s="1"/>
  <c r="L388" i="12" s="1"/>
  <c r="R26" i="12"/>
  <c r="R27" i="12" s="1"/>
  <c r="R276" i="12" s="1"/>
  <c r="AG107" i="12"/>
  <c r="AF107" i="12"/>
  <c r="AN107" i="12"/>
  <c r="AH107" i="12"/>
  <c r="AJ68" i="12"/>
  <c r="AJ69" i="12" s="1"/>
  <c r="T388" i="12" s="1"/>
  <c r="M127" i="12"/>
  <c r="M128" i="12" s="1"/>
  <c r="M132" i="12" s="1"/>
  <c r="W127" i="12"/>
  <c r="W128" i="12" s="1"/>
  <c r="W105" i="12" s="1"/>
  <c r="L127" i="12"/>
  <c r="L128" i="12" s="1"/>
  <c r="L98" i="12" s="1"/>
  <c r="AA107" i="12"/>
  <c r="K141" i="15" s="1"/>
  <c r="AG26" i="12"/>
  <c r="AG27" i="12" s="1"/>
  <c r="Q355" i="12" s="1"/>
  <c r="AN26" i="12"/>
  <c r="AN27" i="12" s="1"/>
  <c r="X355" i="12" s="1"/>
  <c r="R107" i="12"/>
  <c r="AA61" i="12"/>
  <c r="K79" i="15" s="1"/>
  <c r="AF68" i="12"/>
  <c r="AF69" i="12" s="1"/>
  <c r="P388" i="12" s="1"/>
  <c r="AM26" i="12"/>
  <c r="AM27" i="12" s="1"/>
  <c r="W355" i="12" s="1"/>
  <c r="AI26" i="12"/>
  <c r="AI27" i="12" s="1"/>
  <c r="S355" i="12" s="1"/>
  <c r="AK68" i="12"/>
  <c r="AK69" i="12" s="1"/>
  <c r="U388" i="12" s="1"/>
  <c r="P127" i="12"/>
  <c r="P128" i="12" s="1"/>
  <c r="P98" i="12" s="1"/>
  <c r="AO68" i="12"/>
  <c r="AO69" i="12" s="1"/>
  <c r="Y388" i="12" s="1"/>
  <c r="AE68" i="12"/>
  <c r="AE69" i="12" s="1"/>
  <c r="O388" i="12" s="1"/>
  <c r="AD26" i="12"/>
  <c r="AD27" i="12" s="1"/>
  <c r="N355" i="12" s="1"/>
  <c r="AI107" i="12"/>
  <c r="AA21" i="12"/>
  <c r="K27" i="15" s="1"/>
  <c r="S127" i="12"/>
  <c r="S128" i="12" s="1"/>
  <c r="S137" i="12" s="1"/>
  <c r="AL68" i="12"/>
  <c r="AL69" i="12" s="1"/>
  <c r="V388" i="12" s="1"/>
  <c r="AO107" i="12"/>
  <c r="AO26" i="12"/>
  <c r="AO27" i="12" s="1"/>
  <c r="Y355" i="12" s="1"/>
  <c r="N127" i="12"/>
  <c r="N128" i="12" s="1"/>
  <c r="N310" i="12" s="1"/>
  <c r="Q68" i="12"/>
  <c r="Q69" i="12" s="1"/>
  <c r="Q298" i="12" s="1"/>
  <c r="X127" i="12"/>
  <c r="X128" i="12" s="1"/>
  <c r="X105" i="12" s="1"/>
  <c r="AF26" i="12"/>
  <c r="AF27" i="12" s="1"/>
  <c r="P355" i="12" s="1"/>
  <c r="AL107" i="12"/>
  <c r="AC26" i="12"/>
  <c r="AC27" i="12" s="1"/>
  <c r="M355" i="12" s="1"/>
  <c r="AM107" i="12"/>
  <c r="AH26" i="12"/>
  <c r="AH27" i="12" s="1"/>
  <c r="R355" i="12" s="1"/>
  <c r="AN68" i="12"/>
  <c r="AN69" i="12" s="1"/>
  <c r="X388" i="12" s="1"/>
  <c r="AI68" i="12"/>
  <c r="AI69" i="12" s="1"/>
  <c r="S388" i="12" s="1"/>
  <c r="AE107" i="12"/>
  <c r="AB26" i="12"/>
  <c r="AB27" i="12" s="1"/>
  <c r="L355" i="12" s="1"/>
  <c r="AL26" i="12"/>
  <c r="AL27" i="12" s="1"/>
  <c r="V355" i="12" s="1"/>
  <c r="U127" i="12"/>
  <c r="U128" i="12" s="1"/>
  <c r="U99" i="12" s="1"/>
  <c r="AH68" i="12"/>
  <c r="AH69" i="12" s="1"/>
  <c r="R388" i="12" s="1"/>
  <c r="AG68" i="12"/>
  <c r="AG69" i="12" s="1"/>
  <c r="Q388" i="12" s="1"/>
  <c r="R68" i="12"/>
  <c r="R69" i="12" s="1"/>
  <c r="R298" i="12" s="1"/>
  <c r="Z21" i="12"/>
  <c r="AA19" i="12"/>
  <c r="K25" i="15" s="1"/>
  <c r="L51" i="12"/>
  <c r="Z140" i="12"/>
  <c r="Z141" i="12" s="1"/>
  <c r="J429" i="12" s="1"/>
  <c r="T132" i="12"/>
  <c r="T139" i="12"/>
  <c r="Z93" i="12"/>
  <c r="J127" i="12"/>
  <c r="J314" i="12"/>
  <c r="T112" i="12"/>
  <c r="T105" i="12"/>
  <c r="T98" i="12"/>
  <c r="T130" i="12"/>
  <c r="T99" i="12"/>
  <c r="T137" i="12"/>
  <c r="T101" i="12"/>
  <c r="J305" i="12"/>
  <c r="J283" i="12"/>
  <c r="J19" i="12"/>
  <c r="J49" i="12"/>
  <c r="J50" i="12" s="1"/>
  <c r="K49" i="12"/>
  <c r="L49" i="12"/>
  <c r="L50" i="12" s="1"/>
  <c r="Y49" i="12"/>
  <c r="Y50" i="12" s="1"/>
  <c r="W49" i="12"/>
  <c r="W50" i="12" s="1"/>
  <c r="P49" i="12"/>
  <c r="P50" i="12" s="1"/>
  <c r="X49" i="12"/>
  <c r="X50" i="12" s="1"/>
  <c r="S49" i="12"/>
  <c r="S50" i="12" s="1"/>
  <c r="U49" i="12"/>
  <c r="U50" i="12" s="1"/>
  <c r="V49" i="12"/>
  <c r="V50" i="12" s="1"/>
  <c r="M49" i="12"/>
  <c r="M50" i="12" s="1"/>
  <c r="O49" i="12"/>
  <c r="O50" i="12" s="1"/>
  <c r="T49" i="12"/>
  <c r="T50" i="12" s="1"/>
  <c r="N49" i="12"/>
  <c r="N50" i="12" s="1"/>
  <c r="X3" i="12"/>
  <c r="M3" i="12"/>
  <c r="K3" i="12"/>
  <c r="J3" i="15" s="1"/>
  <c r="L91" i="12"/>
  <c r="L92" i="12" s="1"/>
  <c r="M91" i="12"/>
  <c r="M92" i="12" s="1"/>
  <c r="J51" i="12"/>
  <c r="M51" i="12"/>
  <c r="O91" i="12"/>
  <c r="O92" i="12" s="1"/>
  <c r="S3" i="12"/>
  <c r="U51" i="12"/>
  <c r="L3" i="12"/>
  <c r="V3" i="12"/>
  <c r="U3" i="12"/>
  <c r="W3" i="12"/>
  <c r="O3" i="12"/>
  <c r="V91" i="12"/>
  <c r="V92" i="12" s="1"/>
  <c r="Y91" i="12"/>
  <c r="Y92" i="12" s="1"/>
  <c r="N3" i="12"/>
  <c r="X91" i="12"/>
  <c r="X92" i="12" s="1"/>
  <c r="Y3" i="12"/>
  <c r="W51" i="12"/>
  <c r="S91" i="12"/>
  <c r="S92" i="12" s="1"/>
  <c r="P3" i="12"/>
  <c r="N91" i="12"/>
  <c r="N92" i="12" s="1"/>
  <c r="S51" i="12"/>
  <c r="U91" i="12"/>
  <c r="U92" i="12" s="1"/>
  <c r="T51" i="12"/>
  <c r="T3" i="12"/>
  <c r="Y51" i="12"/>
  <c r="X51" i="12"/>
  <c r="K91" i="12"/>
  <c r="P91" i="12"/>
  <c r="P92" i="12" s="1"/>
  <c r="O51" i="12"/>
  <c r="T91" i="12"/>
  <c r="T92" i="12" s="1"/>
  <c r="J91" i="12"/>
  <c r="J92" i="12" s="1"/>
  <c r="J304" i="12" s="1"/>
  <c r="W91" i="12"/>
  <c r="W92" i="12" s="1"/>
  <c r="N51" i="12"/>
  <c r="P51" i="12"/>
  <c r="K51" i="12"/>
  <c r="J65" i="15" s="1"/>
  <c r="V51" i="12"/>
  <c r="K431" i="12" l="1"/>
  <c r="K419" i="12"/>
  <c r="K435" i="12"/>
  <c r="K437" i="12"/>
  <c r="Q369" i="12"/>
  <c r="AA156" i="12"/>
  <c r="K212" i="15" s="1"/>
  <c r="Q23" i="15"/>
  <c r="U192" i="12"/>
  <c r="U193" i="12" s="1"/>
  <c r="U341" i="12" s="1"/>
  <c r="Q9" i="15"/>
  <c r="Q25" i="15"/>
  <c r="AA158" i="12"/>
  <c r="K214" i="15" s="1"/>
  <c r="AA164" i="12"/>
  <c r="K220" i="15" s="1"/>
  <c r="J209" i="15"/>
  <c r="K151" i="12"/>
  <c r="K144" i="12"/>
  <c r="J192" i="15" s="1"/>
  <c r="K92" i="12"/>
  <c r="J120" i="15" s="1"/>
  <c r="J119" i="15"/>
  <c r="K128" i="12"/>
  <c r="K101" i="12" s="1"/>
  <c r="J133" i="15" s="1"/>
  <c r="J169" i="15"/>
  <c r="AA141" i="12"/>
  <c r="K186" i="15"/>
  <c r="Q32" i="15"/>
  <c r="K440" i="12"/>
  <c r="K368" i="12"/>
  <c r="K64" i="15"/>
  <c r="K50" i="12"/>
  <c r="J64" i="15" s="1"/>
  <c r="J63" i="15"/>
  <c r="K192" i="15"/>
  <c r="K448" i="12"/>
  <c r="M192" i="12"/>
  <c r="M193" i="12" s="1"/>
  <c r="M341" i="12" s="1"/>
  <c r="K380" i="12"/>
  <c r="K399" i="12"/>
  <c r="K120" i="15"/>
  <c r="K349" i="12"/>
  <c r="AA193" i="12"/>
  <c r="K260" i="15"/>
  <c r="Z173" i="12"/>
  <c r="Z174" i="12" s="1"/>
  <c r="J446" i="12" s="1"/>
  <c r="AK173" i="12"/>
  <c r="AK174" i="12" s="1"/>
  <c r="U446" i="12" s="1"/>
  <c r="AI173" i="12"/>
  <c r="AI174" i="12" s="1"/>
  <c r="S446" i="12" s="1"/>
  <c r="AH173" i="12"/>
  <c r="AH174" i="12" s="1"/>
  <c r="R446" i="12" s="1"/>
  <c r="AJ173" i="12"/>
  <c r="AJ174" i="12" s="1"/>
  <c r="T446" i="12" s="1"/>
  <c r="AO173" i="12"/>
  <c r="AO174" i="12" s="1"/>
  <c r="Y446" i="12" s="1"/>
  <c r="V192" i="12"/>
  <c r="V193" i="12" s="1"/>
  <c r="V341" i="12" s="1"/>
  <c r="R173" i="12"/>
  <c r="R174" i="12" s="1"/>
  <c r="R337" i="12" s="1"/>
  <c r="S461" i="12"/>
  <c r="W192" i="12"/>
  <c r="W193" i="12" s="1"/>
  <c r="W341" i="12" s="1"/>
  <c r="O192" i="12"/>
  <c r="O193" i="12" s="1"/>
  <c r="O341" i="12" s="1"/>
  <c r="Y461" i="12"/>
  <c r="Q173" i="12"/>
  <c r="Q174" i="12" s="1"/>
  <c r="Q337" i="12" s="1"/>
  <c r="Q461" i="12"/>
  <c r="N461" i="12"/>
  <c r="L461" i="12"/>
  <c r="U461" i="12"/>
  <c r="P461" i="12"/>
  <c r="T192" i="12"/>
  <c r="T193" i="12" s="1"/>
  <c r="T341" i="12" s="1"/>
  <c r="AC173" i="12"/>
  <c r="AC174" i="12" s="1"/>
  <c r="M446" i="12" s="1"/>
  <c r="AN173" i="12"/>
  <c r="AN174" i="12" s="1"/>
  <c r="X446" i="12" s="1"/>
  <c r="AL173" i="12"/>
  <c r="AL174" i="12" s="1"/>
  <c r="V446" i="12" s="1"/>
  <c r="AG173" i="12"/>
  <c r="AG174" i="12" s="1"/>
  <c r="Q446" i="12" s="1"/>
  <c r="AM173" i="12"/>
  <c r="AM174" i="12" s="1"/>
  <c r="W446" i="12" s="1"/>
  <c r="AB173" i="12"/>
  <c r="AB174" i="12" s="1"/>
  <c r="L446" i="12" s="1"/>
  <c r="AE173" i="12"/>
  <c r="AE174" i="12" s="1"/>
  <c r="O446" i="12" s="1"/>
  <c r="AF173" i="12"/>
  <c r="AF174" i="12" s="1"/>
  <c r="P446" i="12" s="1"/>
  <c r="AD173" i="12"/>
  <c r="AD174" i="12" s="1"/>
  <c r="N446" i="12" s="1"/>
  <c r="M156" i="12"/>
  <c r="M158" i="12"/>
  <c r="M164" i="12"/>
  <c r="W156" i="12"/>
  <c r="W158" i="12"/>
  <c r="W164" i="12"/>
  <c r="V156" i="12"/>
  <c r="V164" i="12"/>
  <c r="V158" i="12"/>
  <c r="X156" i="12"/>
  <c r="X158" i="12"/>
  <c r="X164" i="12"/>
  <c r="Y156" i="12"/>
  <c r="Y158" i="12"/>
  <c r="Y164" i="12"/>
  <c r="U156" i="12"/>
  <c r="U158" i="12"/>
  <c r="U164" i="12"/>
  <c r="P156" i="12"/>
  <c r="P164" i="12"/>
  <c r="P158" i="12"/>
  <c r="T158" i="12"/>
  <c r="T164" i="12"/>
  <c r="T156" i="12"/>
  <c r="S164" i="12"/>
  <c r="S156" i="12"/>
  <c r="S158" i="12"/>
  <c r="O156" i="12"/>
  <c r="O158" i="12"/>
  <c r="O164" i="12"/>
  <c r="L158" i="12"/>
  <c r="L164" i="12"/>
  <c r="L156" i="12"/>
  <c r="N156" i="12"/>
  <c r="N158" i="12"/>
  <c r="N164" i="12"/>
  <c r="R440" i="12"/>
  <c r="Q440" i="12"/>
  <c r="J150" i="12"/>
  <c r="J142" i="12" s="1"/>
  <c r="J156" i="12" s="1"/>
  <c r="J189" i="12"/>
  <c r="J192" i="12" s="1"/>
  <c r="J193" i="12" s="1"/>
  <c r="J341" i="12" s="1"/>
  <c r="X192" i="12"/>
  <c r="X193" i="12" s="1"/>
  <c r="X341" i="12" s="1"/>
  <c r="AJ26" i="12"/>
  <c r="AJ27" i="12" s="1"/>
  <c r="T355" i="12" s="1"/>
  <c r="Y137" i="12"/>
  <c r="M101" i="12"/>
  <c r="O98" i="12"/>
  <c r="O105" i="12"/>
  <c r="O137" i="12"/>
  <c r="Y112" i="12"/>
  <c r="Y130" i="12"/>
  <c r="V98" i="12"/>
  <c r="O130" i="12"/>
  <c r="O112" i="12"/>
  <c r="W139" i="12"/>
  <c r="P132" i="12"/>
  <c r="W130" i="12"/>
  <c r="V130" i="12"/>
  <c r="V105" i="12"/>
  <c r="W112" i="12"/>
  <c r="V99" i="12"/>
  <c r="X112" i="12"/>
  <c r="O132" i="12"/>
  <c r="Y99" i="12"/>
  <c r="S105" i="12"/>
  <c r="Y101" i="12"/>
  <c r="Y132" i="12"/>
  <c r="V137" i="12"/>
  <c r="O99" i="12"/>
  <c r="W98" i="12"/>
  <c r="Y139" i="12"/>
  <c r="Y409" i="12"/>
  <c r="Y105" i="12"/>
  <c r="Y98" i="12"/>
  <c r="V101" i="12"/>
  <c r="V93" i="12" s="1"/>
  <c r="V132" i="12"/>
  <c r="K99" i="12"/>
  <c r="J131" i="15" s="1"/>
  <c r="K98" i="12"/>
  <c r="J130" i="15" s="1"/>
  <c r="P112" i="12"/>
  <c r="V139" i="12"/>
  <c r="S98" i="12"/>
  <c r="V112" i="12"/>
  <c r="O101" i="12"/>
  <c r="M98" i="12"/>
  <c r="O139" i="12"/>
  <c r="M112" i="12"/>
  <c r="J400" i="12"/>
  <c r="O409" i="12"/>
  <c r="R356" i="12"/>
  <c r="Q389" i="12"/>
  <c r="N409" i="12"/>
  <c r="Q356" i="12"/>
  <c r="R389" i="12"/>
  <c r="U132" i="12"/>
  <c r="Y282" i="12"/>
  <c r="Y304" i="12"/>
  <c r="S132" i="12"/>
  <c r="S310" i="12"/>
  <c r="O282" i="12"/>
  <c r="O304" i="12"/>
  <c r="U310" i="12"/>
  <c r="W137" i="12"/>
  <c r="W310" i="12"/>
  <c r="N282" i="12"/>
  <c r="N304" i="12"/>
  <c r="V282" i="12"/>
  <c r="V304" i="12"/>
  <c r="X310" i="12"/>
  <c r="M139" i="12"/>
  <c r="M310" i="12"/>
  <c r="W282" i="12"/>
  <c r="W304" i="12"/>
  <c r="L304" i="12"/>
  <c r="L282" i="12"/>
  <c r="P282" i="12"/>
  <c r="P304" i="12"/>
  <c r="X282" i="12"/>
  <c r="X304" i="12"/>
  <c r="S282" i="12"/>
  <c r="S304" i="12"/>
  <c r="M304" i="12"/>
  <c r="M282" i="12"/>
  <c r="T304" i="12"/>
  <c r="T282" i="12"/>
  <c r="U304" i="12"/>
  <c r="U282" i="12"/>
  <c r="P99" i="12"/>
  <c r="P310" i="12"/>
  <c r="L310" i="12"/>
  <c r="L137" i="12"/>
  <c r="L112" i="12"/>
  <c r="L139" i="12"/>
  <c r="P139" i="12"/>
  <c r="X101" i="12"/>
  <c r="S101" i="12"/>
  <c r="X98" i="12"/>
  <c r="M137" i="12"/>
  <c r="M105" i="12"/>
  <c r="M99" i="12"/>
  <c r="W99" i="12"/>
  <c r="P101" i="12"/>
  <c r="L101" i="12"/>
  <c r="P137" i="12"/>
  <c r="M130" i="12"/>
  <c r="U98" i="12"/>
  <c r="X137" i="12"/>
  <c r="X130" i="12"/>
  <c r="P105" i="12"/>
  <c r="S139" i="12"/>
  <c r="K139" i="12"/>
  <c r="J185" i="15" s="1"/>
  <c r="X132" i="12"/>
  <c r="W101" i="12"/>
  <c r="U137" i="12"/>
  <c r="L130" i="12"/>
  <c r="U130" i="12"/>
  <c r="S130" i="12"/>
  <c r="L132" i="12"/>
  <c r="W132" i="12"/>
  <c r="X139" i="12"/>
  <c r="U105" i="12"/>
  <c r="P130" i="12"/>
  <c r="U101" i="12"/>
  <c r="L99" i="12"/>
  <c r="X99" i="12"/>
  <c r="U112" i="12"/>
  <c r="S99" i="12"/>
  <c r="S112" i="12"/>
  <c r="L105" i="12"/>
  <c r="U139" i="12"/>
  <c r="Y21" i="12"/>
  <c r="L21" i="12"/>
  <c r="AA26" i="12"/>
  <c r="AM114" i="12"/>
  <c r="AM115" i="12" s="1"/>
  <c r="W417" i="12" s="1"/>
  <c r="AA68" i="12"/>
  <c r="Q114" i="12"/>
  <c r="Q115" i="12" s="1"/>
  <c r="Q321" i="12" s="1"/>
  <c r="AG114" i="12"/>
  <c r="AG115" i="12" s="1"/>
  <c r="Q417" i="12" s="1"/>
  <c r="T21" i="12"/>
  <c r="V21" i="12"/>
  <c r="K21" i="12"/>
  <c r="J27" i="15" s="1"/>
  <c r="U61" i="12"/>
  <c r="AJ114" i="12"/>
  <c r="AJ115" i="12" s="1"/>
  <c r="T417" i="12" s="1"/>
  <c r="AI114" i="12"/>
  <c r="AI115" i="12" s="1"/>
  <c r="S417" i="12" s="1"/>
  <c r="T61" i="12"/>
  <c r="O61" i="12"/>
  <c r="N21" i="12"/>
  <c r="M21" i="12"/>
  <c r="V61" i="12"/>
  <c r="S61" i="12"/>
  <c r="S21" i="12"/>
  <c r="X19" i="12"/>
  <c r="J21" i="12"/>
  <c r="J26" i="12" s="1"/>
  <c r="AA114" i="12"/>
  <c r="AH114" i="12"/>
  <c r="AH115" i="12" s="1"/>
  <c r="R417" i="12" s="1"/>
  <c r="Y61" i="12"/>
  <c r="U19" i="12"/>
  <c r="K61" i="12"/>
  <c r="J79" i="15" s="1"/>
  <c r="AD114" i="12"/>
  <c r="AD115" i="12" s="1"/>
  <c r="N417" i="12" s="1"/>
  <c r="AE114" i="12"/>
  <c r="AE115" i="12" s="1"/>
  <c r="O417" i="12" s="1"/>
  <c r="AK114" i="12"/>
  <c r="AK115" i="12" s="1"/>
  <c r="U417" i="12" s="1"/>
  <c r="P61" i="12"/>
  <c r="O21" i="12"/>
  <c r="AO114" i="12"/>
  <c r="AO115" i="12" s="1"/>
  <c r="Y417" i="12" s="1"/>
  <c r="R114" i="12"/>
  <c r="R115" i="12" s="1"/>
  <c r="R321" i="12" s="1"/>
  <c r="AN114" i="12"/>
  <c r="AN115" i="12" s="1"/>
  <c r="X417" i="12" s="1"/>
  <c r="P21" i="12"/>
  <c r="M61" i="12"/>
  <c r="N61" i="12"/>
  <c r="X61" i="12"/>
  <c r="W21" i="12"/>
  <c r="J61" i="12"/>
  <c r="Z107" i="12"/>
  <c r="Z26" i="12"/>
  <c r="Z27" i="12" s="1"/>
  <c r="J355" i="12" s="1"/>
  <c r="AL114" i="12"/>
  <c r="AL115" i="12" s="1"/>
  <c r="V417" i="12" s="1"/>
  <c r="L61" i="12"/>
  <c r="AC114" i="12"/>
  <c r="AC115" i="12" s="1"/>
  <c r="M417" i="12" s="1"/>
  <c r="Z68" i="12"/>
  <c r="Z69" i="12" s="1"/>
  <c r="J388" i="12" s="1"/>
  <c r="AF114" i="12"/>
  <c r="AF115" i="12" s="1"/>
  <c r="P417" i="12" s="1"/>
  <c r="W61" i="12"/>
  <c r="AB114" i="12"/>
  <c r="AB115" i="12" s="1"/>
  <c r="L417" i="12" s="1"/>
  <c r="N139" i="12"/>
  <c r="N112" i="12"/>
  <c r="N132" i="12"/>
  <c r="N105" i="12"/>
  <c r="N101" i="12"/>
  <c r="N137" i="12"/>
  <c r="N99" i="12"/>
  <c r="N130" i="12"/>
  <c r="N98" i="12"/>
  <c r="K304" i="12"/>
  <c r="T93" i="12"/>
  <c r="T140" i="12"/>
  <c r="T141" i="12" s="1"/>
  <c r="T327" i="12" s="1"/>
  <c r="J282" i="12"/>
  <c r="M19" i="12"/>
  <c r="X21" i="12"/>
  <c r="K19" i="12"/>
  <c r="J25" i="15" s="1"/>
  <c r="Y19" i="12"/>
  <c r="L19" i="12"/>
  <c r="V19" i="12"/>
  <c r="S19" i="12"/>
  <c r="U21" i="12"/>
  <c r="W19" i="12"/>
  <c r="N19" i="12"/>
  <c r="O19" i="12"/>
  <c r="T19" i="12"/>
  <c r="P19" i="12"/>
  <c r="J128" i="12"/>
  <c r="J98" i="12" s="1"/>
  <c r="K132" i="12" l="1"/>
  <c r="J176" i="15" s="1"/>
  <c r="K112" i="12"/>
  <c r="J148" i="15" s="1"/>
  <c r="K105" i="12"/>
  <c r="J139" i="15" s="1"/>
  <c r="K137" i="12"/>
  <c r="J181" i="15" s="1"/>
  <c r="K130" i="12"/>
  <c r="J172" i="15" s="1"/>
  <c r="K282" i="12"/>
  <c r="K369" i="12" s="1"/>
  <c r="M461" i="12"/>
  <c r="AA173" i="12"/>
  <c r="AA174" i="12" s="1"/>
  <c r="V461" i="12"/>
  <c r="Q26" i="15"/>
  <c r="K191" i="12"/>
  <c r="J203" i="15"/>
  <c r="K189" i="12"/>
  <c r="K150" i="12"/>
  <c r="K460" i="12"/>
  <c r="K261" i="15"/>
  <c r="K429" i="12"/>
  <c r="K187" i="15"/>
  <c r="AA115" i="12"/>
  <c r="K152" i="15"/>
  <c r="K310" i="12"/>
  <c r="J170" i="15"/>
  <c r="AA69" i="12"/>
  <c r="K90" i="15"/>
  <c r="AA27" i="12"/>
  <c r="K34" i="15"/>
  <c r="J164" i="12"/>
  <c r="J461" i="12"/>
  <c r="O461" i="12"/>
  <c r="W461" i="12"/>
  <c r="J158" i="12"/>
  <c r="S173" i="12"/>
  <c r="S174" i="12" s="1"/>
  <c r="S337" i="12" s="1"/>
  <c r="U173" i="12"/>
  <c r="U174" i="12" s="1"/>
  <c r="U337" i="12" s="1"/>
  <c r="T461" i="12"/>
  <c r="J130" i="12"/>
  <c r="X461" i="12"/>
  <c r="Y173" i="12"/>
  <c r="Y174" i="12" s="1"/>
  <c r="Y337" i="12" s="1"/>
  <c r="O173" i="12"/>
  <c r="O174" i="12" s="1"/>
  <c r="O337" i="12" s="1"/>
  <c r="W173" i="12"/>
  <c r="W174" i="12" s="1"/>
  <c r="W337" i="12" s="1"/>
  <c r="Q447" i="12"/>
  <c r="V173" i="12"/>
  <c r="V174" i="12" s="1"/>
  <c r="V337" i="12" s="1"/>
  <c r="R447" i="12"/>
  <c r="T173" i="12"/>
  <c r="T174" i="12" s="1"/>
  <c r="T337" i="12" s="1"/>
  <c r="M173" i="12"/>
  <c r="M174" i="12" s="1"/>
  <c r="M337" i="12" s="1"/>
  <c r="T440" i="12"/>
  <c r="M440" i="12"/>
  <c r="O440" i="12"/>
  <c r="Y440" i="12"/>
  <c r="W440" i="12"/>
  <c r="U440" i="12"/>
  <c r="V440" i="12"/>
  <c r="S440" i="12"/>
  <c r="P173" i="12"/>
  <c r="P174" i="12" s="1"/>
  <c r="N173" i="12"/>
  <c r="N174" i="12" s="1"/>
  <c r="X173" i="12"/>
  <c r="X174" i="12" s="1"/>
  <c r="L173" i="12"/>
  <c r="L174" i="12" s="1"/>
  <c r="Y140" i="12"/>
  <c r="Y141" i="12" s="1"/>
  <c r="Y327" i="12" s="1"/>
  <c r="Y93" i="12"/>
  <c r="Y107" i="12" s="1"/>
  <c r="K93" i="12"/>
  <c r="J121" i="15" s="1"/>
  <c r="O140" i="12"/>
  <c r="O141" i="12" s="1"/>
  <c r="O327" i="12" s="1"/>
  <c r="O430" i="12" s="1"/>
  <c r="V140" i="12"/>
  <c r="V141" i="12" s="1"/>
  <c r="V327" i="12" s="1"/>
  <c r="W93" i="12"/>
  <c r="W107" i="12" s="1"/>
  <c r="L93" i="12"/>
  <c r="L107" i="12" s="1"/>
  <c r="M93" i="12"/>
  <c r="M107" i="12" s="1"/>
  <c r="P93" i="12"/>
  <c r="K140" i="12"/>
  <c r="W140" i="12"/>
  <c r="W141" i="12" s="1"/>
  <c r="W327" i="12" s="1"/>
  <c r="O93" i="12"/>
  <c r="O107" i="12" s="1"/>
  <c r="U68" i="12"/>
  <c r="U69" i="12" s="1"/>
  <c r="U298" i="12" s="1"/>
  <c r="S140" i="12"/>
  <c r="S141" i="12" s="1"/>
  <c r="S327" i="12" s="1"/>
  <c r="M140" i="12"/>
  <c r="M141" i="12" s="1"/>
  <c r="M327" i="12" s="1"/>
  <c r="J369" i="12"/>
  <c r="U400" i="12"/>
  <c r="X369" i="12"/>
  <c r="Y369" i="12"/>
  <c r="Q418" i="12"/>
  <c r="T369" i="12"/>
  <c r="P400" i="12"/>
  <c r="X409" i="12"/>
  <c r="U409" i="12"/>
  <c r="T400" i="12"/>
  <c r="P369" i="12"/>
  <c r="L409" i="12"/>
  <c r="M369" i="12"/>
  <c r="L369" i="12"/>
  <c r="V400" i="12"/>
  <c r="O400" i="12"/>
  <c r="R418" i="12"/>
  <c r="M400" i="12"/>
  <c r="L400" i="12"/>
  <c r="V369" i="12"/>
  <c r="O369" i="12"/>
  <c r="P409" i="12"/>
  <c r="S400" i="12"/>
  <c r="W400" i="12"/>
  <c r="N400" i="12"/>
  <c r="S409" i="12"/>
  <c r="T430" i="12"/>
  <c r="S369" i="12"/>
  <c r="W369" i="12"/>
  <c r="N369" i="12"/>
  <c r="K400" i="12"/>
  <c r="U369" i="12"/>
  <c r="X400" i="12"/>
  <c r="M409" i="12"/>
  <c r="W409" i="12"/>
  <c r="Y400" i="12"/>
  <c r="L140" i="12"/>
  <c r="L141" i="12" s="1"/>
  <c r="L327" i="12" s="1"/>
  <c r="P140" i="12"/>
  <c r="P141" i="12" s="1"/>
  <c r="P327" i="12" s="1"/>
  <c r="X93" i="12"/>
  <c r="X140" i="12"/>
  <c r="X141" i="12" s="1"/>
  <c r="X327" i="12" s="1"/>
  <c r="U93" i="12"/>
  <c r="O68" i="12"/>
  <c r="O69" i="12" s="1"/>
  <c r="O298" i="12" s="1"/>
  <c r="S93" i="12"/>
  <c r="J68" i="12"/>
  <c r="J69" i="12" s="1"/>
  <c r="U140" i="12"/>
  <c r="U141" i="12" s="1"/>
  <c r="U327" i="12" s="1"/>
  <c r="N140" i="12"/>
  <c r="N141" i="12" s="1"/>
  <c r="N327" i="12" s="1"/>
  <c r="N68" i="12"/>
  <c r="N69" i="12" s="1"/>
  <c r="N298" i="12" s="1"/>
  <c r="Y68" i="12"/>
  <c r="Y69" i="12" s="1"/>
  <c r="Y298" i="12" s="1"/>
  <c r="S68" i="12"/>
  <c r="S69" i="12" s="1"/>
  <c r="S298" i="12" s="1"/>
  <c r="V107" i="12"/>
  <c r="P26" i="12"/>
  <c r="P27" i="12" s="1"/>
  <c r="P276" i="12" s="1"/>
  <c r="S26" i="12"/>
  <c r="S27" i="12" s="1"/>
  <c r="S276" i="12" s="1"/>
  <c r="X26" i="12"/>
  <c r="X27" i="12" s="1"/>
  <c r="X276" i="12" s="1"/>
  <c r="M68" i="12"/>
  <c r="M69" i="12" s="1"/>
  <c r="M298" i="12" s="1"/>
  <c r="V68" i="12"/>
  <c r="V69" i="12" s="1"/>
  <c r="V298" i="12" s="1"/>
  <c r="T68" i="12"/>
  <c r="T69" i="12" s="1"/>
  <c r="T298" i="12" s="1"/>
  <c r="O26" i="12"/>
  <c r="O27" i="12" s="1"/>
  <c r="O276" i="12" s="1"/>
  <c r="L26" i="12"/>
  <c r="L27" i="12" s="1"/>
  <c r="L276" i="12" s="1"/>
  <c r="P68" i="12"/>
  <c r="P69" i="12" s="1"/>
  <c r="P298" i="12" s="1"/>
  <c r="J27" i="12"/>
  <c r="J276" i="12" s="1"/>
  <c r="V26" i="12"/>
  <c r="V27" i="12" s="1"/>
  <c r="V276" i="12" s="1"/>
  <c r="K68" i="12"/>
  <c r="N26" i="12"/>
  <c r="N27" i="12" s="1"/>
  <c r="N276" i="12" s="1"/>
  <c r="W26" i="12"/>
  <c r="W27" i="12" s="1"/>
  <c r="W276" i="12" s="1"/>
  <c r="K26" i="12"/>
  <c r="T107" i="12"/>
  <c r="X68" i="12"/>
  <c r="X69" i="12" s="1"/>
  <c r="X298" i="12" s="1"/>
  <c r="T26" i="12"/>
  <c r="T27" i="12" s="1"/>
  <c r="T276" i="12" s="1"/>
  <c r="M26" i="12"/>
  <c r="M27" i="12" s="1"/>
  <c r="M276" i="12" s="1"/>
  <c r="Y26" i="12"/>
  <c r="Y27" i="12" s="1"/>
  <c r="Y276" i="12" s="1"/>
  <c r="U26" i="12"/>
  <c r="U27" i="12" s="1"/>
  <c r="U276" i="12" s="1"/>
  <c r="N93" i="12"/>
  <c r="W68" i="12"/>
  <c r="W69" i="12" s="1"/>
  <c r="W298" i="12" s="1"/>
  <c r="L68" i="12"/>
  <c r="L69" i="12" s="1"/>
  <c r="L298" i="12" s="1"/>
  <c r="Z114" i="12"/>
  <c r="Z115" i="12" s="1"/>
  <c r="J417" i="12" s="1"/>
  <c r="J310" i="12"/>
  <c r="J139" i="12"/>
  <c r="J132" i="12"/>
  <c r="J99" i="12"/>
  <c r="J137" i="12"/>
  <c r="J112" i="12"/>
  <c r="J101" i="12"/>
  <c r="J105" i="12"/>
  <c r="K107" i="12" l="1"/>
  <c r="J141" i="15" s="1"/>
  <c r="K233" i="15"/>
  <c r="Y430" i="12"/>
  <c r="K141" i="12"/>
  <c r="J186" i="15"/>
  <c r="K388" i="12"/>
  <c r="K91" i="15"/>
  <c r="K69" i="12"/>
  <c r="J90" i="15"/>
  <c r="K417" i="12"/>
  <c r="K153" i="15"/>
  <c r="J198" i="15"/>
  <c r="K142" i="12"/>
  <c r="K409" i="12"/>
  <c r="K192" i="12"/>
  <c r="J251" i="15"/>
  <c r="J255" i="15"/>
  <c r="K446" i="12"/>
  <c r="K234" i="15"/>
  <c r="K355" i="12"/>
  <c r="K35" i="15"/>
  <c r="K27" i="12"/>
  <c r="J34" i="15"/>
  <c r="J173" i="12"/>
  <c r="J174" i="12" s="1"/>
  <c r="J337" i="12" s="1"/>
  <c r="J447" i="12" s="1"/>
  <c r="V430" i="12"/>
  <c r="W430" i="12"/>
  <c r="U447" i="12"/>
  <c r="M447" i="12"/>
  <c r="W447" i="12"/>
  <c r="T447" i="12"/>
  <c r="S447" i="12"/>
  <c r="Y447" i="12"/>
  <c r="V447" i="12"/>
  <c r="O447" i="12"/>
  <c r="P440" i="12"/>
  <c r="P337" i="12"/>
  <c r="L440" i="12"/>
  <c r="L337" i="12"/>
  <c r="X440" i="12"/>
  <c r="X337" i="12"/>
  <c r="N440" i="12"/>
  <c r="N337" i="12"/>
  <c r="J322" i="12"/>
  <c r="P107" i="12"/>
  <c r="M430" i="12"/>
  <c r="X107" i="12"/>
  <c r="S107" i="12"/>
  <c r="S114" i="12" s="1"/>
  <c r="S115" i="12" s="1"/>
  <c r="S321" i="12" s="1"/>
  <c r="U389" i="12"/>
  <c r="U107" i="12"/>
  <c r="U114" i="12" s="1"/>
  <c r="U115" i="12" s="1"/>
  <c r="U321" i="12" s="1"/>
  <c r="S430" i="12"/>
  <c r="O356" i="12"/>
  <c r="X356" i="12"/>
  <c r="S389" i="12"/>
  <c r="P430" i="12"/>
  <c r="L389" i="12"/>
  <c r="U356" i="12"/>
  <c r="T356" i="12"/>
  <c r="P389" i="12"/>
  <c r="W356" i="12"/>
  <c r="T389" i="12"/>
  <c r="S356" i="12"/>
  <c r="Y389" i="12"/>
  <c r="P356" i="12"/>
  <c r="J409" i="12"/>
  <c r="W389" i="12"/>
  <c r="Y356" i="12"/>
  <c r="X389" i="12"/>
  <c r="O389" i="12"/>
  <c r="V356" i="12"/>
  <c r="X430" i="12"/>
  <c r="V389" i="12"/>
  <c r="N389" i="12"/>
  <c r="L356" i="12"/>
  <c r="M389" i="12"/>
  <c r="N430" i="12"/>
  <c r="M356" i="12"/>
  <c r="N356" i="12"/>
  <c r="U430" i="12"/>
  <c r="L430" i="12"/>
  <c r="J298" i="12"/>
  <c r="T114" i="12"/>
  <c r="T115" i="12" s="1"/>
  <c r="T321" i="12" s="1"/>
  <c r="J329" i="12"/>
  <c r="N107" i="12"/>
  <c r="L114" i="12"/>
  <c r="L115" i="12" s="1"/>
  <c r="L321" i="12" s="1"/>
  <c r="K114" i="12"/>
  <c r="P114" i="12"/>
  <c r="P115" i="12" s="1"/>
  <c r="P321" i="12" s="1"/>
  <c r="O114" i="12"/>
  <c r="O115" i="12" s="1"/>
  <c r="O321" i="12" s="1"/>
  <c r="M114" i="12"/>
  <c r="M115" i="12" s="1"/>
  <c r="M321" i="12" s="1"/>
  <c r="J330" i="12"/>
  <c r="W114" i="12"/>
  <c r="W115" i="12" s="1"/>
  <c r="W321" i="12" s="1"/>
  <c r="X114" i="12"/>
  <c r="X115" i="12" s="1"/>
  <c r="X321" i="12" s="1"/>
  <c r="V114" i="12"/>
  <c r="V115" i="12" s="1"/>
  <c r="V321" i="12" s="1"/>
  <c r="Y114" i="12"/>
  <c r="Y115" i="12" s="1"/>
  <c r="Y321" i="12" s="1"/>
  <c r="J328" i="12"/>
  <c r="J93" i="12"/>
  <c r="J107" i="12" s="1"/>
  <c r="J140" i="12"/>
  <c r="J141" i="12" s="1"/>
  <c r="J327" i="12" s="1"/>
  <c r="K298" i="12" l="1"/>
  <c r="J91" i="15"/>
  <c r="K115" i="12"/>
  <c r="J152" i="15"/>
  <c r="J188" i="15"/>
  <c r="K164" i="12"/>
  <c r="J220" i="15" s="1"/>
  <c r="K156" i="12"/>
  <c r="K158" i="12"/>
  <c r="J214" i="15" s="1"/>
  <c r="K193" i="12"/>
  <c r="J260" i="15"/>
  <c r="K327" i="12"/>
  <c r="J187" i="15"/>
  <c r="K276" i="12"/>
  <c r="J35" i="15"/>
  <c r="L447" i="12"/>
  <c r="P447" i="12"/>
  <c r="N447" i="12"/>
  <c r="X447" i="12"/>
  <c r="S418" i="12"/>
  <c r="L418" i="12"/>
  <c r="Y418" i="12"/>
  <c r="U418" i="12"/>
  <c r="W418" i="12"/>
  <c r="J430" i="12"/>
  <c r="J389" i="12"/>
  <c r="J356" i="12"/>
  <c r="V418" i="12"/>
  <c r="M418" i="12"/>
  <c r="P418" i="12"/>
  <c r="X418" i="12"/>
  <c r="O418" i="12"/>
  <c r="T418" i="12"/>
  <c r="N114" i="12"/>
  <c r="N115" i="12" s="1"/>
  <c r="N321" i="12" s="1"/>
  <c r="K321" i="12" l="1"/>
  <c r="J153" i="15"/>
  <c r="K341" i="12"/>
  <c r="J261" i="15"/>
  <c r="K430" i="12"/>
  <c r="J212" i="15"/>
  <c r="K173" i="12"/>
  <c r="K389" i="12"/>
  <c r="K356" i="12"/>
  <c r="N418" i="12"/>
  <c r="J114" i="12"/>
  <c r="J115" i="12" s="1"/>
  <c r="J321" i="12" s="1"/>
  <c r="K174" i="12" l="1"/>
  <c r="J233" i="15"/>
  <c r="K461" i="12"/>
  <c r="K418" i="12"/>
  <c r="J418" i="12"/>
  <c r="K337" i="12" l="1"/>
  <c r="J234" i="15"/>
  <c r="K447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7646d283yx@student.ethz.ch</author>
  </authors>
  <commentList>
    <comment ref="AD23" authorId="0" shapeId="0" xr:uid="{1382D5B6-187C-FD40-9830-ADC8C7295B65}">
      <text>
        <r>
          <rPr>
            <b/>
            <sz val="10"/>
            <color rgb="FF000000"/>
            <rFont val="Tahoma"/>
            <family val="2"/>
          </rPr>
          <t>7646d283yx@student.ethz.ch: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minus 1 because it is the amount of CO2 emissions per kg CO2 captured</t>
        </r>
      </text>
    </comment>
    <comment ref="CP23" authorId="0" shapeId="0" xr:uid="{22873CCF-1EAF-DC44-AD13-2DBAFB140B0C}">
      <text>
        <r>
          <rPr>
            <b/>
            <sz val="10"/>
            <color rgb="FF000000"/>
            <rFont val="Tahoma"/>
            <family val="2"/>
          </rPr>
          <t>7646d283yx@student.ethz.ch: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minus 1 because it is the amount of CO2 emissions per kg CO2 captured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AD24" authorId="0" shapeId="0" xr:uid="{6E0F783A-F62B-9C42-83C5-E31A2AF7CB98}">
      <text>
        <r>
          <rPr>
            <b/>
            <sz val="10"/>
            <color rgb="FF000000"/>
            <rFont val="Tahoma"/>
            <family val="2"/>
          </rPr>
          <t>7646d283yx@student.ethz.ch: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minus 1 because it is the amount of CO2 emissions per kg CO2 captured
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CP24" authorId="0" shapeId="0" xr:uid="{0801129B-A863-294C-8449-BD85684B82A3}">
      <text>
        <r>
          <rPr>
            <b/>
            <sz val="10"/>
            <color rgb="FF000000"/>
            <rFont val="Tahoma"/>
            <family val="2"/>
          </rPr>
          <t>7646d283yx@student.ethz.ch: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minus 1 because it is the amount of CO2 emissions per kg CO2 captured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AD40" authorId="0" shapeId="0" xr:uid="{A5B39E52-D409-EC45-B555-C06F22E8960A}">
      <text>
        <r>
          <rPr>
            <b/>
            <sz val="10"/>
            <color rgb="FF000000"/>
            <rFont val="Tahoma"/>
            <family val="2"/>
          </rPr>
          <t>7646d283yx@student.ethz.ch: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Minus 2.75 because 2.75 kg CO2 were used to produce the methane
</t>
        </r>
      </text>
    </comment>
    <comment ref="CP40" authorId="0" shapeId="0" xr:uid="{584AF15B-8948-474E-A02B-F435A04FF2E9}">
      <text>
        <r>
          <rPr>
            <b/>
            <sz val="10"/>
            <color rgb="FF000000"/>
            <rFont val="Tahoma"/>
            <family val="2"/>
          </rPr>
          <t>7646d283yx@student.ethz.ch: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Minus 2.75 because 2.75 kg CO2 were used to produce the methane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7646d283yx@student.ethz.ch</author>
  </authors>
  <commentList>
    <comment ref="C214" authorId="0" shapeId="0" xr:uid="{4EC074A7-B486-A341-8F8D-FFAE5717B1B7}">
      <text>
        <r>
          <rPr>
            <b/>
            <sz val="10"/>
            <color rgb="FF000000"/>
            <rFont val="Tahoma"/>
            <family val="2"/>
          </rPr>
          <t xml:space="preserve">7646d283yx@student.ethz.ch:
</t>
        </r>
        <r>
          <rPr>
            <sz val="10"/>
            <color rgb="FF000000"/>
            <rFont val="Tahoma"/>
            <family val="2"/>
          </rPr>
          <t xml:space="preserve">unit à 5kW
</t>
        </r>
        <r>
          <rPr>
            <sz val="10"/>
            <color rgb="FF000000"/>
            <rFont val="Tahoma"/>
            <family val="2"/>
          </rPr>
          <t>using LCIA of air-water heat pump as it is the heat pump technology that is most spread in Switzerland (Source: https://www.hev-schweiz.ch/news/detail/News/waermepumpen-zaehlen-zu-den-effizientesten-waermeerzeugern-sofern-die-voraussetzungen-stimmen, accessed 15.11.2024)</t>
        </r>
      </text>
    </comment>
    <comment ref="C246" authorId="0" shapeId="0" xr:uid="{5797BB8B-EC1E-9140-9400-04FB41E5325C}">
      <text>
        <r>
          <rPr>
            <b/>
            <sz val="10"/>
            <color rgb="FF000000"/>
            <rFont val="Tahoma"/>
            <family val="2"/>
          </rPr>
          <t xml:space="preserve">7646d283yx@student.ethz.ch:
</t>
        </r>
        <r>
          <rPr>
            <sz val="10"/>
            <color rgb="FF000000"/>
            <rFont val="Tahoma"/>
            <family val="2"/>
          </rPr>
          <t xml:space="preserve">unit à 5kW
</t>
        </r>
        <r>
          <rPr>
            <sz val="10"/>
            <color rgb="FF000000"/>
            <rFont val="Tahoma"/>
            <family val="2"/>
          </rPr>
          <t>using LCIA of air-water heat pump as it is the heat pump technology that is most spread in Switzerland (Source: https://www.hev-schweiz.ch/news/detail/News/waermepumpen-zaehlen-zu-den-effizientesten-waermeerzeugern-sofern-die-voraussetzungen-stimmen, accessed 15.11.2024)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C3599B-02D0-6240-A84C-B81BC9393DD4}" keepAlive="1" name="Abfrage - buildings_heat_production_per_scenario" description="Verbindung mit der Abfrage 'buildings_heat_production_per_scenario' in der Arbeitsmappe." type="5" refreshedVersion="8" background="1" saveData="1">
    <dbPr connection="Provider=Microsoft.Mashup.OleDb.1;Data Source=$Workbook$;Location=buildings_heat_production_per_scenario;Extended Properties=&quot;&quot;" command="SELECT * FROM [buildings_heat_production_per_scenario]"/>
  </connection>
  <connection id="2" xr16:uid="{75B7365B-5F45-1E4C-898A-5211D91D69C9}" keepAlive="1" name="Abfrage - heavy_transport_production_per_scenario" description="Verbindung mit der Abfrage 'heavy_transport_production_per_scenario' in der Arbeitsmappe." type="5" refreshedVersion="0" background="1">
    <dbPr connection="Provider=Microsoft.Mashup.OleDb.1;Data Source=$Workbook$;Location=heavy_transport_production_per_scenario;Extended Properties=&quot;&quot;" command="SELECT * FROM [heavy_transport_production_per_scenario]"/>
  </connection>
  <connection id="3" xr16:uid="{A570CA9C-9864-9F49-BAC2-21ED8BE00E60}" keepAlive="1" name="Abfrage - ht_ph_production_per_scenario" description="Verbindung mit der Abfrage 'ht_ph_production_per_scenario' in der Arbeitsmappe." type="5" refreshedVersion="8" background="1" saveData="1">
    <dbPr connection="Provider=Microsoft.Mashup.OleDb.1;Data Source=$Workbook$;Location=ht_ph_production_per_scenario;Extended Properties=&quot;&quot;" command="SELECT * FROM [ht_ph_production_per_scenario]"/>
  </connection>
  <connection id="4" xr16:uid="{C7AFEB24-91C2-5F40-B9F8-51116ADA2603}" keepAlive="1" name="Abfrage - light_transport_production_per_scenario" description="Verbindung mit der Abfrage 'light_transport_production_per_scenario' in der Arbeitsmappe." type="5" refreshedVersion="8" background="1" saveData="1">
    <dbPr connection="Provider=Microsoft.Mashup.OleDb.1;Data Source=$Workbook$;Location=light_transport_production_per_scenario;Extended Properties=&quot;&quot;" command="SELECT * FROM [light_transport_production_per_scenario]"/>
  </connection>
  <connection id="5" xr16:uid="{8262CA70-7D0F-A14A-B57C-2E9D9F8E1A1D}" keepAlive="1" name="Abfrage - lt_ph_production_per_scenario" description="Verbindung mit der Abfrage 'lt_ph_production_per_scenario' in der Arbeitsmappe." type="5" refreshedVersion="0" background="1">
    <dbPr connection="Provider=Microsoft.Mashup.OleDb.1;Data Source=$Workbook$;Location=lt_ph_production_per_scenario;Extended Properties=&quot;&quot;" command="SELECT * FROM [lt_ph_production_per_scenario]"/>
  </connection>
  <connection id="6" xr16:uid="{F81E8102-F781-2B4C-8B53-221DFE8F80E6}" keepAlive="1" name="Abfrage - mt_ph_production_per_scenario" description="Verbindung mit der Abfrage 'mt_ph_production_per_scenario' in der Arbeitsmappe." type="5" refreshedVersion="0" background="1">
    <dbPr connection="Provider=Microsoft.Mashup.OleDb.1;Data Source=$Workbook$;Location=mt_ph_production_per_scenario;Extended Properties=&quot;&quot;" command="SELECT * FROM [mt_ph_production_per_scenario]"/>
  </connection>
</connections>
</file>

<file path=xl/sharedStrings.xml><?xml version="1.0" encoding="utf-8"?>
<sst xmlns="http://schemas.openxmlformats.org/spreadsheetml/2006/main" count="3202" uniqueCount="573">
  <si>
    <t>Calliope technology</t>
  </si>
  <si>
    <t>Real life name</t>
  </si>
  <si>
    <t>Non-prospective LCA database information</t>
  </si>
  <si>
    <t>Comment</t>
  </si>
  <si>
    <t>EP2050+</t>
  </si>
  <si>
    <t>MIX</t>
  </si>
  <si>
    <t>RE MIX</t>
  </si>
  <si>
    <t>Database</t>
  </si>
  <si>
    <t>Activity name</t>
  </si>
  <si>
    <t>Activity Code</t>
  </si>
  <si>
    <t>Location</t>
  </si>
  <si>
    <t>Quantity for Calliope</t>
  </si>
  <si>
    <t>Carrier for energy production</t>
  </si>
  <si>
    <t>Special instructions for ecoinvent data</t>
  </si>
  <si>
    <t>Inputs which were removed</t>
  </si>
  <si>
    <t>battery</t>
  </si>
  <si>
    <t>Grid storage batteries</t>
  </si>
  <si>
    <t>ecoinvent 3.9.1</t>
  </si>
  <si>
    <t>battery production, Li-ion, NMC811, rechargeable, prismatic</t>
  </si>
  <si>
    <t>0f8c132a27a299fb959c5e35254f4861</t>
  </si>
  <si>
    <t>CN</t>
  </si>
  <si>
    <t>1.0 kilogram</t>
  </si>
  <si>
    <t>storage_cap</t>
  </si>
  <si>
    <t>electricity</t>
  </si>
  <si>
    <t>-</t>
  </si>
  <si>
    <t>biofuel_to_diesel</t>
  </si>
  <si>
    <t>Biodiesel production</t>
  </si>
  <si>
    <t>esterification of vegetable oils and animal fats, average mix</t>
  </si>
  <si>
    <t>82feb4582c0938c6ac7d1c78319dae7d</t>
  </si>
  <si>
    <t>BR</t>
  </si>
  <si>
    <t>carrier_prod</t>
  </si>
  <si>
    <t>diesel</t>
  </si>
  <si>
    <t>soybean meal and crude oil production (location : BR) | market for cottonseed oil, crude (location : GLO)</t>
  </si>
  <si>
    <t>biofuel_to_methane</t>
  </si>
  <si>
    <t>Biomethane production</t>
  </si>
  <si>
    <t>biomethane production, high pressure from synthetic gas, wood, fluidised technology</t>
  </si>
  <si>
    <t>02fbdebc28ae8a5bf87f167e0797c8da</t>
  </si>
  <si>
    <t>CH</t>
  </si>
  <si>
    <t>1.0 cubic meter</t>
  </si>
  <si>
    <t>methane</t>
  </si>
  <si>
    <t>buildings_biofuel_boiler</t>
  </si>
  <si>
    <t>Biomass residential boiler</t>
  </si>
  <si>
    <t>furnace production, wood chips, with silo, 50kW</t>
  </si>
  <si>
    <t>333bd422fa2177e933445cd00b981505</t>
  </si>
  <si>
    <t>1.0 unit of 50kW</t>
  </si>
  <si>
    <t>energy_cap</t>
  </si>
  <si>
    <t>buildings_biofuel_boiler_heat</t>
  </si>
  <si>
    <t>buildings_methane_boiler</t>
  </si>
  <si>
    <t>Gas residential boiler</t>
  </si>
  <si>
    <t>gas boiler production</t>
  </si>
  <si>
    <t>932f861aecca8621f12e22e5f8ccb775</t>
  </si>
  <si>
    <t>RER</t>
  </si>
  <si>
    <t>1.0 unit of 10kW</t>
  </si>
  <si>
    <t>buildings_methane_boiler_heat</t>
  </si>
  <si>
    <t>ccgt</t>
  </si>
  <si>
    <t>heat and power co-generation, natural gas, combined cycle power plant, 400MW electrical</t>
  </si>
  <si>
    <t>43ec4f40c772bfa03350c522061b9ce4</t>
  </si>
  <si>
    <t>DE</t>
  </si>
  <si>
    <t>1.0 kilowatt hour</t>
  </si>
  <si>
    <t>gas power plant construction, combined cycle, 400MW electrical (location : RER) | market for natural gas, high pressure (location : DE)</t>
  </si>
  <si>
    <t>Careful not to double count between production and construction of gas turbines. Using one or the other depends on the type of impact that you are looking at</t>
  </si>
  <si>
    <t>Methane CCGT Construction</t>
  </si>
  <si>
    <t>gas power plant construction, combined cycle, 400MW electrical</t>
  </si>
  <si>
    <t>249432931c0e8af8329de379cfb9c192</t>
  </si>
  <si>
    <t>1.0 unit of 400MW electrical</t>
  </si>
  <si>
    <t>ccgt_natgas</t>
  </si>
  <si>
    <t>Natural Gas CCGT Construction</t>
  </si>
  <si>
    <t>chp_biofuel</t>
  </si>
  <si>
    <t>Biomass CHP</t>
  </si>
  <si>
    <t>heat and power co-generation unit construction, organic Rankine cycle, 200kW electrical</t>
  </si>
  <si>
    <t>ace643181d83fb151fc1f647dce7a328</t>
  </si>
  <si>
    <t>GLO</t>
  </si>
  <si>
    <t>1.0 unit of 200kW electrical</t>
  </si>
  <si>
    <t>chp_methane</t>
  </si>
  <si>
    <t>Methane CHP</t>
  </si>
  <si>
    <t>biomethane, low pressure burned in micro gas turbine 100kWe</t>
  </si>
  <si>
    <t>0f552d818f2779a396c7a5f701baba3a</t>
  </si>
  <si>
    <t>market for biomethane, low pressure (location : CH)</t>
  </si>
  <si>
    <t>chp_waste</t>
  </si>
  <si>
    <t>Waste CHP</t>
  </si>
  <si>
    <t>dac</t>
  </si>
  <si>
    <t>DAC</t>
  </si>
  <si>
    <t>Custom using ecoinvent 3.9.1 &amp; simapro</t>
  </si>
  <si>
    <t>1 kg of  CO2 captured</t>
  </si>
  <si>
    <t>co2</t>
  </si>
  <si>
    <t>This was not available in ecoinvent but is likely in Premise</t>
  </si>
  <si>
    <t>daccs_local</t>
  </si>
  <si>
    <t>DACCS</t>
  </si>
  <si>
    <t>sequestered_carbon</t>
  </si>
  <si>
    <t>electric_heater</t>
  </si>
  <si>
    <t>Residential electric heating</t>
  </si>
  <si>
    <t>auxiliary heating unit production, electric, 5kW</t>
  </si>
  <si>
    <t>3f0a21679010888d09c1dbcfb2419a60</t>
  </si>
  <si>
    <t>1.0 unit of 5kW</t>
  </si>
  <si>
    <t>electric_heater_heat</t>
  </si>
  <si>
    <t>electrolysis</t>
  </si>
  <si>
    <t>Hydrogen electrolysis</t>
  </si>
  <si>
    <t>1 unit of PEM 1 MW</t>
  </si>
  <si>
    <t>hydrogen</t>
  </si>
  <si>
    <t>heavy_transport_ev</t>
  </si>
  <si>
    <t>Heavy EV transport</t>
  </si>
  <si>
    <t>carculator_lci_truck</t>
  </si>
  <si>
    <t>transport, truck, battery electric, NMC-622 battery, 18t, 2050</t>
  </si>
  <si>
    <t>898c1836-7810-11ee-bb26-d6d8dd79958a</t>
  </si>
  <si>
    <t>1.0 kilometer</t>
  </si>
  <si>
    <t>heavy_transport</t>
  </si>
  <si>
    <t>electricity supply for electric vehicles, 2050 (location : CH)</t>
  </si>
  <si>
    <t>heavy_transport_fcev</t>
  </si>
  <si>
    <t>Heavy FCEV transport</t>
  </si>
  <si>
    <t>transport, truck, fuel cell electric, 18t, 2050</t>
  </si>
  <si>
    <t>8993f0e2-7810-11ee-bb26-d6d8dd79958a</t>
  </si>
  <si>
    <t>fuel supply for hydrogen vehicles, 2050 (location : CH)</t>
  </si>
  <si>
    <t>heavy_transport_ice</t>
  </si>
  <si>
    <t>Heavy ICE transport</t>
  </si>
  <si>
    <t>transport, truck, diesel, 18t, 2050, Euro-6</t>
  </si>
  <si>
    <t>89a78de6-7810-11ee-bb26-d6d8dd79958a</t>
  </si>
  <si>
    <t>fuel supply for diesel vehicles, 2050 (location : CH)</t>
  </si>
  <si>
    <t>hp</t>
  </si>
  <si>
    <t>Heat Pump</t>
  </si>
  <si>
    <t>heat pump production, 30kW</t>
  </si>
  <si>
    <t>7c650750df1c07dab55f1f9fe76da8ef</t>
  </si>
  <si>
    <t>1.0 unit of 30kW</t>
  </si>
  <si>
    <t>hp_heat</t>
  </si>
  <si>
    <t>import_natgas</t>
  </si>
  <si>
    <t>Natural Gas import</t>
  </si>
  <si>
    <t>market for natural gas, high pressure</t>
  </si>
  <si>
    <t>6a60dc6386928f379bff65ad8c801001</t>
  </si>
  <si>
    <t>natural_gas</t>
  </si>
  <si>
    <t>Multiply by 34.4 / 3.6e6 to obtain GWh / m3, assuming LHV = 34.4 MJ / Nm3 = 34.4 / 3.6e6 GWh/Nm3</t>
  </si>
  <si>
    <t>pipeline construction, natural gas, high pressure distribution network (location : CH)</t>
  </si>
  <si>
    <t>import_synmethane</t>
  </si>
  <si>
    <t>Synthetic Methane import</t>
  </si>
  <si>
    <t>Reconstructed using ecoinvent 3.9.1 processes</t>
  </si>
  <si>
    <t>industry_biofuel_boiler</t>
  </si>
  <si>
    <t>Biomass industry boiler</t>
  </si>
  <si>
    <t>industry_biofuel_boiler_heat</t>
  </si>
  <si>
    <t>light_transport_ev</t>
  </si>
  <si>
    <t>Light EV transport</t>
  </si>
  <si>
    <t>carculator_lci_car</t>
  </si>
  <si>
    <t>transport, car, battery electric, NMC-622 battery, Medium, 2050</t>
  </si>
  <si>
    <t>7f8cb436-78a0-11ee-8c7d-d6d8dd79958a</t>
  </si>
  <si>
    <t>light_transport</t>
  </si>
  <si>
    <t>light_transport_fcev</t>
  </si>
  <si>
    <t>Light FCEV transport</t>
  </si>
  <si>
    <t>transport, car, fuel cell electric, Medium, 2050</t>
  </si>
  <si>
    <t>7f93af0c-78a0-11ee-8c7d-d6d8dd79958a</t>
  </si>
  <si>
    <t>light_transport_ice</t>
  </si>
  <si>
    <t>Light ICE transport</t>
  </si>
  <si>
    <t>transport, car, diesel, Medium, 2050, Euro-7</t>
  </si>
  <si>
    <t>7fac436e-78a0-11ee-8c7d-d6d8dd79958a</t>
  </si>
  <si>
    <t>open_field_pv</t>
  </si>
  <si>
    <t>Openfield PV</t>
  </si>
  <si>
    <t>photovoltaic plant construction, 570kWp, multi-Si, on open ground</t>
  </si>
  <si>
    <t>dd4d42d589bca7d70054377b760d5dca</t>
  </si>
  <si>
    <t>1.0 unit of 570kWp</t>
  </si>
  <si>
    <t>pumped_hydro</t>
  </si>
  <si>
    <t>Pumped Hydro</t>
  </si>
  <si>
    <t>electricity production, hydro, pumped storage</t>
  </si>
  <si>
    <t>35c183e9e78aa90414936a15710a6cd8</t>
  </si>
  <si>
    <t>hydropower plant construction, reservoir, alpine region (location : RER) | hydropower plant construction, reservoir, non-alpine regions (location : RER) | market for electricity, high voltage (location : CH)</t>
  </si>
  <si>
    <t>roof_mounted_pv</t>
  </si>
  <si>
    <t>Roof PV</t>
  </si>
  <si>
    <t>photovoltaic slanted-roof installation, 3kWp, multi-Si, panel, mounted, on roof</t>
  </si>
  <si>
    <t>470225b0cd6a9ce42ed0ca5ecd7f5c4a</t>
  </si>
  <si>
    <t>1.0 unit of 3kWp</t>
  </si>
  <si>
    <t>scgt_natgas</t>
  </si>
  <si>
    <t>Natural Gas SCGT</t>
  </si>
  <si>
    <t>gas turbine construction, 10MW electrical</t>
  </si>
  <si>
    <t>baf9b994363d1c7d77400d184589bd3b</t>
  </si>
  <si>
    <t>1.0 unit of 10MW electrical</t>
  </si>
  <si>
    <t>scgt_renewable</t>
  </si>
  <si>
    <t>Methane SCGT</t>
  </si>
  <si>
    <t>wind_onshore_monopoly</t>
  </si>
  <si>
    <t>Wind Onshore Turbine</t>
  </si>
  <si>
    <t>wind turbine construction, 2MW, onshore</t>
  </si>
  <si>
    <t>76b7480122cbecd22de2a62e5e03e298</t>
  </si>
  <si>
    <t>1.0 unit of 2MW</t>
  </si>
  <si>
    <t>Here you can probably find a single technology in Premise instead of having to couple 2 of them</t>
  </si>
  <si>
    <t>Wind Onshore Connection</t>
  </si>
  <si>
    <t>wind turbine network connection construction, 2MW, onshore</t>
  </si>
  <si>
    <t>858981bbf56e4114b1798300b34b5b93</t>
  </si>
  <si>
    <t>RoW</t>
  </si>
  <si>
    <t>alpine_pv_subsidised</t>
  </si>
  <si>
    <t>Alpine PV</t>
  </si>
  <si>
    <t>alpine_pv_not_subsidised</t>
  </si>
  <si>
    <t>hydro_run_of_river</t>
  </si>
  <si>
    <t>Hydro RoR</t>
  </si>
  <si>
    <t>electricity production, hydro, run-of-river</t>
  </si>
  <si>
    <t>26d969deb5a11f75bcc501eac33cac48</t>
  </si>
  <si>
    <t>hydro_reservoir</t>
  </si>
  <si>
    <t>Hydro Reservoir</t>
  </si>
  <si>
    <t>electricity production, hydro, reservoir, alpine region</t>
  </si>
  <si>
    <t>ed36ffaf5af46875c59bb085a2c093a2</t>
  </si>
  <si>
    <t xml:space="preserve">We assumed no impact from hydro given our focus (materials already consumed, land too). </t>
  </si>
  <si>
    <t xml:space="preserve"> ? Probably remove construction phase as hydro already exists</t>
  </si>
  <si>
    <t>You can find this in Premise directly probably</t>
  </si>
  <si>
    <t>We assumed only the electrolyser here, the amount of electricity input is counted elsewhere</t>
  </si>
  <si>
    <t>Unit of the technology in LCA</t>
  </si>
  <si>
    <r>
      <t>Produced energy per scenario [</t>
    </r>
    <r>
      <rPr>
        <b/>
        <sz val="11"/>
        <color theme="4"/>
        <rFont val="Aptos Narrow"/>
        <family val="2"/>
      </rPr>
      <t>GWh</t>
    </r>
    <r>
      <rPr>
        <b/>
        <sz val="11"/>
        <rFont val="Aptos Narrow"/>
        <family val="2"/>
      </rPr>
      <t xml:space="preserve">, </t>
    </r>
    <r>
      <rPr>
        <b/>
        <sz val="11"/>
        <color theme="6"/>
        <rFont val="Aptos Narrow"/>
        <family val="2"/>
      </rPr>
      <t>Million kilometers</t>
    </r>
    <r>
      <rPr>
        <b/>
        <sz val="11"/>
        <rFont val="Aptos Narrow"/>
        <family val="2"/>
      </rPr>
      <t xml:space="preserve">, </t>
    </r>
    <r>
      <rPr>
        <b/>
        <sz val="11"/>
        <color theme="9"/>
        <rFont val="Aptos Narrow"/>
        <family val="2"/>
      </rPr>
      <t>tCO2</t>
    </r>
    <r>
      <rPr>
        <b/>
        <sz val="11"/>
        <rFont val="Aptos Narrow"/>
        <family val="2"/>
      </rPr>
      <t>]</t>
    </r>
  </si>
  <si>
    <t>9c97c23e67604be1ad73767a133e8886</t>
  </si>
  <si>
    <t>37761124c6e64906b4244f25210f3654</t>
  </si>
  <si>
    <t>9093bc928e624ec094416832cb095e75</t>
  </si>
  <si>
    <t>Unit of the dataset</t>
  </si>
  <si>
    <t>Prospective LCA database information</t>
  </si>
  <si>
    <t>EF v3.1 SSP2-Base</t>
  </si>
  <si>
    <t>carbon dioxide, captured from atmosphere, with a solvent-based direct air capture system, 1MtCO2</t>
  </si>
  <si>
    <t>b29c395ccd1246c0abbc98c28e8d119c</t>
  </si>
  <si>
    <t>carbon dioxide, captured from atmosphere and stored, with a solvent-based direct air capture system, 1MtCO2</t>
  </si>
  <si>
    <t>8a743f868b814179951e2ee3dcba42ef</t>
  </si>
  <si>
    <t>kg</t>
  </si>
  <si>
    <t>m3</t>
  </si>
  <si>
    <t>kWh</t>
  </si>
  <si>
    <t>aa1dbf3ec6f14f0b8ea6e84fb63ccb8d</t>
  </si>
  <si>
    <t>ton km</t>
  </si>
  <si>
    <t>b20175e2cfa5497586946309a3a59ec5</t>
  </si>
  <si>
    <t>cc40183550824e76aefa91957b75f57e</t>
  </si>
  <si>
    <t>km</t>
  </si>
  <si>
    <t>unit of 50kW</t>
  </si>
  <si>
    <t>unit of 10kW</t>
  </si>
  <si>
    <t>unit of 400MW</t>
  </si>
  <si>
    <t>unit of 200kW</t>
  </si>
  <si>
    <t>unit of 5kW</t>
  </si>
  <si>
    <t>unit of 3kWp</t>
  </si>
  <si>
    <t>unit of 10MW</t>
  </si>
  <si>
    <t xml:space="preserve"> unit of 10MW</t>
  </si>
  <si>
    <t>unit of 570kWp</t>
  </si>
  <si>
    <t>unit of 30kW</t>
  </si>
  <si>
    <t>climate change
[kg CO2-eq.]</t>
  </si>
  <si>
    <t>particular matter formation
[disease incidence]</t>
  </si>
  <si>
    <t>land use
[no dimension]</t>
  </si>
  <si>
    <t>energy ressources (non renewable)
[MJ, net calorific value]</t>
  </si>
  <si>
    <t>material resources: metals/minerals
[kg Sb-eq.]</t>
  </si>
  <si>
    <t>acidification
[mol H+-eq.]</t>
  </si>
  <si>
    <t>human toxicity: non-carcinogenic
[CTUh]</t>
  </si>
  <si>
    <t>humantoxicity: carcinogenic
[CTUh]</t>
  </si>
  <si>
    <t>freshwater ecotoxicity
[CTUe]</t>
  </si>
  <si>
    <t>ozone depletion
[kg CFC-11-eq.]</t>
  </si>
  <si>
    <t>ionisinng radiation: human health
[kBq U235-eq.]</t>
  </si>
  <si>
    <t>water use
[m3 world eq. Deprived]</t>
  </si>
  <si>
    <t>photochemical oxidant
[kg NMVOC-eq.]</t>
  </si>
  <si>
    <t>marine eutrophication
[kg N-eq.]</t>
  </si>
  <si>
    <t>terrestrial eutrophication
[mol N-eq.]</t>
  </si>
  <si>
    <t>freshwater eutrophication
[kg P-eq.]</t>
  </si>
  <si>
    <t>esterification of vegetable oils and animal fats, average mix, Calliope</t>
  </si>
  <si>
    <t>biomethane, low pressure burned in micro gas turbine 100kWe, Calliope</t>
  </si>
  <si>
    <t>market for natural gas, high pressure, Calliope</t>
  </si>
  <si>
    <t>transport, passenger car, battery electric, NMC-622 battery, Medium, Calliope</t>
  </si>
  <si>
    <t>transport, passenger car, fuel cell electric, Medium, Calliope</t>
  </si>
  <si>
    <t>transport, passenger car, diesel, Medium, EURO-6, Calliope</t>
  </si>
  <si>
    <t>electricity production, hydro, pumped storage, Calliope</t>
  </si>
  <si>
    <t>electricity production, hydro, run-of-river, Calliope</t>
  </si>
  <si>
    <t>electricity production, hydro, reservoir, alpine region, Calliope</t>
  </si>
  <si>
    <r>
      <t xml:space="preserve">Results v3.1 SSP2-Base </t>
    </r>
    <r>
      <rPr>
        <b/>
        <sz val="11"/>
        <color rgb="FFFF0000"/>
        <rFont val="Aptos Narrow"/>
        <family val="2"/>
      </rPr>
      <t>EP2050+</t>
    </r>
  </si>
  <si>
    <r>
      <t xml:space="preserve">Results v3.1 SSP2-Base </t>
    </r>
    <r>
      <rPr>
        <b/>
        <sz val="11"/>
        <color rgb="FFFF0000"/>
        <rFont val="Aptos Narrow"/>
        <family val="2"/>
      </rPr>
      <t>MIX</t>
    </r>
  </si>
  <si>
    <r>
      <t xml:space="preserve">Results v3.1 SSP2-Base </t>
    </r>
    <r>
      <rPr>
        <b/>
        <sz val="11"/>
        <color rgb="FFFF0000"/>
        <rFont val="Aptos Narrow"/>
        <family val="2"/>
      </rPr>
      <t>RE MIX</t>
    </r>
  </si>
  <si>
    <t>climate change
[kg CO2-eq. per unit of dataset]</t>
  </si>
  <si>
    <t>particular matter formation
[disease incidence per unit of dataset]</t>
  </si>
  <si>
    <t>photochemical oxidant
[kg NMVOC-eq. per unit of dataset]</t>
  </si>
  <si>
    <t>marine eutrophication
[kg N-eq. per unit of dataset]</t>
  </si>
  <si>
    <t>terrestrial eutrophication
[mol N-eq. per unit of dataset]</t>
  </si>
  <si>
    <t>freshwater eutrophication
[kg P-eq. per unit of dataset]</t>
  </si>
  <si>
    <t>acidification
[mol H+-eq. per unit of dataset]</t>
  </si>
  <si>
    <t>human toxicity: non-carcinogenic
[CTUh per unit of dataset]</t>
  </si>
  <si>
    <t>humantoxicity: carcinogenic
[CTUh per unit of dataset]</t>
  </si>
  <si>
    <t>freshwater ecotoxicity
[CTUe per unit of dataset]</t>
  </si>
  <si>
    <t>energy ressources (non renewable)
[MJ, net calorific value per unit of dataset]</t>
  </si>
  <si>
    <t>material resources: metals/minerals
[kg Sb-eq. per unit of dataset]</t>
  </si>
  <si>
    <t>ozone depletion
[kg CFC-11-eq. per unit of dataset]</t>
  </si>
  <si>
    <t>land use
[no dimension per unit of dataset]</t>
  </si>
  <si>
    <t>water use
[m3 world eq. deprived per unit of dataset]</t>
  </si>
  <si>
    <t>electricity production, wind, 1-3MW turbine, onshore</t>
  </si>
  <si>
    <t>f0b54757c94de6016bf466af613c215b</t>
  </si>
  <si>
    <t>lifetime of 20 years (ecoinvent)</t>
  </si>
  <si>
    <t>lifetime of 30 years (ecoinvent)</t>
  </si>
  <si>
    <t>lifetime of 30 years, annual electricity produced: 847.5 MWh, (ecoinvent)</t>
  </si>
  <si>
    <t>electrolyzer production, 1MWe, PEM, Balance of Plant</t>
  </si>
  <si>
    <t>875938dbe4f0428882e0cd51ad023c12</t>
  </si>
  <si>
    <t>1 MW</t>
  </si>
  <si>
    <t>unit of conversion factor</t>
  </si>
  <si>
    <t>conversion factor to Million kilometers</t>
  </si>
  <si>
    <t>conversion factor to t CO2</t>
  </si>
  <si>
    <t>kg/GWh</t>
  </si>
  <si>
    <t>kWh/GWh</t>
  </si>
  <si>
    <r>
      <t>Installed capacity per scenario [</t>
    </r>
    <r>
      <rPr>
        <b/>
        <sz val="11"/>
        <color rgb="FFFF0000"/>
        <rFont val="Aptos Narrow"/>
        <family val="2"/>
      </rPr>
      <t>GWh</t>
    </r>
    <r>
      <rPr>
        <b/>
        <sz val="11"/>
        <rFont val="Aptos Narrow"/>
        <family val="2"/>
      </rPr>
      <t>, GW or tCO2/hour]</t>
    </r>
  </si>
  <si>
    <r>
      <t xml:space="preserve">Multiply by 43 / 3.6e6 to obtain GWh / kg, assuming LHV of 43 MJ / kg so 43 / 3.6e6 GWh/kg
</t>
    </r>
    <r>
      <rPr>
        <sz val="11"/>
        <color theme="9"/>
        <rFont val="Aptos Narrow"/>
        <family val="2"/>
      </rPr>
      <t>Lifetime of 20 years</t>
    </r>
  </si>
  <si>
    <r>
      <t xml:space="preserve">Multiply by 34.4 / 3.6e6 to obtain GWh / m3, assuming LHV = 34.4 MJ / Nm3 = 34.4 / 3.6e6 GWh/Nm3
</t>
    </r>
    <r>
      <rPr>
        <sz val="11"/>
        <color theme="9"/>
        <rFont val="Aptos Narrow"/>
        <family val="2"/>
      </rPr>
      <t>Lifetime of 20 years</t>
    </r>
  </si>
  <si>
    <t>Lifetime of 17 years</t>
  </si>
  <si>
    <t>lifetime of 25 years</t>
  </si>
  <si>
    <t xml:space="preserve">lifetime of 20 years  </t>
  </si>
  <si>
    <t>lifetime of 15 years</t>
  </si>
  <si>
    <t>lifetime of 30 years, annual electricity produced: 847.5 MWh (ecoinvent)</t>
  </si>
  <si>
    <t>Lifetime is assumed to be 150 years for the structural part and 80 years for the turbines (ecoinvent)</t>
  </si>
  <si>
    <t>Lifetime is assumed to be 80 years for the structural part (including cement, reinforcing steel, diesel, electricity, transportation and explosives) and 40 years for the rest of materials (ecoinvent)</t>
  </si>
  <si>
    <t>Lifetime is assumed to be 150 years for the dam and 80 years for the rest of materials (ecoinvent)</t>
  </si>
  <si>
    <t>5000h of operation at full capacity per year (ecoinvent)
lifetime of 25 years</t>
  </si>
  <si>
    <t>Km over lifetime: 315000 [km] (ecoinvent)</t>
  </si>
  <si>
    <t>Km over lifetime: 315000 [km] (ecoinvent)
lifetime of 15 years</t>
  </si>
  <si>
    <t>Km over lifetime: 200000 [km] (ecoinvent)
lifetime of 15 years</t>
  </si>
  <si>
    <t>Km over lifetime: 200000 [km] (ecoinvent)</t>
  </si>
  <si>
    <r>
      <t xml:space="preserve">assuming 23.53 kWh / 158 kg of battery
</t>
    </r>
    <r>
      <rPr>
        <sz val="11"/>
        <color theme="9"/>
        <rFont val="Aptos Narrow"/>
        <family val="2"/>
      </rPr>
      <t>Lifetime of 10 years</t>
    </r>
  </si>
  <si>
    <t>m3/GWh</t>
  </si>
  <si>
    <r>
      <t xml:space="preserve">conversion factor to GWh or </t>
    </r>
    <r>
      <rPr>
        <b/>
        <sz val="11"/>
        <color rgb="FFFF0000"/>
        <rFont val="Aptos Narrow"/>
        <family val="2"/>
      </rPr>
      <t>GW</t>
    </r>
  </si>
  <si>
    <r>
      <t xml:space="preserve">Reconstructed using electricity assumption + electrolysis assumption + DAC assumption
</t>
    </r>
    <r>
      <rPr>
        <sz val="11"/>
        <color theme="9"/>
        <rFont val="Aptos Narrow"/>
        <family val="2"/>
      </rPr>
      <t>0.05TJ/t (Source: https://www.bafu.admin.ch/dam/bafu/en/dokumente/klima/fachinfo-daten/CO2_Emissionsfaktoren_THG_Inventar.pdf.download.pdf/Faktenblatt_CO2-Emissionsfaktoren_04-2024_DE.pdf)
0.05TJ/t = 50 MJ/kg</t>
    </r>
  </si>
  <si>
    <t>lifetime of 7-8 years, 8000h per year (ecoinvent)</t>
  </si>
  <si>
    <r>
      <t xml:space="preserve">Couple both to make 1 wind turbine of 2 MW
</t>
    </r>
    <r>
      <rPr>
        <sz val="11"/>
        <color theme="9"/>
        <rFont val="Aptos Narrow"/>
        <family val="2"/>
      </rPr>
      <t>Turbine: lifetime of 30 years, (ecoinvent)
connection: lifetime of 20 years (ecoinvent)</t>
    </r>
  </si>
  <si>
    <t>H$_2$ Imports</t>
  </si>
  <si>
    <t>S/CCGT (Fossil) + DACCS</t>
  </si>
  <si>
    <t>Roof PV++</t>
  </si>
  <si>
    <t>EP2050+ (5 TWh constraint)</t>
  </si>
  <si>
    <t>S/CCGT (Ren. Methane) + H$_2$</t>
  </si>
  <si>
    <t>Wind</t>
  </si>
  <si>
    <t>S/CCGT (Ren. Methane)</t>
  </si>
  <si>
    <t>CHP</t>
  </si>
  <si>
    <t>CCGT (Ren. Methane)</t>
  </si>
  <si>
    <t>Hydro (reservoir)</t>
  </si>
  <si>
    <t>Hydro (run of)</t>
  </si>
  <si>
    <t>Hydrogen Electricity Storage</t>
  </si>
  <si>
    <t>PV (Roof)</t>
  </si>
  <si>
    <t>CCGT (Nat Gas)</t>
  </si>
  <si>
    <t>Diesel</t>
  </si>
  <si>
    <t>Electricity</t>
  </si>
  <si>
    <t>Hydrogen</t>
  </si>
  <si>
    <t>Methane</t>
  </si>
  <si>
    <t>Biomass</t>
  </si>
  <si>
    <t>Electricity (EB)</t>
  </si>
  <si>
    <t>Waste</t>
  </si>
  <si>
    <t>Electricity (HP)</t>
  </si>
  <si>
    <t>Heavy Transport</t>
  </si>
  <si>
    <t>Light Transport</t>
  </si>
  <si>
    <t>HT Heat</t>
  </si>
  <si>
    <t>MT Heat</t>
  </si>
  <si>
    <t>LT Heat</t>
  </si>
  <si>
    <t>Location of impact</t>
  </si>
  <si>
    <t>Total Electricity</t>
  </si>
  <si>
    <t>Abroad</t>
  </si>
  <si>
    <t>Total Transport</t>
  </si>
  <si>
    <t>Total Heat</t>
  </si>
  <si>
    <t>Total</t>
  </si>
  <si>
    <t>PEM Electrolysis</t>
  </si>
  <si>
    <t>Biofuel</t>
  </si>
  <si>
    <t>Biofuel boiler</t>
  </si>
  <si>
    <t>Biofuel boiler industry</t>
  </si>
  <si>
    <t>Buildings Heat</t>
  </si>
  <si>
    <t>Methane boiler</t>
  </si>
  <si>
    <t>EUR</t>
  </si>
  <si>
    <t>market for biomass, used as fuel</t>
  </si>
  <si>
    <t>0c1c787fe88d4390a27b37129e314b49</t>
  </si>
  <si>
    <t>CHP waste</t>
  </si>
  <si>
    <t>CHP methane</t>
  </si>
  <si>
    <t>CHP biofuel</t>
  </si>
  <si>
    <t>Waste  (CHP)</t>
  </si>
  <si>
    <t>industry_methane_boiler</t>
  </si>
  <si>
    <t>Industrial gas boiler</t>
  </si>
  <si>
    <t>industry_methane_boiler_heat</t>
  </si>
  <si>
    <t>Biofuel to biofuel boiler</t>
  </si>
  <si>
    <t>Biofuel to biofuel to methane</t>
  </si>
  <si>
    <t>LHV of 19MJ/kg</t>
  </si>
  <si>
    <t>Building Heat</t>
  </si>
  <si>
    <t>Heat pump</t>
  </si>
  <si>
    <t>Sector</t>
  </si>
  <si>
    <t>Category</t>
  </si>
  <si>
    <t>Heat</t>
  </si>
  <si>
    <t>technology /   carrier</t>
  </si>
  <si>
    <t>GWh</t>
  </si>
  <si>
    <t>GW</t>
  </si>
  <si>
    <t>Unit</t>
  </si>
  <si>
    <t xml:space="preserve">Energy production per scenario </t>
  </si>
  <si>
    <t>[TWh]</t>
  </si>
  <si>
    <t>SSP2-Base</t>
  </si>
  <si>
    <t>SSP2-PkBudg1150</t>
  </si>
  <si>
    <t>EF v3.1 SSP2-PkBudg1150</t>
  </si>
  <si>
    <t>Scenario</t>
  </si>
  <si>
    <t>Hydro Run Of</t>
  </si>
  <si>
    <t>ionising radiation: human health
[kBq U235-eq.]</t>
  </si>
  <si>
    <t>ionising radiation: human health
[kBq U235-eq. per unit of dataset]</t>
  </si>
  <si>
    <t>Mio km</t>
  </si>
  <si>
    <t>Transport</t>
  </si>
  <si>
    <t>EV</t>
  </si>
  <si>
    <t>Electr. Demand HP</t>
  </si>
  <si>
    <t>t CO2</t>
  </si>
  <si>
    <t>Net Electr. Imports</t>
  </si>
  <si>
    <t>Electricity import</t>
  </si>
  <si>
    <t>electricity, high voltage, European attribute mix</t>
  </si>
  <si>
    <t>cea03305053a6a99da53f386134b4acb</t>
  </si>
  <si>
    <t>Total per GWh</t>
  </si>
  <si>
    <t>Electr. Demand DAC</t>
  </si>
  <si>
    <t>Electr. Demand PEM</t>
  </si>
  <si>
    <t>Biofuel to methane boiler</t>
  </si>
  <si>
    <t>Biofuel to biofuel boiler (ind.)</t>
  </si>
  <si>
    <t>Electr. Demand Light EV</t>
  </si>
  <si>
    <t>Electr. Demand Heavy EV</t>
  </si>
  <si>
    <t>Total per Mio km</t>
  </si>
  <si>
    <t>[Bil. km]</t>
  </si>
  <si>
    <t>Import Natural Gas</t>
  </si>
  <si>
    <t>CCGT</t>
  </si>
  <si>
    <t>Import Syn Methane</t>
  </si>
  <si>
    <t>Heat pump heat for DAC</t>
  </si>
  <si>
    <t>Heat pump heat for DACCS</t>
  </si>
  <si>
    <t>Alpine PV (not sub.)</t>
  </si>
  <si>
    <t>CHP Biofuel</t>
  </si>
  <si>
    <t>Methane CCGT Operation</t>
  </si>
  <si>
    <t>Natural Gas CCGT Operation</t>
  </si>
  <si>
    <t>remove boiler / furnace production</t>
  </si>
  <si>
    <t>Burning Nat Gas in Industry</t>
  </si>
  <si>
    <t>Burning Nat Gas for Buildings</t>
  </si>
  <si>
    <t>remove gas boiler</t>
  </si>
  <si>
    <t>Methane without Electr.</t>
  </si>
  <si>
    <t>heat production, natural gas, at boiler condensing modulating &gt;100kW, Calliope</t>
  </si>
  <si>
    <t>heat production, natural gas, at boiler atmospheric low-NOx non-modulating &lt;100kW, Calliope</t>
  </si>
  <si>
    <t>e071921f48db45b68e12e39e03e49c1d</t>
  </si>
  <si>
    <t>2b3556f16b05459aa80d7288b2109c0d</t>
  </si>
  <si>
    <t>MJ</t>
  </si>
  <si>
    <t>MJ/GWh</t>
  </si>
  <si>
    <t>Today</t>
  </si>
  <si>
    <t>Biofuel combustion</t>
  </si>
  <si>
    <t>FCEV</t>
  </si>
  <si>
    <t>ICE</t>
  </si>
  <si>
    <t>Hydrogen FCEV</t>
  </si>
  <si>
    <t>Biofuel to diesel</t>
  </si>
  <si>
    <t>Share</t>
  </si>
  <si>
    <t>Residential heat</t>
  </si>
  <si>
    <t>Electricity [1 GWh]</t>
  </si>
  <si>
    <t>Heat [1 GWh]</t>
  </si>
  <si>
    <t>Transport [1 Mio km]</t>
  </si>
  <si>
    <t>Other</t>
  </si>
  <si>
    <t>Energy Share</t>
  </si>
  <si>
    <t>Share of distance</t>
  </si>
  <si>
    <t>Industrial heat</t>
  </si>
  <si>
    <t>import_syndiesel</t>
  </si>
  <si>
    <t>Import Syndiesel</t>
  </si>
  <si>
    <t>Hydrogen storage</t>
  </si>
  <si>
    <t>hydrogen_storage</t>
  </si>
  <si>
    <t>import_hydrogen</t>
  </si>
  <si>
    <t>Import Hydrogen</t>
  </si>
  <si>
    <t>hydrogen_to_methane</t>
  </si>
  <si>
    <t>Hydrogen to methane</t>
  </si>
  <si>
    <t>heat production, wood chips from industry, at furnace 50kW, Calliope</t>
  </si>
  <si>
    <t>af1be324a919b7f2a2c2b31b2e5064d8</t>
  </si>
  <si>
    <t>heat and power co-generation, wood chips, 2000 kW, Calliope</t>
  </si>
  <si>
    <t>39b64dccc9feaf12db32b24a4dd4fc2a</t>
  </si>
  <si>
    <t>heat and power co-generation, natural gas, combined cycle power plant, 400MW electrical, Calliope1</t>
  </si>
  <si>
    <t>heat and power co-generation, natural gas, combined cycle power plant, 400MW electrical, Calliope2</t>
  </si>
  <si>
    <t>Battery</t>
  </si>
  <si>
    <t>Hydrogen to light FCEV transp.</t>
  </si>
  <si>
    <t>Hydrogen to heavy FCEV transp.</t>
  </si>
  <si>
    <t>market for hydrogen, gaseous</t>
  </si>
  <si>
    <t>d85ae31eaf86454b8bf8525ec1adf45d</t>
  </si>
  <si>
    <t>Final average LHV of 120.0 MJ/kg (ecoinvent)</t>
  </si>
  <si>
    <t>kg / GWh</t>
  </si>
  <si>
    <t>Import Hydrogen FCEV</t>
  </si>
  <si>
    <t>Electricity consumption of electrolyzer per GWh of Hydrogen produced</t>
  </si>
  <si>
    <t>Electricity Import Germany (Nat. Gas)</t>
  </si>
  <si>
    <t>Other Electricity Imports</t>
  </si>
  <si>
    <t>Transmission Network Construction</t>
  </si>
  <si>
    <t xml:space="preserve">Other  </t>
  </si>
  <si>
    <t>Heavy: Construction</t>
  </si>
  <si>
    <t>Heavy: Road infrastructure</t>
  </si>
  <si>
    <t>Hydro (Reservoir)</t>
  </si>
  <si>
    <t>Nuclear</t>
  </si>
  <si>
    <t>Production</t>
  </si>
  <si>
    <t>Fuel</t>
  </si>
  <si>
    <t>Heavy: brake wear emissions</t>
  </si>
  <si>
    <t>Heavy: road wear emissions</t>
  </si>
  <si>
    <t>Heavy: fuel</t>
  </si>
  <si>
    <t>Heavy: tyre wear emissions</t>
  </si>
  <si>
    <t>Heavy: maintenance</t>
  </si>
  <si>
    <t>Heavy: Other</t>
  </si>
  <si>
    <t>Source</t>
  </si>
  <si>
    <t>Ind.: Nat. Gas</t>
  </si>
  <si>
    <t>Res.: Total</t>
  </si>
  <si>
    <t>Res.: Oil</t>
  </si>
  <si>
    <t>Res.: Heat pump</t>
  </si>
  <si>
    <t>Res.: Biomass</t>
  </si>
  <si>
    <t>Res.: Electricity</t>
  </si>
  <si>
    <t>Res.: Nat. Gas</t>
  </si>
  <si>
    <t>Res.: Others</t>
  </si>
  <si>
    <t>https://www.bfs.admin.ch/bfs/en/home/statistics/construction-housing/buildings/energy-sector.html</t>
  </si>
  <si>
    <t>Total (per Mio. km)</t>
  </si>
  <si>
    <t>Light Transport (per Mio. km)</t>
  </si>
  <si>
    <t>Heavy Transport (per Mio. km)</t>
  </si>
  <si>
    <t>climate change
[t CO2-eq.]</t>
  </si>
  <si>
    <t>Total (per GWh)</t>
  </si>
  <si>
    <t>Sankey Plot Activity Browser</t>
  </si>
  <si>
    <t>Net Electr. Imports (per GWh)</t>
  </si>
  <si>
    <t>Roof PV (per GWh)</t>
  </si>
  <si>
    <t>Other (per GWh)</t>
  </si>
  <si>
    <t>Total (per Mio km)</t>
  </si>
  <si>
    <t>Electricity demand (per GWh)</t>
  </si>
  <si>
    <t>Residential heat (per GWh)</t>
  </si>
  <si>
    <t>Industrial heat (per GWh)</t>
  </si>
  <si>
    <t>CCGT (per GWh)</t>
  </si>
  <si>
    <t>DACCS (per GWh)</t>
  </si>
  <si>
    <t>Alpine PV (not sub.) (per GWh)</t>
  </si>
  <si>
    <t>Electricity (per Mio km)</t>
  </si>
  <si>
    <t>Heavy Transport (per Mio km)</t>
  </si>
  <si>
    <t>Light Transport (per Mio km)</t>
  </si>
  <si>
    <t>Electricity demand (per Mio km)</t>
  </si>
  <si>
    <t>Difference to Base (per GWh)</t>
  </si>
  <si>
    <t>Residential heat: heat pump (per GWh)</t>
  </si>
  <si>
    <t>Residential heat: biofuel boiler (per GWh)</t>
  </si>
  <si>
    <t>Residential heat: CHP methane (per GWh)</t>
  </si>
  <si>
    <t>Residential heat: methane boiler (per GWh)</t>
  </si>
  <si>
    <t>Industrial heat: CHP waste (per GWh)</t>
  </si>
  <si>
    <t>Industrial heat: methane boiler (per GWh)</t>
  </si>
  <si>
    <t>Industrial heat: biofuel boiler (per GWh)</t>
  </si>
  <si>
    <t>Industrial heat: heat pump (per GWh)</t>
  </si>
  <si>
    <t>Industrial heat: CHP biofuel (per GWh)</t>
  </si>
  <si>
    <t>Difference to Base (per Mio km)</t>
  </si>
  <si>
    <t>Heavy Transport: EV (per Mio km)</t>
  </si>
  <si>
    <t>Heavy Transport: FCEV (per Mio km)</t>
  </si>
  <si>
    <t>Heavy Transport: ICE (per Mio km)</t>
  </si>
  <si>
    <t>Light Transport: EV (per Mio km)</t>
  </si>
  <si>
    <t>Light Transport: FCEV (per Mio km)</t>
  </si>
  <si>
    <t>Light Transport: ICE (per Mio km)</t>
  </si>
  <si>
    <t>Heavy: Production</t>
  </si>
  <si>
    <t>CHP Nat. Gas</t>
  </si>
  <si>
    <t>transport, freight, lorry, battery electric, NMC-622 battery, 26t gross weight, long haul, Calliope</t>
  </si>
  <si>
    <t>transport, freight, lorry, fuel cell electric, 26t gross weight, long haul, Calliope</t>
  </si>
  <si>
    <t>transport, freight, lorry, diesel, 26t gross weight, EURO-VI, long haul, Calliope</t>
  </si>
  <si>
    <t>Hydro (Run Of)</t>
  </si>
  <si>
    <t>H2 Imports</t>
  </si>
  <si>
    <t>Electrode Boiler</t>
  </si>
  <si>
    <t>Electrode Boiler (Ind.)</t>
  </si>
  <si>
    <t xml:space="preserve">Hydrogen  </t>
  </si>
  <si>
    <t>electrode_boiler</t>
  </si>
  <si>
    <t>electrode_boiler_heat</t>
  </si>
  <si>
    <t>Electr. Demand Boiler</t>
  </si>
  <si>
    <t>Hydrogen without Electr.</t>
  </si>
  <si>
    <t>Electr. Demand Methane</t>
  </si>
  <si>
    <t>Hydro (Reservoir) (per GWh)</t>
  </si>
  <si>
    <t>Hydro (Run Of) (per GWh)</t>
  </si>
  <si>
    <t>Res. Heat: Methane boiler</t>
  </si>
  <si>
    <t>Res. Heat: CHP methane</t>
  </si>
  <si>
    <t>Res. Heat: Biofuel boiler</t>
  </si>
  <si>
    <t>Res. Heat: Heat pump</t>
  </si>
  <si>
    <t>Ind. Heat: Methane boiler</t>
  </si>
  <si>
    <t>Ind. Heat: CHP waste</t>
  </si>
  <si>
    <t>Ind. Heat: Electrode Boiler (Ind.)</t>
  </si>
  <si>
    <t>Ind. Heat: CHP Biofuel</t>
  </si>
  <si>
    <t>Ind. Heat: Heat pump</t>
  </si>
  <si>
    <t>methane, from electrochemical methanation, with carbon from atmosphere</t>
  </si>
  <si>
    <t>7adb48afd0684d789196335626cf62c0</t>
  </si>
  <si>
    <r>
      <t xml:space="preserve">gas power plant construction, combined cycle, 400MW electrical (location : RER) | market for natural gas, high pressure (location : DE)
</t>
    </r>
    <r>
      <rPr>
        <sz val="11"/>
        <color theme="9"/>
        <rFont val="Aptos Narrow"/>
        <family val="2"/>
      </rPr>
      <t>Burning of methane instead nat. Gas --&gt; lower fossil CO2 emissions</t>
    </r>
  </si>
  <si>
    <t>disease incidence</t>
  </si>
  <si>
    <t>EP 2050+</t>
  </si>
  <si>
    <t>Methane Domestic</t>
  </si>
  <si>
    <t>Methane Abroad</t>
  </si>
  <si>
    <t>Electricity Domestic</t>
  </si>
  <si>
    <t>Electricity Abroad</t>
  </si>
  <si>
    <t>Methane w/o Electr. Domestic</t>
  </si>
  <si>
    <t>Methane w/o Electr. Abroad</t>
  </si>
  <si>
    <t>Hydrogen Domestic</t>
  </si>
  <si>
    <t>Hydrogen Abroad</t>
  </si>
  <si>
    <t xml:space="preserve">I took the gas boiler, as the electricity demand of the electrode boiler is covered </t>
  </si>
  <si>
    <t>Industrial</t>
  </si>
  <si>
    <t>Nat. Gas</t>
  </si>
  <si>
    <t>Residential</t>
  </si>
  <si>
    <t>Heavy</t>
  </si>
  <si>
    <t>Light</t>
  </si>
  <si>
    <t>Total Amount</t>
  </si>
  <si>
    <t>[GWh]</t>
  </si>
  <si>
    <t>Industrial Heat</t>
  </si>
  <si>
    <t>Residential Heat</t>
  </si>
  <si>
    <t>[Mio km]</t>
  </si>
  <si>
    <t>Amount</t>
  </si>
  <si>
    <t>PJ</t>
  </si>
  <si>
    <t>Analyse des schweizerischen Energieverbrauchs 2000-2023 nach Verwendungszwecken, Tabelle 51</t>
  </si>
  <si>
    <t>Analyse des schweizerischen Energieverbrauchs 2000-2023 nach Verwendungszwecken, Tabelle 9</t>
  </si>
  <si>
    <t>disease incidence / GWh</t>
  </si>
  <si>
    <t>disease incidence / Mio. km</t>
  </si>
  <si>
    <t>https://www.bfs.admin.ch/bfs/de/home/statistiken/mobilitaet-verkehr/personenverkehr/leistungen.html</t>
  </si>
  <si>
    <t xml:space="preserve"> </t>
  </si>
  <si>
    <t>energy resources (non renewable)
[MJ, net calorific value]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</si>
</sst>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000"/>
    <numFmt numFmtId="165" formatCode="0.0000"/>
    <numFmt numFmtId="166" formatCode="0.0000000000"/>
    <numFmt numFmtId="167" formatCode="_ * #,##0.000000000000_ ;_ * \-#,##0.000000000000_ ;_ * &quot;-&quot;??_ ;_ @_ "/>
    <numFmt numFmtId="168" formatCode="_ * #,##0.00000_ ;_ * \-#,##0.00000_ ;_ * &quot;-&quot;??_ ;_ @_ "/>
    <numFmt numFmtId="169" formatCode="0.000"/>
  </numFmts>
  <fonts count="3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</font>
    <font>
      <sz val="11"/>
      <color rgb="FFA31515"/>
      <name val="Menlo"/>
      <family val="2"/>
    </font>
    <font>
      <b/>
      <sz val="11"/>
      <color theme="4"/>
      <name val="Aptos Narrow"/>
      <family val="2"/>
    </font>
    <font>
      <b/>
      <sz val="11"/>
      <color theme="6"/>
      <name val="Aptos Narrow"/>
      <family val="2"/>
    </font>
    <font>
      <b/>
      <sz val="11"/>
      <color theme="9"/>
      <name val="Aptos Narrow"/>
      <family val="2"/>
    </font>
    <font>
      <sz val="11"/>
      <color rgb="FF000000"/>
      <name val="Calibri"/>
      <family val="2"/>
      <scheme val="minor"/>
    </font>
    <font>
      <sz val="11"/>
      <color theme="9"/>
      <name val="Aptos Narrow"/>
      <family val="2"/>
    </font>
    <font>
      <b/>
      <sz val="11"/>
      <color rgb="FFFF0000"/>
      <name val="Aptos Narrow"/>
      <family val="2"/>
    </font>
    <font>
      <sz val="11"/>
      <color rgb="FFFF0000"/>
      <name val="Aptos Narrow"/>
      <family val="2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b/>
      <sz val="14"/>
      <color theme="1"/>
      <name val="Aptos Narrow"/>
      <family val="2"/>
    </font>
    <font>
      <b/>
      <sz val="12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theme="7" tint="0.59999389629810485"/>
        <bgColor rgb="FFDAF2D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8AFAE"/>
        <bgColor indexed="64"/>
      </patternFill>
    </fill>
    <fill>
      <patternFill patternType="solid">
        <fgColor rgb="FFDEEBDE"/>
        <bgColor indexed="64"/>
      </patternFill>
    </fill>
    <fill>
      <patternFill patternType="solid">
        <fgColor rgb="FFF5E4C3"/>
        <bgColor indexed="64"/>
      </patternFill>
    </fill>
    <fill>
      <patternFill patternType="solid">
        <fgColor rgb="FFFBF8DE"/>
        <bgColor indexed="64"/>
      </patternFill>
    </fill>
    <fill>
      <patternFill patternType="solid">
        <fgColor rgb="FFF1DBC7"/>
        <bgColor indexed="64"/>
      </patternFill>
    </fill>
    <fill>
      <patternFill patternType="solid">
        <fgColor rgb="FFFFC0BB"/>
        <bgColor indexed="64"/>
      </patternFill>
    </fill>
    <fill>
      <patternFill patternType="solid">
        <fgColor rgb="FFFFF4C3"/>
        <bgColor indexed="64"/>
      </patternFill>
    </fill>
    <fill>
      <patternFill patternType="solid">
        <fgColor rgb="FFC6D3F8"/>
        <bgColor indexed="64"/>
      </patternFill>
    </fill>
    <fill>
      <patternFill patternType="solid">
        <fgColor rgb="FFD1E0FB"/>
        <bgColor indexed="64"/>
      </patternFill>
    </fill>
    <fill>
      <patternFill patternType="solid">
        <fgColor rgb="FFDFFBDF"/>
        <bgColor indexed="64"/>
      </patternFill>
    </fill>
    <fill>
      <patternFill patternType="solid">
        <fgColor rgb="FFFFDEC0"/>
        <bgColor indexed="64"/>
      </patternFill>
    </fill>
    <fill>
      <patternFill patternType="solid">
        <fgColor rgb="FFCEF2F0"/>
        <bgColor indexed="64"/>
      </patternFill>
    </fill>
    <fill>
      <patternFill patternType="solid">
        <fgColor rgb="FFBBBBB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 style="thin">
        <color rgb="FF8ED973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259">
    <xf numFmtId="0" fontId="0" fillId="0" borderId="0" xfId="0"/>
    <xf numFmtId="0" fontId="3" fillId="0" borderId="0" xfId="0" applyFont="1"/>
    <xf numFmtId="0" fontId="3" fillId="0" borderId="2" xfId="0" applyFont="1" applyBorder="1"/>
    <xf numFmtId="0" fontId="4" fillId="0" borderId="2" xfId="0" applyFont="1" applyBorder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3" fillId="0" borderId="10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4" xfId="0" applyFont="1" applyBorder="1"/>
    <xf numFmtId="0" fontId="3" fillId="0" borderId="0" xfId="0" applyFont="1" applyAlignment="1">
      <alignment horizontal="center"/>
    </xf>
    <xf numFmtId="0" fontId="3" fillId="2" borderId="0" xfId="0" applyFont="1" applyFill="1"/>
    <xf numFmtId="0" fontId="6" fillId="0" borderId="0" xfId="0" applyFont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wrapText="1"/>
    </xf>
    <xf numFmtId="0" fontId="3" fillId="0" borderId="12" xfId="0" applyFont="1" applyBorder="1"/>
    <xf numFmtId="0" fontId="3" fillId="0" borderId="11" xfId="0" applyFont="1" applyBorder="1" applyAlignment="1">
      <alignment wrapText="1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7" xfId="0" applyFont="1" applyBorder="1" applyAlignment="1">
      <alignment wrapText="1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left"/>
    </xf>
    <xf numFmtId="0" fontId="3" fillId="7" borderId="2" xfId="0" applyFont="1" applyFill="1" applyBorder="1" applyAlignment="1">
      <alignment horizontal="left" vertical="center" wrapText="1"/>
    </xf>
    <xf numFmtId="0" fontId="3" fillId="8" borderId="0" xfId="0" applyFont="1" applyFill="1"/>
    <xf numFmtId="0" fontId="13" fillId="0" borderId="6" xfId="0" applyFont="1" applyBorder="1"/>
    <xf numFmtId="0" fontId="13" fillId="0" borderId="0" xfId="0" applyFont="1"/>
    <xf numFmtId="0" fontId="13" fillId="0" borderId="7" xfId="0" applyFont="1" applyBorder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4" fillId="0" borderId="0" xfId="0" applyFont="1"/>
    <xf numFmtId="0" fontId="13" fillId="0" borderId="2" xfId="0" applyFont="1" applyBorder="1" applyAlignment="1">
      <alignment horizontal="left" vertical="center" wrapText="1"/>
    </xf>
    <xf numFmtId="164" fontId="3" fillId="9" borderId="0" xfId="0" applyNumberFormat="1" applyFont="1" applyFill="1"/>
    <xf numFmtId="0" fontId="4" fillId="10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3" fillId="8" borderId="6" xfId="0" applyFont="1" applyFill="1" applyBorder="1"/>
    <xf numFmtId="0" fontId="3" fillId="8" borderId="7" xfId="0" applyFont="1" applyFill="1" applyBorder="1"/>
    <xf numFmtId="0" fontId="3" fillId="11" borderId="6" xfId="0" applyFont="1" applyFill="1" applyBorder="1"/>
    <xf numFmtId="0" fontId="3" fillId="11" borderId="0" xfId="0" applyFont="1" applyFill="1"/>
    <xf numFmtId="0" fontId="3" fillId="11" borderId="7" xfId="0" applyFont="1" applyFill="1" applyBorder="1"/>
    <xf numFmtId="0" fontId="4" fillId="8" borderId="6" xfId="0" applyFont="1" applyFill="1" applyBorder="1"/>
    <xf numFmtId="0" fontId="4" fillId="8" borderId="0" xfId="0" applyFont="1" applyFill="1"/>
    <xf numFmtId="0" fontId="4" fillId="8" borderId="7" xfId="0" applyFont="1" applyFill="1" applyBorder="1"/>
    <xf numFmtId="0" fontId="2" fillId="10" borderId="8" xfId="0" applyFont="1" applyFill="1" applyBorder="1" applyAlignment="1">
      <alignment horizontal="center" vertical="center"/>
    </xf>
    <xf numFmtId="0" fontId="17" fillId="12" borderId="13" xfId="0" applyFont="1" applyFill="1" applyBorder="1"/>
    <xf numFmtId="0" fontId="17" fillId="12" borderId="14" xfId="0" applyFont="1" applyFill="1" applyBorder="1"/>
    <xf numFmtId="0" fontId="17" fillId="12" borderId="15" xfId="0" applyFont="1" applyFill="1" applyBorder="1"/>
    <xf numFmtId="0" fontId="18" fillId="13" borderId="13" xfId="0" applyFont="1" applyFill="1" applyBorder="1"/>
    <xf numFmtId="0" fontId="18" fillId="13" borderId="14" xfId="0" applyFont="1" applyFill="1" applyBorder="1"/>
    <xf numFmtId="0" fontId="18" fillId="13" borderId="15" xfId="0" applyFont="1" applyFill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2" xfId="0" applyFont="1" applyBorder="1"/>
    <xf numFmtId="0" fontId="3" fillId="0" borderId="9" xfId="0" applyFont="1" applyBorder="1" applyAlignment="1">
      <alignment wrapText="1"/>
    </xf>
    <xf numFmtId="0" fontId="0" fillId="0" borderId="10" xfId="0" applyBorder="1"/>
    <xf numFmtId="0" fontId="4" fillId="0" borderId="11" xfId="0" applyFont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19" fillId="0" borderId="1" xfId="0" applyFont="1" applyBorder="1"/>
    <xf numFmtId="0" fontId="19" fillId="0" borderId="3" xfId="0" applyFont="1" applyBorder="1"/>
    <xf numFmtId="0" fontId="19" fillId="0" borderId="4" xfId="0" applyFont="1" applyBorder="1"/>
    <xf numFmtId="0" fontId="19" fillId="0" borderId="5" xfId="0" applyFont="1" applyBorder="1"/>
    <xf numFmtId="43" fontId="19" fillId="0" borderId="3" xfId="1" applyFont="1" applyBorder="1"/>
    <xf numFmtId="43" fontId="19" fillId="0" borderId="4" xfId="1" applyFont="1" applyBorder="1"/>
    <xf numFmtId="43" fontId="19" fillId="0" borderId="5" xfId="1" applyFont="1" applyBorder="1"/>
    <xf numFmtId="0" fontId="19" fillId="0" borderId="4" xfId="0" applyFont="1" applyBorder="1" applyAlignment="1">
      <alignment horizontal="center"/>
    </xf>
    <xf numFmtId="0" fontId="19" fillId="0" borderId="4" xfId="0" applyFont="1" applyBorder="1" applyAlignment="1">
      <alignment wrapText="1"/>
    </xf>
    <xf numFmtId="0" fontId="19" fillId="0" borderId="5" xfId="0" applyFont="1" applyBorder="1" applyAlignment="1">
      <alignment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14" borderId="16" xfId="0" applyFont="1" applyFill="1" applyBorder="1"/>
    <xf numFmtId="0" fontId="0" fillId="15" borderId="0" xfId="0" applyFill="1"/>
    <xf numFmtId="0" fontId="16" fillId="15" borderId="0" xfId="0" applyFont="1" applyFill="1"/>
    <xf numFmtId="43" fontId="19" fillId="0" borderId="6" xfId="1" applyFont="1" applyBorder="1"/>
    <xf numFmtId="43" fontId="19" fillId="0" borderId="0" xfId="1" applyFont="1"/>
    <xf numFmtId="43" fontId="19" fillId="0" borderId="7" xfId="1" applyFont="1" applyBorder="1"/>
    <xf numFmtId="0" fontId="21" fillId="0" borderId="0" xfId="0" applyFont="1"/>
    <xf numFmtId="0" fontId="2" fillId="1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0" fillId="0" borderId="7" xfId="0" applyBorder="1"/>
    <xf numFmtId="2" fontId="18" fillId="0" borderId="14" xfId="0" applyNumberFormat="1" applyFont="1" applyBorder="1"/>
    <xf numFmtId="2" fontId="18" fillId="13" borderId="14" xfId="0" applyNumberFormat="1" applyFont="1" applyFill="1" applyBorder="1"/>
    <xf numFmtId="2" fontId="0" fillId="15" borderId="0" xfId="0" applyNumberFormat="1" applyFill="1"/>
    <xf numFmtId="0" fontId="20" fillId="14" borderId="0" xfId="0" applyFont="1" applyFill="1"/>
    <xf numFmtId="43" fontId="0" fillId="0" borderId="0" xfId="1" applyFont="1"/>
    <xf numFmtId="43" fontId="0" fillId="0" borderId="6" xfId="1" applyFont="1" applyBorder="1"/>
    <xf numFmtId="43" fontId="0" fillId="0" borderId="7" xfId="1" applyFont="1" applyBorder="1"/>
    <xf numFmtId="43" fontId="0" fillId="0" borderId="0" xfId="1" applyFont="1" applyBorder="1"/>
    <xf numFmtId="0" fontId="0" fillId="10" borderId="0" xfId="0" applyFill="1"/>
    <xf numFmtId="0" fontId="21" fillId="0" borderId="20" xfId="0" applyFont="1" applyBorder="1"/>
    <xf numFmtId="0" fontId="21" fillId="10" borderId="20" xfId="0" applyFont="1" applyFill="1" applyBorder="1"/>
    <xf numFmtId="43" fontId="21" fillId="0" borderId="22" xfId="1" applyFont="1" applyBorder="1"/>
    <xf numFmtId="43" fontId="21" fillId="0" borderId="20" xfId="1" applyFont="1" applyBorder="1"/>
    <xf numFmtId="43" fontId="21" fillId="0" borderId="21" xfId="1" applyFont="1" applyBorder="1"/>
    <xf numFmtId="0" fontId="21" fillId="10" borderId="0" xfId="0" applyFont="1" applyFill="1"/>
    <xf numFmtId="0" fontId="11" fillId="2" borderId="0" xfId="0" applyFont="1" applyFill="1" applyAlignment="1">
      <alignment wrapText="1"/>
    </xf>
    <xf numFmtId="0" fontId="11" fillId="3" borderId="2" xfId="0" applyFont="1" applyFill="1" applyBorder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43" fontId="0" fillId="0" borderId="6" xfId="1" applyFont="1" applyFill="1" applyBorder="1"/>
    <xf numFmtId="43" fontId="0" fillId="0" borderId="0" xfId="1" applyFont="1" applyFill="1"/>
    <xf numFmtId="43" fontId="0" fillId="0" borderId="0" xfId="1" applyFont="1" applyFill="1" applyBorder="1"/>
    <xf numFmtId="43" fontId="0" fillId="0" borderId="7" xfId="1" applyFont="1" applyFill="1" applyBorder="1"/>
    <xf numFmtId="43" fontId="21" fillId="0" borderId="0" xfId="1" applyFont="1" applyBorder="1"/>
    <xf numFmtId="43" fontId="21" fillId="0" borderId="7" xfId="1" applyFont="1" applyBorder="1"/>
    <xf numFmtId="43" fontId="21" fillId="0" borderId="6" xfId="1" applyFont="1" applyBorder="1"/>
    <xf numFmtId="43" fontId="21" fillId="0" borderId="0" xfId="1" applyFont="1"/>
    <xf numFmtId="0" fontId="11" fillId="0" borderId="6" xfId="0" applyFont="1" applyBorder="1"/>
    <xf numFmtId="0" fontId="11" fillId="0" borderId="0" xfId="0" applyFont="1"/>
    <xf numFmtId="0" fontId="11" fillId="0" borderId="7" xfId="0" applyFont="1" applyBorder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21" fillId="0" borderId="10" xfId="0" applyFont="1" applyBorder="1"/>
    <xf numFmtId="0" fontId="21" fillId="10" borderId="10" xfId="0" applyFont="1" applyFill="1" applyBorder="1"/>
    <xf numFmtId="43" fontId="21" fillId="0" borderId="9" xfId="1" applyFont="1" applyBorder="1"/>
    <xf numFmtId="43" fontId="21" fillId="0" borderId="10" xfId="1" applyFont="1" applyBorder="1"/>
    <xf numFmtId="43" fontId="21" fillId="0" borderId="11" xfId="1" applyFont="1" applyBorder="1"/>
    <xf numFmtId="0" fontId="3" fillId="9" borderId="0" xfId="0" applyFont="1" applyFill="1"/>
    <xf numFmtId="0" fontId="0" fillId="27" borderId="0" xfId="0" applyFill="1"/>
    <xf numFmtId="43" fontId="21" fillId="10" borderId="10" xfId="1" applyFont="1" applyFill="1" applyBorder="1"/>
    <xf numFmtId="0" fontId="0" fillId="28" borderId="0" xfId="0" applyFill="1"/>
    <xf numFmtId="43" fontId="0" fillId="0" borderId="23" xfId="1" applyFont="1" applyBorder="1"/>
    <xf numFmtId="43" fontId="21" fillId="0" borderId="20" xfId="1" applyFont="1" applyFill="1" applyBorder="1"/>
    <xf numFmtId="43" fontId="21" fillId="0" borderId="21" xfId="1" applyFont="1" applyFill="1" applyBorder="1"/>
    <xf numFmtId="43" fontId="15" fillId="0" borderId="7" xfId="1" applyFont="1" applyBorder="1"/>
    <xf numFmtId="2" fontId="21" fillId="0" borderId="0" xfId="0" applyNumberFormat="1" applyFont="1"/>
    <xf numFmtId="43" fontId="15" fillId="0" borderId="0" xfId="1" applyFont="1" applyBorder="1"/>
    <xf numFmtId="43" fontId="15" fillId="0" borderId="0" xfId="1" applyFont="1" applyFill="1" applyBorder="1"/>
    <xf numFmtId="0" fontId="11" fillId="0" borderId="7" xfId="0" applyFont="1" applyBorder="1" applyAlignment="1">
      <alignment wrapText="1"/>
    </xf>
    <xf numFmtId="0" fontId="0" fillId="0" borderId="20" xfId="0" applyBorder="1"/>
    <xf numFmtId="0" fontId="0" fillId="18" borderId="20" xfId="0" applyFill="1" applyBorder="1"/>
    <xf numFmtId="0" fontId="0" fillId="10" borderId="20" xfId="0" applyFill="1" applyBorder="1"/>
    <xf numFmtId="43" fontId="0" fillId="0" borderId="20" xfId="1" applyFont="1" applyBorder="1"/>
    <xf numFmtId="43" fontId="0" fillId="0" borderId="21" xfId="1" applyFont="1" applyBorder="1"/>
    <xf numFmtId="0" fontId="4" fillId="0" borderId="2" xfId="0" applyFont="1" applyBorder="1" applyAlignment="1">
      <alignment horizontal="left" vertical="center" wrapText="1"/>
    </xf>
    <xf numFmtId="43" fontId="0" fillId="0" borderId="0" xfId="0" applyNumberFormat="1"/>
    <xf numFmtId="0" fontId="21" fillId="5" borderId="2" xfId="0" applyFont="1" applyFill="1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2" borderId="1" xfId="0" applyFill="1" applyBorder="1"/>
    <xf numFmtId="0" fontId="0" fillId="2" borderId="8" xfId="0" applyFill="1" applyBorder="1"/>
    <xf numFmtId="0" fontId="0" fillId="6" borderId="0" xfId="0" applyFill="1"/>
    <xf numFmtId="43" fontId="0" fillId="10" borderId="0" xfId="0" applyNumberFormat="1" applyFill="1"/>
    <xf numFmtId="43" fontId="21" fillId="10" borderId="0" xfId="0" applyNumberFormat="1" applyFont="1" applyFill="1"/>
    <xf numFmtId="43" fontId="0" fillId="10" borderId="0" xfId="1" applyFont="1" applyFill="1" applyBorder="1"/>
    <xf numFmtId="0" fontId="21" fillId="0" borderId="21" xfId="0" applyFont="1" applyBorder="1"/>
    <xf numFmtId="0" fontId="21" fillId="0" borderId="11" xfId="0" applyFont="1" applyBorder="1"/>
    <xf numFmtId="0" fontId="0" fillId="0" borderId="21" xfId="0" applyBorder="1"/>
    <xf numFmtId="9" fontId="0" fillId="0" borderId="0" xfId="2" applyFont="1" applyFill="1"/>
    <xf numFmtId="9" fontId="0" fillId="0" borderId="0" xfId="0" applyNumberFormat="1"/>
    <xf numFmtId="9" fontId="21" fillId="0" borderId="0" xfId="2" applyFont="1" applyFill="1"/>
    <xf numFmtId="9" fontId="0" fillId="0" borderId="0" xfId="2" applyFont="1" applyFill="1" applyBorder="1"/>
    <xf numFmtId="9" fontId="0" fillId="0" borderId="7" xfId="2" applyFont="1" applyFill="1" applyBorder="1"/>
    <xf numFmtId="9" fontId="21" fillId="0" borderId="7" xfId="2" applyFont="1" applyFill="1" applyBorder="1"/>
    <xf numFmtId="9" fontId="0" fillId="0" borderId="23" xfId="2" applyFont="1" applyFill="1" applyBorder="1"/>
    <xf numFmtId="9" fontId="0" fillId="0" borderId="7" xfId="2" applyFont="1" applyBorder="1"/>
    <xf numFmtId="9" fontId="21" fillId="0" borderId="7" xfId="2" applyFont="1" applyBorder="1"/>
    <xf numFmtId="0" fontId="23" fillId="0" borderId="0" xfId="0" applyFont="1"/>
    <xf numFmtId="9" fontId="0" fillId="0" borderId="0" xfId="2" applyFont="1"/>
    <xf numFmtId="2" fontId="0" fillId="0" borderId="0" xfId="2" applyNumberFormat="1" applyFont="1"/>
    <xf numFmtId="2" fontId="0" fillId="0" borderId="0" xfId="0" applyNumberFormat="1"/>
    <xf numFmtId="0" fontId="0" fillId="0" borderId="12" xfId="0" applyBorder="1"/>
    <xf numFmtId="43" fontId="0" fillId="0" borderId="0" xfId="2" applyNumberFormat="1" applyFont="1"/>
    <xf numFmtId="0" fontId="19" fillId="0" borderId="0" xfId="0" applyFont="1"/>
    <xf numFmtId="43" fontId="19" fillId="0" borderId="0" xfId="1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wrapText="1"/>
    </xf>
    <xf numFmtId="43" fontId="15" fillId="0" borderId="6" xfId="1" applyFont="1" applyBorder="1"/>
    <xf numFmtId="167" fontId="0" fillId="0" borderId="0" xfId="0" applyNumberFormat="1"/>
    <xf numFmtId="0" fontId="0" fillId="30" borderId="0" xfId="0" applyFill="1"/>
    <xf numFmtId="11" fontId="0" fillId="0" borderId="0" xfId="0" applyNumberFormat="1"/>
    <xf numFmtId="11" fontId="3" fillId="0" borderId="0" xfId="0" applyNumberFormat="1" applyFont="1"/>
    <xf numFmtId="0" fontId="26" fillId="0" borderId="0" xfId="6"/>
    <xf numFmtId="0" fontId="0" fillId="10" borderId="0" xfId="0" applyFill="1" applyAlignment="1">
      <alignment horizontal="center" wrapText="1"/>
    </xf>
    <xf numFmtId="0" fontId="0" fillId="10" borderId="0" xfId="0" applyFill="1" applyAlignment="1">
      <alignment wrapText="1"/>
    </xf>
    <xf numFmtId="0" fontId="0" fillId="10" borderId="0" xfId="0" applyFill="1" applyAlignment="1">
      <alignment horizontal="right" wrapText="1"/>
    </xf>
    <xf numFmtId="0" fontId="2" fillId="10" borderId="4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vertical="center"/>
    </xf>
    <xf numFmtId="0" fontId="2" fillId="10" borderId="4" xfId="0" applyFon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0" fontId="11" fillId="6" borderId="7" xfId="0" applyFont="1" applyFill="1" applyBorder="1"/>
    <xf numFmtId="0" fontId="0" fillId="0" borderId="25" xfId="0" applyBorder="1"/>
    <xf numFmtId="43" fontId="15" fillId="0" borderId="25" xfId="1" applyFont="1" applyBorder="1"/>
    <xf numFmtId="9" fontId="15" fillId="0" borderId="7" xfId="2" applyFont="1" applyFill="1" applyBorder="1"/>
    <xf numFmtId="43" fontId="15" fillId="0" borderId="24" xfId="1" applyFont="1" applyBorder="1"/>
    <xf numFmtId="43" fontId="15" fillId="0" borderId="23" xfId="1" applyFont="1" applyBorder="1"/>
    <xf numFmtId="0" fontId="10" fillId="31" borderId="0" xfId="0" applyFont="1" applyFill="1"/>
    <xf numFmtId="0" fontId="0" fillId="10" borderId="25" xfId="0" applyFill="1" applyBorder="1"/>
    <xf numFmtId="0" fontId="0" fillId="19" borderId="25" xfId="0" applyFill="1" applyBorder="1"/>
    <xf numFmtId="0" fontId="0" fillId="21" borderId="25" xfId="0" applyFill="1" applyBorder="1"/>
    <xf numFmtId="43" fontId="21" fillId="0" borderId="0" xfId="0" applyNumberFormat="1" applyFont="1"/>
    <xf numFmtId="168" fontId="21" fillId="0" borderId="0" xfId="1" applyNumberFormat="1" applyFont="1" applyBorder="1"/>
    <xf numFmtId="168" fontId="0" fillId="0" borderId="0" xfId="0" applyNumberFormat="1"/>
    <xf numFmtId="43" fontId="3" fillId="7" borderId="2" xfId="1" applyFont="1" applyFill="1" applyBorder="1" applyAlignment="1">
      <alignment horizontal="left" vertical="center" wrapText="1"/>
    </xf>
    <xf numFmtId="0" fontId="10" fillId="32" borderId="2" xfId="0" applyFont="1" applyFill="1" applyBorder="1"/>
    <xf numFmtId="0" fontId="3" fillId="0" borderId="8" xfId="0" applyFont="1" applyBorder="1" applyAlignment="1">
      <alignment wrapText="1"/>
    </xf>
    <xf numFmtId="43" fontId="0" fillId="0" borderId="1" xfId="1" applyFont="1" applyBorder="1"/>
    <xf numFmtId="43" fontId="0" fillId="0" borderId="2" xfId="1" applyFont="1" applyBorder="1"/>
    <xf numFmtId="43" fontId="0" fillId="0" borderId="2" xfId="1" applyFont="1" applyFill="1" applyBorder="1"/>
    <xf numFmtId="43" fontId="21" fillId="0" borderId="2" xfId="1" applyFont="1" applyBorder="1"/>
    <xf numFmtId="43" fontId="21" fillId="0" borderId="26" xfId="1" applyFont="1" applyBorder="1"/>
    <xf numFmtId="43" fontId="15" fillId="0" borderId="2" xfId="1" applyFont="1" applyBorder="1"/>
    <xf numFmtId="43" fontId="21" fillId="0" borderId="8" xfId="1" applyFont="1" applyBorder="1"/>
    <xf numFmtId="43" fontId="21" fillId="0" borderId="26" xfId="1" applyFont="1" applyFill="1" applyBorder="1"/>
    <xf numFmtId="43" fontId="0" fillId="0" borderId="26" xfId="1" applyFont="1" applyBorder="1"/>
    <xf numFmtId="43" fontId="15" fillId="0" borderId="27" xfId="1" applyFont="1" applyBorder="1"/>
    <xf numFmtId="168" fontId="21" fillId="0" borderId="2" xfId="1" applyNumberFormat="1" applyFont="1" applyBorder="1"/>
    <xf numFmtId="0" fontId="0" fillId="29" borderId="2" xfId="0" applyFill="1" applyBorder="1"/>
    <xf numFmtId="0" fontId="21" fillId="0" borderId="7" xfId="0" applyFont="1" applyBorder="1"/>
    <xf numFmtId="43" fontId="0" fillId="0" borderId="2" xfId="0" applyNumberFormat="1" applyBorder="1"/>
    <xf numFmtId="11" fontId="21" fillId="0" borderId="20" xfId="1" applyNumberFormat="1" applyFont="1" applyBorder="1"/>
    <xf numFmtId="11" fontId="21" fillId="0" borderId="20" xfId="1" applyNumberFormat="1" applyFont="1" applyFill="1" applyBorder="1"/>
    <xf numFmtId="11" fontId="21" fillId="0" borderId="0" xfId="1" applyNumberFormat="1" applyFont="1" applyBorder="1"/>
    <xf numFmtId="169" fontId="0" fillId="0" borderId="0" xfId="0" applyNumberFormat="1"/>
    <xf numFmtId="9" fontId="0" fillId="10" borderId="0" xfId="2" applyFont="1" applyFill="1"/>
    <xf numFmtId="0" fontId="16" fillId="2" borderId="0" xfId="0" applyFont="1" applyFill="1" applyAlignment="1">
      <alignment horizontal="center"/>
    </xf>
    <xf numFmtId="0" fontId="22" fillId="5" borderId="17" xfId="0" applyFont="1" applyFill="1" applyBorder="1" applyAlignment="1">
      <alignment horizontal="center"/>
    </xf>
    <xf numFmtId="0" fontId="22" fillId="5" borderId="18" xfId="0" applyFont="1" applyFill="1" applyBorder="1" applyAlignment="1">
      <alignment horizontal="center"/>
    </xf>
    <xf numFmtId="0" fontId="22" fillId="5" borderId="19" xfId="0" applyFont="1" applyFill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16" fillId="1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7">
    <cellStyle name="Comma" xfId="1" builtinId="3"/>
    <cellStyle name="Hyperlink" xfId="6" builtinId="8"/>
    <cellStyle name="Komma 2" xfId="4" xr:uid="{87185F71-5959-4248-8AD4-AFE528CC9A18}"/>
    <cellStyle name="Normal" xfId="0" builtinId="0"/>
    <cellStyle name="Percent" xfId="2" builtinId="5"/>
    <cellStyle name="Prozent 2" xfId="5" xr:uid="{23F8BBDF-8B65-B34B-9CE3-ADEFF4C99808}"/>
    <cellStyle name="Standard 2" xfId="3" xr:uid="{ABDB5C6A-DD27-9F4E-A8A3-E10EA7121E4C}"/>
  </cellStyles>
  <dxfs count="0"/>
  <tableStyles count="0" defaultTableStyle="TableStyleMedium9" defaultPivotStyle="PivotStyleLight16"/>
  <colors>
    <mruColors>
      <color rgb="FFFFDEC0"/>
      <color rgb="FFCEF2F0"/>
      <color rgb="FF4E81BD"/>
      <color rgb="FFC0504D"/>
      <color rgb="FFF5E4C3"/>
      <color rgb="FFFFC0BB"/>
      <color rgb="FFBBBBBB"/>
      <color rgb="FFF1DBC7"/>
      <color rgb="FFDFFBDF"/>
      <color rgb="FFD1E0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www.bfs.admin.ch/bfs/en/home/statistics/construction-housing/buildings/energy-sector.html" TargetMode="External"/><Relationship Id="rId1" Type="http://schemas.openxmlformats.org/officeDocument/2006/relationships/hyperlink" Target="https://www.bfs.admin.ch/bfs/en/home/statistics/construction-housing/buildings/energy-sector.html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DF75"/>
  <sheetViews>
    <sheetView zoomScale="110" zoomScaleNormal="110" workbookViewId="0">
      <pane xSplit="2" ySplit="2" topLeftCell="C16" activePane="bottomRight" state="frozen"/>
      <selection pane="topRight" activeCell="C1" sqref="C1"/>
      <selection pane="bottomLeft" activeCell="A3" sqref="A3"/>
      <selection pane="bottomRight" activeCell="A37" sqref="A37"/>
    </sheetView>
  </sheetViews>
  <sheetFormatPr defaultColWidth="8.81640625" defaultRowHeight="14.5"/>
  <cols>
    <col min="1" max="1" width="20.7265625" style="2" bestFit="1" customWidth="1"/>
    <col min="2" max="2" width="24.7265625" style="2" bestFit="1" customWidth="1"/>
    <col min="3" max="3" width="12.1796875" style="4" bestFit="1" customWidth="1"/>
    <col min="4" max="4" width="12.7265625" style="1" bestFit="1" customWidth="1"/>
    <col min="5" max="5" width="12.1796875" style="5" bestFit="1" customWidth="1"/>
    <col min="6" max="6" width="12.1796875" style="1" customWidth="1"/>
    <col min="7" max="7" width="12.7265625" style="4" bestFit="1" customWidth="1"/>
    <col min="8" max="8" width="12.1796875" style="1" bestFit="1" customWidth="1"/>
    <col min="9" max="10" width="12.1796875" style="5" bestFit="1" customWidth="1"/>
    <col min="11" max="11" width="16.7265625" style="4" hidden="1" customWidth="1"/>
    <col min="12" max="12" width="68.453125" style="1" hidden="1" customWidth="1"/>
    <col min="13" max="13" width="33.1796875" style="1" hidden="1" customWidth="1"/>
    <col min="14" max="14" width="7.453125" style="11" hidden="1" customWidth="1"/>
    <col min="15" max="15" width="23.26953125" style="1" hidden="1" customWidth="1"/>
    <col min="16" max="16" width="16.26953125" style="1" hidden="1" customWidth="1"/>
    <col min="17" max="17" width="15.1796875" style="1" customWidth="1"/>
    <col min="18" max="18" width="48.1796875" style="35" customWidth="1"/>
    <col min="19" max="19" width="36.26953125" style="24" customWidth="1"/>
    <col min="20" max="20" width="38.1796875" style="1" customWidth="1"/>
    <col min="21" max="21" width="62.26953125" style="4" customWidth="1"/>
    <col min="22" max="22" width="33.1796875" style="1" customWidth="1"/>
    <col min="23" max="23" width="7.453125" style="5" customWidth="1"/>
    <col min="24" max="24" width="7.453125" style="1" customWidth="1"/>
    <col min="25" max="25" width="12.81640625" style="11" bestFit="1" customWidth="1"/>
    <col min="26" max="26" width="12.81640625" style="28" bestFit="1" customWidth="1"/>
    <col min="27" max="28" width="12.81640625" style="28" customWidth="1"/>
    <col min="29" max="29" width="12.81640625" style="11" bestFit="1" customWidth="1"/>
    <col min="30" max="30" width="13.7265625" style="1" customWidth="1"/>
    <col min="31" max="36" width="12.81640625" style="1" customWidth="1"/>
    <col min="37" max="37" width="12.7265625" style="1" customWidth="1"/>
    <col min="38" max="44" width="12.81640625" style="1" customWidth="1"/>
    <col min="45" max="45" width="12.81640625" style="19" customWidth="1"/>
    <col min="46" max="46" width="12.81640625" style="4" hidden="1" customWidth="1"/>
    <col min="47" max="52" width="12.81640625" style="1" hidden="1" customWidth="1"/>
    <col min="53" max="53" width="12.7265625" style="1" hidden="1" customWidth="1"/>
    <col min="54" max="60" width="12.81640625" style="1" hidden="1" customWidth="1"/>
    <col min="61" max="61" width="12.81640625" style="19" hidden="1" customWidth="1"/>
    <col min="62" max="62" width="12.81640625" style="4" hidden="1" customWidth="1"/>
    <col min="63" max="68" width="12.81640625" style="1" hidden="1" customWidth="1"/>
    <col min="69" max="69" width="12.7265625" style="1" hidden="1" customWidth="1"/>
    <col min="70" max="76" width="12.81640625" style="1" hidden="1" customWidth="1"/>
    <col min="77" max="77" width="12.81640625" style="19" hidden="1" customWidth="1"/>
    <col min="78" max="78" width="12.81640625" style="4" hidden="1" customWidth="1"/>
    <col min="79" max="84" width="12.81640625" style="1" hidden="1" customWidth="1"/>
    <col min="85" max="85" width="12.7265625" style="1" hidden="1" customWidth="1"/>
    <col min="86" max="92" width="12.81640625" style="1" hidden="1" customWidth="1"/>
    <col min="93" max="93" width="12.81640625" style="19" hidden="1" customWidth="1"/>
    <col min="94" max="108" width="8.81640625" style="1"/>
    <col min="109" max="109" width="8.81640625" style="5"/>
    <col min="110" max="16384" width="8.81640625" style="1"/>
  </cols>
  <sheetData>
    <row r="1" spans="1:109" s="10" customFormat="1" ht="15" customHeight="1">
      <c r="A1" s="91"/>
      <c r="B1" s="91"/>
      <c r="C1" s="199" t="s">
        <v>283</v>
      </c>
      <c r="D1" s="200"/>
      <c r="E1" s="201"/>
      <c r="F1" s="198"/>
      <c r="G1" s="199" t="s">
        <v>198</v>
      </c>
      <c r="H1" s="200"/>
      <c r="I1" s="201"/>
      <c r="J1" s="198"/>
      <c r="K1" s="252" t="s">
        <v>2</v>
      </c>
      <c r="L1" s="253"/>
      <c r="M1" s="253"/>
      <c r="N1" s="253"/>
      <c r="O1" s="253"/>
      <c r="P1" s="253"/>
      <c r="Q1" s="253"/>
      <c r="R1" s="253"/>
      <c r="S1" s="254"/>
      <c r="T1" s="91"/>
      <c r="U1" s="249" t="s">
        <v>203</v>
      </c>
      <c r="V1" s="250"/>
      <c r="W1" s="251"/>
      <c r="X1" s="21"/>
      <c r="Y1" s="92"/>
      <c r="Z1" s="92"/>
      <c r="AA1" s="21"/>
      <c r="AB1" s="21"/>
      <c r="AC1" s="21"/>
      <c r="AD1" s="247" t="s">
        <v>204</v>
      </c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8"/>
      <c r="AT1" s="256" t="s">
        <v>252</v>
      </c>
      <c r="AU1" s="247"/>
      <c r="AV1" s="247"/>
      <c r="AW1" s="247"/>
      <c r="AX1" s="247"/>
      <c r="AY1" s="247"/>
      <c r="AZ1" s="247"/>
      <c r="BA1" s="247"/>
      <c r="BB1" s="247"/>
      <c r="BC1" s="247"/>
      <c r="BD1" s="247"/>
      <c r="BE1" s="247"/>
      <c r="BF1" s="247"/>
      <c r="BG1" s="247"/>
      <c r="BH1" s="247"/>
      <c r="BI1" s="248"/>
      <c r="BJ1" s="256" t="s">
        <v>253</v>
      </c>
      <c r="BK1" s="247"/>
      <c r="BL1" s="247"/>
      <c r="BM1" s="247"/>
      <c r="BN1" s="247"/>
      <c r="BO1" s="247"/>
      <c r="BP1" s="247"/>
      <c r="BQ1" s="247"/>
      <c r="BR1" s="247"/>
      <c r="BS1" s="247"/>
      <c r="BT1" s="247"/>
      <c r="BU1" s="247"/>
      <c r="BV1" s="247"/>
      <c r="BW1" s="247"/>
      <c r="BX1" s="247"/>
      <c r="BY1" s="248"/>
      <c r="BZ1" s="256" t="s">
        <v>254</v>
      </c>
      <c r="CA1" s="247"/>
      <c r="CB1" s="247"/>
      <c r="CC1" s="247"/>
      <c r="CD1" s="247"/>
      <c r="CE1" s="247"/>
      <c r="CF1" s="247"/>
      <c r="CG1" s="247"/>
      <c r="CH1" s="247"/>
      <c r="CI1" s="247"/>
      <c r="CJ1" s="247"/>
      <c r="CK1" s="247"/>
      <c r="CL1" s="247"/>
      <c r="CM1" s="247"/>
      <c r="CN1" s="247"/>
      <c r="CO1" s="248"/>
      <c r="CP1" s="256" t="s">
        <v>370</v>
      </c>
      <c r="CQ1" s="247"/>
      <c r="CR1" s="247"/>
      <c r="CS1" s="247"/>
      <c r="CT1" s="247"/>
      <c r="CU1" s="247"/>
      <c r="CV1" s="247"/>
      <c r="CW1" s="247"/>
      <c r="CX1" s="247"/>
      <c r="CY1" s="247"/>
      <c r="CZ1" s="247"/>
      <c r="DA1" s="247"/>
      <c r="DB1" s="247"/>
      <c r="DC1" s="247"/>
      <c r="DD1" s="247"/>
      <c r="DE1" s="248"/>
    </row>
    <row r="2" spans="1:109" s="6" customFormat="1" ht="94" customHeight="1" thickBot="1">
      <c r="A2" s="57" t="s">
        <v>0</v>
      </c>
      <c r="B2" s="57" t="s">
        <v>1</v>
      </c>
      <c r="C2" s="43" t="s">
        <v>4</v>
      </c>
      <c r="D2" s="44" t="s">
        <v>5</v>
      </c>
      <c r="E2" s="44" t="s">
        <v>6</v>
      </c>
      <c r="F2" s="45" t="s">
        <v>520</v>
      </c>
      <c r="G2" s="46" t="s">
        <v>4</v>
      </c>
      <c r="H2" s="47" t="s">
        <v>5</v>
      </c>
      <c r="I2" s="47" t="s">
        <v>6</v>
      </c>
      <c r="J2" s="48" t="s">
        <v>520</v>
      </c>
      <c r="K2" s="40" t="s">
        <v>7</v>
      </c>
      <c r="L2" s="41" t="s">
        <v>8</v>
      </c>
      <c r="M2" s="41" t="s">
        <v>9</v>
      </c>
      <c r="N2" s="41" t="s">
        <v>10</v>
      </c>
      <c r="O2" s="41" t="s">
        <v>197</v>
      </c>
      <c r="P2" s="41" t="s">
        <v>11</v>
      </c>
      <c r="Q2" s="41" t="s">
        <v>12</v>
      </c>
      <c r="R2" s="42" t="s">
        <v>13</v>
      </c>
      <c r="S2" s="71" t="s">
        <v>14</v>
      </c>
      <c r="T2" s="57" t="s">
        <v>3</v>
      </c>
      <c r="U2" s="7" t="s">
        <v>8</v>
      </c>
      <c r="V2" s="8" t="s">
        <v>9</v>
      </c>
      <c r="W2" s="9" t="s">
        <v>10</v>
      </c>
      <c r="X2" s="70" t="s">
        <v>332</v>
      </c>
      <c r="Y2" s="93" t="s">
        <v>202</v>
      </c>
      <c r="Z2" s="93" t="s">
        <v>301</v>
      </c>
      <c r="AA2" s="70" t="s">
        <v>279</v>
      </c>
      <c r="AB2" s="70" t="s">
        <v>280</v>
      </c>
      <c r="AC2" s="70" t="s">
        <v>278</v>
      </c>
      <c r="AD2" s="18" t="s">
        <v>255</v>
      </c>
      <c r="AE2" s="18" t="s">
        <v>256</v>
      </c>
      <c r="AF2" s="18" t="s">
        <v>257</v>
      </c>
      <c r="AG2" s="18" t="s">
        <v>258</v>
      </c>
      <c r="AH2" s="18" t="s">
        <v>259</v>
      </c>
      <c r="AI2" s="18" t="s">
        <v>260</v>
      </c>
      <c r="AJ2" s="18" t="s">
        <v>261</v>
      </c>
      <c r="AK2" s="18" t="s">
        <v>262</v>
      </c>
      <c r="AL2" s="18" t="s">
        <v>263</v>
      </c>
      <c r="AM2" s="18" t="s">
        <v>264</v>
      </c>
      <c r="AN2" s="18" t="s">
        <v>265</v>
      </c>
      <c r="AO2" s="18" t="s">
        <v>266</v>
      </c>
      <c r="AP2" s="18" t="s">
        <v>267</v>
      </c>
      <c r="AQ2" s="18" t="s">
        <v>374</v>
      </c>
      <c r="AR2" s="18" t="s">
        <v>268</v>
      </c>
      <c r="AS2" s="20" t="s">
        <v>269</v>
      </c>
      <c r="AT2" s="18" t="s">
        <v>227</v>
      </c>
      <c r="AU2" s="18" t="s">
        <v>228</v>
      </c>
      <c r="AV2" s="18" t="s">
        <v>239</v>
      </c>
      <c r="AW2" s="18" t="s">
        <v>240</v>
      </c>
      <c r="AX2" s="18" t="s">
        <v>241</v>
      </c>
      <c r="AY2" s="18" t="s">
        <v>242</v>
      </c>
      <c r="AZ2" s="18" t="s">
        <v>232</v>
      </c>
      <c r="BA2" s="18" t="s">
        <v>233</v>
      </c>
      <c r="BB2" s="18" t="s">
        <v>234</v>
      </c>
      <c r="BC2" s="18" t="s">
        <v>235</v>
      </c>
      <c r="BD2" s="18" t="s">
        <v>230</v>
      </c>
      <c r="BE2" s="18" t="s">
        <v>231</v>
      </c>
      <c r="BF2" s="18" t="s">
        <v>236</v>
      </c>
      <c r="BG2" s="18" t="s">
        <v>237</v>
      </c>
      <c r="BH2" s="18" t="s">
        <v>229</v>
      </c>
      <c r="BI2" s="20" t="s">
        <v>238</v>
      </c>
      <c r="BJ2" s="18" t="s">
        <v>227</v>
      </c>
      <c r="BK2" s="18" t="s">
        <v>228</v>
      </c>
      <c r="BL2" s="18" t="s">
        <v>239</v>
      </c>
      <c r="BM2" s="18" t="s">
        <v>240</v>
      </c>
      <c r="BN2" s="18" t="s">
        <v>241</v>
      </c>
      <c r="BO2" s="18" t="s">
        <v>242</v>
      </c>
      <c r="BP2" s="18" t="s">
        <v>232</v>
      </c>
      <c r="BQ2" s="18" t="s">
        <v>233</v>
      </c>
      <c r="BR2" s="18" t="s">
        <v>234</v>
      </c>
      <c r="BS2" s="18" t="s">
        <v>235</v>
      </c>
      <c r="BT2" s="18" t="s">
        <v>230</v>
      </c>
      <c r="BU2" s="18" t="s">
        <v>231</v>
      </c>
      <c r="BV2" s="18" t="s">
        <v>236</v>
      </c>
      <c r="BW2" s="18" t="s">
        <v>237</v>
      </c>
      <c r="BX2" s="18" t="s">
        <v>229</v>
      </c>
      <c r="BY2" s="20" t="s">
        <v>238</v>
      </c>
      <c r="BZ2" s="18" t="s">
        <v>227</v>
      </c>
      <c r="CA2" s="18" t="s">
        <v>228</v>
      </c>
      <c r="CB2" s="18" t="s">
        <v>239</v>
      </c>
      <c r="CC2" s="18" t="s">
        <v>240</v>
      </c>
      <c r="CD2" s="18" t="s">
        <v>241</v>
      </c>
      <c r="CE2" s="18" t="s">
        <v>242</v>
      </c>
      <c r="CF2" s="18" t="s">
        <v>232</v>
      </c>
      <c r="CG2" s="18" t="s">
        <v>233</v>
      </c>
      <c r="CH2" s="18" t="s">
        <v>234</v>
      </c>
      <c r="CI2" s="18" t="s">
        <v>235</v>
      </c>
      <c r="CJ2" s="18" t="s">
        <v>230</v>
      </c>
      <c r="CK2" s="18" t="s">
        <v>231</v>
      </c>
      <c r="CL2" s="18" t="s">
        <v>236</v>
      </c>
      <c r="CM2" s="18" t="s">
        <v>237</v>
      </c>
      <c r="CN2" s="18" t="s">
        <v>229</v>
      </c>
      <c r="CO2" s="20" t="s">
        <v>238</v>
      </c>
      <c r="CP2" s="18" t="s">
        <v>255</v>
      </c>
      <c r="CQ2" s="18" t="s">
        <v>256</v>
      </c>
      <c r="CR2" s="18" t="s">
        <v>257</v>
      </c>
      <c r="CS2" s="18" t="s">
        <v>258</v>
      </c>
      <c r="CT2" s="18" t="s">
        <v>259</v>
      </c>
      <c r="CU2" s="18" t="s">
        <v>260</v>
      </c>
      <c r="CV2" s="18" t="s">
        <v>261</v>
      </c>
      <c r="CW2" s="18" t="s">
        <v>262</v>
      </c>
      <c r="CX2" s="18" t="s">
        <v>263</v>
      </c>
      <c r="CY2" s="18" t="s">
        <v>264</v>
      </c>
      <c r="CZ2" s="18" t="s">
        <v>265</v>
      </c>
      <c r="DA2" s="18" t="s">
        <v>266</v>
      </c>
      <c r="DB2" s="18" t="s">
        <v>267</v>
      </c>
      <c r="DC2" s="18" t="s">
        <v>374</v>
      </c>
      <c r="DD2" s="18" t="s">
        <v>268</v>
      </c>
      <c r="DE2" s="20" t="s">
        <v>269</v>
      </c>
    </row>
    <row r="3" spans="1:109">
      <c r="E3" s="1"/>
      <c r="F3" s="5"/>
      <c r="I3" s="1"/>
      <c r="X3" s="5"/>
      <c r="Y3" s="22"/>
      <c r="Z3" s="17"/>
      <c r="AA3" s="17"/>
      <c r="AB3" s="17"/>
      <c r="AC3" s="22"/>
      <c r="AS3" s="5"/>
      <c r="BI3" s="5"/>
      <c r="BY3" s="5"/>
      <c r="CO3" s="5"/>
    </row>
    <row r="4" spans="1:109" ht="29">
      <c r="A4" s="3" t="s">
        <v>15</v>
      </c>
      <c r="B4" s="14" t="s">
        <v>16</v>
      </c>
      <c r="C4" s="31">
        <v>1.1810939048639299E-4</v>
      </c>
      <c r="D4" s="32">
        <v>9.5158326026356278E-6</v>
      </c>
      <c r="E4" s="32">
        <v>2.7873239344584359E-5</v>
      </c>
      <c r="F4" s="33">
        <v>2.1582062169887199E-4</v>
      </c>
      <c r="G4" s="4">
        <v>0.1203187931969224</v>
      </c>
      <c r="H4" s="1">
        <v>2.592103612285919E-2</v>
      </c>
      <c r="I4" s="1">
        <v>5.6994619741523478E-2</v>
      </c>
      <c r="J4">
        <v>0.34297311537089797</v>
      </c>
      <c r="K4" s="4" t="s">
        <v>17</v>
      </c>
      <c r="L4" s="1" t="s">
        <v>18</v>
      </c>
      <c r="M4" s="1" t="s">
        <v>19</v>
      </c>
      <c r="N4" s="11" t="s">
        <v>20</v>
      </c>
      <c r="O4" s="12" t="s">
        <v>21</v>
      </c>
      <c r="P4" s="1" t="s">
        <v>22</v>
      </c>
      <c r="Q4" s="1" t="s">
        <v>23</v>
      </c>
      <c r="R4" s="34" t="s">
        <v>299</v>
      </c>
      <c r="S4" s="24" t="s">
        <v>24</v>
      </c>
      <c r="T4" s="1" t="s">
        <v>24</v>
      </c>
      <c r="U4" s="4" t="s">
        <v>18</v>
      </c>
      <c r="V4" s="1" t="s">
        <v>19</v>
      </c>
      <c r="W4" s="5" t="s">
        <v>20</v>
      </c>
      <c r="X4" s="5" t="s">
        <v>334</v>
      </c>
      <c r="Y4" s="22" t="s">
        <v>209</v>
      </c>
      <c r="Z4" s="17">
        <f>158/23.53*1000000</f>
        <v>6714832.1291967705</v>
      </c>
      <c r="AA4" s="29"/>
      <c r="AB4" s="29"/>
      <c r="AC4" s="22" t="s">
        <v>281</v>
      </c>
      <c r="AD4" s="25" t="e">
        <f>SUMIF(#REF!,Overview!U4,#REF!)</f>
        <v>#REF!</v>
      </c>
      <c r="AE4" s="27" t="e">
        <f>SUMIF(#REF!,Overview!U4,#REF!)</f>
        <v>#REF!</v>
      </c>
      <c r="AF4" s="1" t="e">
        <f>SUMIF(#REF!,Overview!U4,#REF!)</f>
        <v>#REF!</v>
      </c>
      <c r="AG4" s="1" t="e">
        <f>SUMIF(#REF!,Overview!U4,#REF!)</f>
        <v>#REF!</v>
      </c>
      <c r="AH4" s="1" t="e">
        <f>SUMIF(#REF!,Overview!U4,#REF!)</f>
        <v>#REF!</v>
      </c>
      <c r="AI4" s="1" t="e">
        <f>SUMIF(#REF!,Overview!U4,#REF!)</f>
        <v>#REF!</v>
      </c>
      <c r="AJ4" s="1" t="e">
        <f>SUMIF(#REF!,Overview!U4,#REF!)</f>
        <v>#REF!</v>
      </c>
      <c r="AK4" s="1" t="e">
        <f>SUMIF(#REF!,Overview!U4,#REF!)</f>
        <v>#REF!</v>
      </c>
      <c r="AL4" s="1" t="e">
        <f>SUMIF(#REF!,Overview!U4,#REF!)</f>
        <v>#REF!</v>
      </c>
      <c r="AM4" s="1" t="e">
        <f>SUMIF(#REF!,Overview!U4,#REF!)</f>
        <v>#REF!</v>
      </c>
      <c r="AN4" s="1" t="e">
        <f>SUMIF(#REF!,Overview!U4,#REF!)</f>
        <v>#REF!</v>
      </c>
      <c r="AO4" s="1" t="e">
        <f>SUMIF(#REF!,Overview!U4,#REF!)</f>
        <v>#REF!</v>
      </c>
      <c r="AP4" s="1" t="e">
        <f>SUMIF(#REF!,Overview!U4,#REF!)</f>
        <v>#REF!</v>
      </c>
      <c r="AQ4" s="1" t="e">
        <f>SUMIF(#REF!,Overview!U4,#REF!)</f>
        <v>#REF!</v>
      </c>
      <c r="AR4" s="1" t="e">
        <f>SUMIF(#REF!,Overview!U4,#REF!)</f>
        <v>#REF!</v>
      </c>
      <c r="AS4" s="5" t="e">
        <f>SUMIF(#REF!,Overview!U4,#REF!)</f>
        <v>#REF!</v>
      </c>
      <c r="AT4" s="49" t="e">
        <f t="shared" ref="AT4:BI4" si="0">AD4*$Z4*$C4/10</f>
        <v>#REF!</v>
      </c>
      <c r="AU4" s="30" t="e">
        <f t="shared" si="0"/>
        <v>#REF!</v>
      </c>
      <c r="AV4" s="30" t="e">
        <f t="shared" si="0"/>
        <v>#REF!</v>
      </c>
      <c r="AW4" s="30" t="e">
        <f t="shared" si="0"/>
        <v>#REF!</v>
      </c>
      <c r="AX4" s="30" t="e">
        <f t="shared" si="0"/>
        <v>#REF!</v>
      </c>
      <c r="AY4" s="30" t="e">
        <f t="shared" si="0"/>
        <v>#REF!</v>
      </c>
      <c r="AZ4" s="30" t="e">
        <f t="shared" si="0"/>
        <v>#REF!</v>
      </c>
      <c r="BA4" s="30" t="e">
        <f t="shared" si="0"/>
        <v>#REF!</v>
      </c>
      <c r="BB4" s="30" t="e">
        <f t="shared" si="0"/>
        <v>#REF!</v>
      </c>
      <c r="BC4" s="30" t="e">
        <f t="shared" si="0"/>
        <v>#REF!</v>
      </c>
      <c r="BD4" s="30" t="e">
        <f t="shared" si="0"/>
        <v>#REF!</v>
      </c>
      <c r="BE4" s="30" t="e">
        <f t="shared" si="0"/>
        <v>#REF!</v>
      </c>
      <c r="BF4" s="30" t="e">
        <f t="shared" si="0"/>
        <v>#REF!</v>
      </c>
      <c r="BG4" s="30" t="e">
        <f t="shared" si="0"/>
        <v>#REF!</v>
      </c>
      <c r="BH4" s="30" t="e">
        <f t="shared" si="0"/>
        <v>#REF!</v>
      </c>
      <c r="BI4" s="50" t="e">
        <f t="shared" si="0"/>
        <v>#REF!</v>
      </c>
      <c r="BJ4" s="49" t="e">
        <f t="shared" ref="BJ4:BY4" si="1">AD4*$Z4*$D4/10</f>
        <v>#REF!</v>
      </c>
      <c r="BK4" s="30" t="e">
        <f t="shared" si="1"/>
        <v>#REF!</v>
      </c>
      <c r="BL4" s="30" t="e">
        <f t="shared" si="1"/>
        <v>#REF!</v>
      </c>
      <c r="BM4" s="30" t="e">
        <f t="shared" si="1"/>
        <v>#REF!</v>
      </c>
      <c r="BN4" s="30" t="e">
        <f t="shared" si="1"/>
        <v>#REF!</v>
      </c>
      <c r="BO4" s="30" t="e">
        <f t="shared" si="1"/>
        <v>#REF!</v>
      </c>
      <c r="BP4" s="30" t="e">
        <f t="shared" si="1"/>
        <v>#REF!</v>
      </c>
      <c r="BQ4" s="30" t="e">
        <f t="shared" si="1"/>
        <v>#REF!</v>
      </c>
      <c r="BR4" s="30" t="e">
        <f t="shared" si="1"/>
        <v>#REF!</v>
      </c>
      <c r="BS4" s="30" t="e">
        <f t="shared" si="1"/>
        <v>#REF!</v>
      </c>
      <c r="BT4" s="30" t="e">
        <f t="shared" si="1"/>
        <v>#REF!</v>
      </c>
      <c r="BU4" s="30" t="e">
        <f t="shared" si="1"/>
        <v>#REF!</v>
      </c>
      <c r="BV4" s="30" t="e">
        <f t="shared" si="1"/>
        <v>#REF!</v>
      </c>
      <c r="BW4" s="30" t="e">
        <f t="shared" si="1"/>
        <v>#REF!</v>
      </c>
      <c r="BX4" s="30" t="e">
        <f t="shared" si="1"/>
        <v>#REF!</v>
      </c>
      <c r="BY4" s="50" t="e">
        <f t="shared" si="1"/>
        <v>#REF!</v>
      </c>
      <c r="BZ4" s="49" t="e">
        <f t="shared" ref="BZ4:CO4" si="2">AD4*$Z4*$E4/10</f>
        <v>#REF!</v>
      </c>
      <c r="CA4" s="30" t="e">
        <f t="shared" si="2"/>
        <v>#REF!</v>
      </c>
      <c r="CB4" s="30" t="e">
        <f t="shared" si="2"/>
        <v>#REF!</v>
      </c>
      <c r="CC4" s="30" t="e">
        <f t="shared" si="2"/>
        <v>#REF!</v>
      </c>
      <c r="CD4" s="30" t="e">
        <f t="shared" si="2"/>
        <v>#REF!</v>
      </c>
      <c r="CE4" s="30" t="e">
        <f t="shared" si="2"/>
        <v>#REF!</v>
      </c>
      <c r="CF4" s="30" t="e">
        <f t="shared" si="2"/>
        <v>#REF!</v>
      </c>
      <c r="CG4" s="30" t="e">
        <f t="shared" si="2"/>
        <v>#REF!</v>
      </c>
      <c r="CH4" s="30" t="e">
        <f t="shared" si="2"/>
        <v>#REF!</v>
      </c>
      <c r="CI4" s="30" t="e">
        <f t="shared" si="2"/>
        <v>#REF!</v>
      </c>
      <c r="CJ4" s="30" t="e">
        <f t="shared" si="2"/>
        <v>#REF!</v>
      </c>
      <c r="CK4" s="30" t="e">
        <f t="shared" si="2"/>
        <v>#REF!</v>
      </c>
      <c r="CL4" s="30" t="e">
        <f t="shared" si="2"/>
        <v>#REF!</v>
      </c>
      <c r="CM4" s="30" t="e">
        <f t="shared" si="2"/>
        <v>#REF!</v>
      </c>
      <c r="CN4" s="30" t="e">
        <f t="shared" si="2"/>
        <v>#REF!</v>
      </c>
      <c r="CO4" s="50" t="e">
        <f t="shared" si="2"/>
        <v>#REF!</v>
      </c>
      <c r="CP4" s="1" t="e">
        <f>SUMIF(#REF!,Overview!$U4,#REF!)</f>
        <v>#REF!</v>
      </c>
      <c r="CQ4" s="1" t="e">
        <f>SUMIF(#REF!,Overview!$U4,#REF!)</f>
        <v>#REF!</v>
      </c>
      <c r="CR4" s="1" t="e">
        <f>SUMIF(#REF!,Overview!$U4,#REF!)</f>
        <v>#REF!</v>
      </c>
      <c r="CS4" s="1" t="e">
        <f>SUMIF(#REF!,Overview!$U4,#REF!)</f>
        <v>#REF!</v>
      </c>
      <c r="CT4" s="1" t="e">
        <f>SUMIF(#REF!,Overview!$U4,#REF!)</f>
        <v>#REF!</v>
      </c>
      <c r="CU4" s="1" t="e">
        <f>SUMIF(#REF!,Overview!$U4,#REF!)</f>
        <v>#REF!</v>
      </c>
      <c r="CV4" s="1" t="e">
        <f>SUMIF(#REF!,Overview!$U4,#REF!)</f>
        <v>#REF!</v>
      </c>
      <c r="CW4" s="1" t="e">
        <f>SUMIF(#REF!,Overview!$U4,#REF!)</f>
        <v>#REF!</v>
      </c>
      <c r="CX4" s="1" t="e">
        <f>SUMIF(#REF!,Overview!$U4,#REF!)</f>
        <v>#REF!</v>
      </c>
      <c r="CY4" s="1" t="e">
        <f>SUMIF(#REF!,Overview!$U4,#REF!)</f>
        <v>#REF!</v>
      </c>
      <c r="CZ4" s="1" t="e">
        <f>SUMIF(#REF!,Overview!$U4,#REF!)</f>
        <v>#REF!</v>
      </c>
      <c r="DA4" s="1" t="e">
        <f>SUMIF(#REF!,Overview!$U4,#REF!)</f>
        <v>#REF!</v>
      </c>
      <c r="DB4" s="1" t="e">
        <f>SUMIF(#REF!,Overview!$U4,#REF!)</f>
        <v>#REF!</v>
      </c>
      <c r="DC4" s="1" t="e">
        <f>SUMIF(#REF!,Overview!$U4,#REF!)</f>
        <v>#REF!</v>
      </c>
      <c r="DD4" s="1" t="e">
        <f>SUMIF(#REF!,Overview!$U4,#REF!)</f>
        <v>#REF!</v>
      </c>
      <c r="DE4" s="5" t="e">
        <f>SUMIF(#REF!,Overview!$U4,#REF!)</f>
        <v>#REF!</v>
      </c>
    </row>
    <row r="5" spans="1:109">
      <c r="A5" s="3"/>
      <c r="B5" s="111" t="s">
        <v>354</v>
      </c>
      <c r="C5" s="31"/>
      <c r="D5" s="32"/>
      <c r="E5" s="32"/>
      <c r="F5" s="33"/>
      <c r="G5" s="126">
        <v>38498</v>
      </c>
      <c r="H5" s="127"/>
      <c r="I5" s="127"/>
      <c r="J5" s="128"/>
      <c r="O5" s="12"/>
      <c r="R5" s="110" t="s">
        <v>356</v>
      </c>
      <c r="U5" s="4" t="s">
        <v>345</v>
      </c>
      <c r="V5" s="1" t="s">
        <v>346</v>
      </c>
      <c r="W5" s="5" t="s">
        <v>344</v>
      </c>
      <c r="X5" s="5" t="s">
        <v>37</v>
      </c>
      <c r="Y5" s="22" t="s">
        <v>209</v>
      </c>
      <c r="Z5" s="17">
        <f>3.6*1000000/19</f>
        <v>189473.68421052632</v>
      </c>
      <c r="AA5" s="29"/>
      <c r="AB5" s="29"/>
      <c r="AC5" s="22" t="s">
        <v>281</v>
      </c>
      <c r="AD5" s="25" t="e">
        <f>SUMIF(#REF!,Overview!U5,#REF!)</f>
        <v>#REF!</v>
      </c>
      <c r="AE5" s="27" t="e">
        <f>SUMIF(#REF!,Overview!U5,#REF!)</f>
        <v>#REF!</v>
      </c>
      <c r="AF5" s="1" t="e">
        <f>SUMIF(#REF!,Overview!U5,#REF!)</f>
        <v>#REF!</v>
      </c>
      <c r="AG5" s="1" t="e">
        <f>SUMIF(#REF!,Overview!U5,#REF!)</f>
        <v>#REF!</v>
      </c>
      <c r="AH5" s="1" t="e">
        <f>SUMIF(#REF!,Overview!U5,#REF!)</f>
        <v>#REF!</v>
      </c>
      <c r="AI5" s="1" t="e">
        <f>SUMIF(#REF!,Overview!U5,#REF!)</f>
        <v>#REF!</v>
      </c>
      <c r="AJ5" s="1" t="e">
        <f>SUMIF(#REF!,Overview!U5,#REF!)</f>
        <v>#REF!</v>
      </c>
      <c r="AK5" s="1" t="e">
        <f>SUMIF(#REF!,Overview!U5,#REF!)</f>
        <v>#REF!</v>
      </c>
      <c r="AL5" s="1" t="e">
        <f>SUMIF(#REF!,Overview!U5,#REF!)</f>
        <v>#REF!</v>
      </c>
      <c r="AM5" s="1" t="e">
        <f>SUMIF(#REF!,Overview!U5,#REF!)</f>
        <v>#REF!</v>
      </c>
      <c r="AN5" s="1" t="e">
        <f>SUMIF(#REF!,Overview!U5,#REF!)</f>
        <v>#REF!</v>
      </c>
      <c r="AO5" s="1" t="e">
        <f>SUMIF(#REF!,Overview!U5,#REF!)</f>
        <v>#REF!</v>
      </c>
      <c r="AP5" s="1" t="e">
        <f>SUMIF(#REF!,Overview!U5,#REF!)</f>
        <v>#REF!</v>
      </c>
      <c r="AQ5" s="1" t="e">
        <f>SUMIF(#REF!,Overview!U5,#REF!)</f>
        <v>#REF!</v>
      </c>
      <c r="AR5" s="1" t="e">
        <f>SUMIF(#REF!,Overview!U5,#REF!)</f>
        <v>#REF!</v>
      </c>
      <c r="AS5" s="5" t="e">
        <f>SUMIF(#REF!,Overview!U5,#REF!)</f>
        <v>#REF!</v>
      </c>
      <c r="AT5" s="51" t="e">
        <f t="shared" ref="AT5:BI9" si="3">AD5*$Z5*$G5</f>
        <v>#REF!</v>
      </c>
      <c r="AU5" s="52" t="e">
        <f t="shared" si="3"/>
        <v>#REF!</v>
      </c>
      <c r="AV5" s="52" t="e">
        <f t="shared" si="3"/>
        <v>#REF!</v>
      </c>
      <c r="AW5" s="52" t="e">
        <f t="shared" si="3"/>
        <v>#REF!</v>
      </c>
      <c r="AX5" s="52" t="e">
        <f t="shared" si="3"/>
        <v>#REF!</v>
      </c>
      <c r="AY5" s="52" t="e">
        <f t="shared" si="3"/>
        <v>#REF!</v>
      </c>
      <c r="AZ5" s="52" t="e">
        <f t="shared" si="3"/>
        <v>#REF!</v>
      </c>
      <c r="BA5" s="52" t="e">
        <f t="shared" si="3"/>
        <v>#REF!</v>
      </c>
      <c r="BB5" s="52" t="e">
        <f t="shared" si="3"/>
        <v>#REF!</v>
      </c>
      <c r="BC5" s="52" t="e">
        <f t="shared" si="3"/>
        <v>#REF!</v>
      </c>
      <c r="BD5" s="52" t="e">
        <f t="shared" si="3"/>
        <v>#REF!</v>
      </c>
      <c r="BE5" s="52" t="e">
        <f t="shared" si="3"/>
        <v>#REF!</v>
      </c>
      <c r="BF5" s="52" t="e">
        <f t="shared" si="3"/>
        <v>#REF!</v>
      </c>
      <c r="BG5" s="52" t="e">
        <f t="shared" si="3"/>
        <v>#REF!</v>
      </c>
      <c r="BH5" s="52" t="e">
        <f t="shared" si="3"/>
        <v>#REF!</v>
      </c>
      <c r="BI5" s="53" t="e">
        <f t="shared" si="3"/>
        <v>#REF!</v>
      </c>
      <c r="BY5" s="5"/>
      <c r="CO5" s="5"/>
      <c r="CP5" s="1" t="e">
        <f>SUMIF(#REF!,Overview!$U5,#REF!)</f>
        <v>#REF!</v>
      </c>
      <c r="CQ5" s="1" t="e">
        <f>SUMIF(#REF!,Overview!$U5,#REF!)</f>
        <v>#REF!</v>
      </c>
      <c r="CR5" s="1" t="e">
        <f>SUMIF(#REF!,Overview!$U5,#REF!)</f>
        <v>#REF!</v>
      </c>
      <c r="CS5" s="1" t="e">
        <f>SUMIF(#REF!,Overview!$U5,#REF!)</f>
        <v>#REF!</v>
      </c>
      <c r="CT5" s="1" t="e">
        <f>SUMIF(#REF!,Overview!$U5,#REF!)</f>
        <v>#REF!</v>
      </c>
      <c r="CU5" s="1" t="e">
        <f>SUMIF(#REF!,Overview!$U5,#REF!)</f>
        <v>#REF!</v>
      </c>
      <c r="CV5" s="1" t="e">
        <f>SUMIF(#REF!,Overview!$U5,#REF!)</f>
        <v>#REF!</v>
      </c>
      <c r="CW5" s="1" t="e">
        <f>SUMIF(#REF!,Overview!$U5,#REF!)</f>
        <v>#REF!</v>
      </c>
      <c r="CX5" s="1" t="e">
        <f>SUMIF(#REF!,Overview!$U5,#REF!)</f>
        <v>#REF!</v>
      </c>
      <c r="CY5" s="1" t="e">
        <f>SUMIF(#REF!,Overview!$U5,#REF!)</f>
        <v>#REF!</v>
      </c>
      <c r="CZ5" s="1" t="e">
        <f>SUMIF(#REF!,Overview!$U5,#REF!)</f>
        <v>#REF!</v>
      </c>
      <c r="DA5" s="1" t="e">
        <f>SUMIF(#REF!,Overview!$U5,#REF!)</f>
        <v>#REF!</v>
      </c>
      <c r="DB5" s="1" t="e">
        <f>SUMIF(#REF!,Overview!$U5,#REF!)</f>
        <v>#REF!</v>
      </c>
      <c r="DC5" s="1" t="e">
        <f>SUMIF(#REF!,Overview!$U5,#REF!)</f>
        <v>#REF!</v>
      </c>
      <c r="DD5" s="1" t="e">
        <f>SUMIF(#REF!,Overview!$U5,#REF!)</f>
        <v>#REF!</v>
      </c>
      <c r="DE5" s="5" t="e">
        <f>SUMIF(#REF!,Overview!$U5,#REF!)</f>
        <v>#REF!</v>
      </c>
    </row>
    <row r="6" spans="1:109">
      <c r="A6" s="3"/>
      <c r="B6" s="111" t="s">
        <v>355</v>
      </c>
      <c r="C6" s="31"/>
      <c r="D6" s="32"/>
      <c r="E6" s="32"/>
      <c r="F6" s="33"/>
      <c r="G6" s="126">
        <v>2413</v>
      </c>
      <c r="H6" s="127"/>
      <c r="I6" s="127"/>
      <c r="J6" s="128"/>
      <c r="O6" s="12"/>
      <c r="R6" s="110" t="s">
        <v>356</v>
      </c>
      <c r="U6" s="4" t="s">
        <v>345</v>
      </c>
      <c r="V6" s="1" t="s">
        <v>346</v>
      </c>
      <c r="W6" s="5" t="s">
        <v>344</v>
      </c>
      <c r="X6" s="5" t="s">
        <v>37</v>
      </c>
      <c r="Y6" s="22" t="s">
        <v>209</v>
      </c>
      <c r="Z6" s="17">
        <f>3.6*1000000/19</f>
        <v>189473.68421052632</v>
      </c>
      <c r="AA6" s="29"/>
      <c r="AB6" s="29"/>
      <c r="AC6" s="22" t="s">
        <v>281</v>
      </c>
      <c r="AD6" s="25" t="e">
        <f>SUMIF(#REF!,Overview!U6,#REF!)</f>
        <v>#REF!</v>
      </c>
      <c r="AE6" s="27" t="e">
        <f>SUMIF(#REF!,Overview!U6,#REF!)</f>
        <v>#REF!</v>
      </c>
      <c r="AF6" s="1" t="e">
        <f>SUMIF(#REF!,Overview!U6,#REF!)</f>
        <v>#REF!</v>
      </c>
      <c r="AG6" s="1" t="e">
        <f>SUMIF(#REF!,Overview!U6,#REF!)</f>
        <v>#REF!</v>
      </c>
      <c r="AH6" s="1" t="e">
        <f>SUMIF(#REF!,Overview!U6,#REF!)</f>
        <v>#REF!</v>
      </c>
      <c r="AI6" s="1" t="e">
        <f>SUMIF(#REF!,Overview!U6,#REF!)</f>
        <v>#REF!</v>
      </c>
      <c r="AJ6" s="1" t="e">
        <f>SUMIF(#REF!,Overview!U6,#REF!)</f>
        <v>#REF!</v>
      </c>
      <c r="AK6" s="1" t="e">
        <f>SUMIF(#REF!,Overview!U6,#REF!)</f>
        <v>#REF!</v>
      </c>
      <c r="AL6" s="1" t="e">
        <f>SUMIF(#REF!,Overview!U6,#REF!)</f>
        <v>#REF!</v>
      </c>
      <c r="AM6" s="1" t="e">
        <f>SUMIF(#REF!,Overview!U6,#REF!)</f>
        <v>#REF!</v>
      </c>
      <c r="AN6" s="1" t="e">
        <f>SUMIF(#REF!,Overview!U6,#REF!)</f>
        <v>#REF!</v>
      </c>
      <c r="AO6" s="1" t="e">
        <f>SUMIF(#REF!,Overview!U6,#REF!)</f>
        <v>#REF!</v>
      </c>
      <c r="AP6" s="1" t="e">
        <f>SUMIF(#REF!,Overview!U6,#REF!)</f>
        <v>#REF!</v>
      </c>
      <c r="AQ6" s="1" t="e">
        <f>SUMIF(#REF!,Overview!U6,#REF!)</f>
        <v>#REF!</v>
      </c>
      <c r="AR6" s="1" t="e">
        <f>SUMIF(#REF!,Overview!U6,#REF!)</f>
        <v>#REF!</v>
      </c>
      <c r="AS6" s="5" t="e">
        <f>SUMIF(#REF!,Overview!U6,#REF!)</f>
        <v>#REF!</v>
      </c>
      <c r="AT6" s="51" t="e">
        <f t="shared" si="3"/>
        <v>#REF!</v>
      </c>
      <c r="AU6" s="52" t="e">
        <f t="shared" si="3"/>
        <v>#REF!</v>
      </c>
      <c r="AV6" s="52" t="e">
        <f t="shared" si="3"/>
        <v>#REF!</v>
      </c>
      <c r="AW6" s="52" t="e">
        <f t="shared" si="3"/>
        <v>#REF!</v>
      </c>
      <c r="AX6" s="52" t="e">
        <f t="shared" si="3"/>
        <v>#REF!</v>
      </c>
      <c r="AY6" s="52" t="e">
        <f t="shared" si="3"/>
        <v>#REF!</v>
      </c>
      <c r="AZ6" s="52" t="e">
        <f t="shared" si="3"/>
        <v>#REF!</v>
      </c>
      <c r="BA6" s="52" t="e">
        <f t="shared" si="3"/>
        <v>#REF!</v>
      </c>
      <c r="BB6" s="52" t="e">
        <f t="shared" si="3"/>
        <v>#REF!</v>
      </c>
      <c r="BC6" s="52" t="e">
        <f t="shared" si="3"/>
        <v>#REF!</v>
      </c>
      <c r="BD6" s="52" t="e">
        <f t="shared" si="3"/>
        <v>#REF!</v>
      </c>
      <c r="BE6" s="52" t="e">
        <f t="shared" si="3"/>
        <v>#REF!</v>
      </c>
      <c r="BF6" s="52" t="e">
        <f t="shared" si="3"/>
        <v>#REF!</v>
      </c>
      <c r="BG6" s="52" t="e">
        <f t="shared" si="3"/>
        <v>#REF!</v>
      </c>
      <c r="BH6" s="52" t="e">
        <f t="shared" si="3"/>
        <v>#REF!</v>
      </c>
      <c r="BI6" s="53" t="e">
        <f t="shared" si="3"/>
        <v>#REF!</v>
      </c>
      <c r="BY6" s="5"/>
      <c r="CO6" s="5"/>
      <c r="CP6" s="1" t="e">
        <f>SUMIF(#REF!,Overview!$U6,#REF!)</f>
        <v>#REF!</v>
      </c>
      <c r="CQ6" s="1" t="e">
        <f>SUMIF(#REF!,Overview!$U6,#REF!)</f>
        <v>#REF!</v>
      </c>
      <c r="CR6" s="1" t="e">
        <f>SUMIF(#REF!,Overview!$U6,#REF!)</f>
        <v>#REF!</v>
      </c>
      <c r="CS6" s="1" t="e">
        <f>SUMIF(#REF!,Overview!$U6,#REF!)</f>
        <v>#REF!</v>
      </c>
      <c r="CT6" s="1" t="e">
        <f>SUMIF(#REF!,Overview!$U6,#REF!)</f>
        <v>#REF!</v>
      </c>
      <c r="CU6" s="1" t="e">
        <f>SUMIF(#REF!,Overview!$U6,#REF!)</f>
        <v>#REF!</v>
      </c>
      <c r="CV6" s="1" t="e">
        <f>SUMIF(#REF!,Overview!$U6,#REF!)</f>
        <v>#REF!</v>
      </c>
      <c r="CW6" s="1" t="e">
        <f>SUMIF(#REF!,Overview!$U6,#REF!)</f>
        <v>#REF!</v>
      </c>
      <c r="CX6" s="1" t="e">
        <f>SUMIF(#REF!,Overview!$U6,#REF!)</f>
        <v>#REF!</v>
      </c>
      <c r="CY6" s="1" t="e">
        <f>SUMIF(#REF!,Overview!$U6,#REF!)</f>
        <v>#REF!</v>
      </c>
      <c r="CZ6" s="1" t="e">
        <f>SUMIF(#REF!,Overview!$U6,#REF!)</f>
        <v>#REF!</v>
      </c>
      <c r="DA6" s="1" t="e">
        <f>SUMIF(#REF!,Overview!$U6,#REF!)</f>
        <v>#REF!</v>
      </c>
      <c r="DB6" s="1" t="e">
        <f>SUMIF(#REF!,Overview!$U6,#REF!)</f>
        <v>#REF!</v>
      </c>
      <c r="DC6" s="1" t="e">
        <f>SUMIF(#REF!,Overview!$U6,#REF!)</f>
        <v>#REF!</v>
      </c>
      <c r="DD6" s="1" t="e">
        <f>SUMIF(#REF!,Overview!$U6,#REF!)</f>
        <v>#REF!</v>
      </c>
      <c r="DE6" s="5" t="e">
        <f>SUMIF(#REF!,Overview!$U6,#REF!)</f>
        <v>#REF!</v>
      </c>
    </row>
    <row r="7" spans="1:109">
      <c r="A7" s="3"/>
      <c r="B7" s="111" t="s">
        <v>388</v>
      </c>
      <c r="C7" s="31"/>
      <c r="D7" s="32"/>
      <c r="E7" s="32"/>
      <c r="F7" s="33"/>
      <c r="G7" s="126">
        <v>89</v>
      </c>
      <c r="H7" s="127"/>
      <c r="I7" s="127"/>
      <c r="J7" s="128"/>
      <c r="O7" s="12"/>
      <c r="R7" s="110" t="s">
        <v>356</v>
      </c>
      <c r="U7" s="4" t="s">
        <v>345</v>
      </c>
      <c r="V7" s="1" t="s">
        <v>346</v>
      </c>
      <c r="W7" s="5" t="s">
        <v>344</v>
      </c>
      <c r="X7" s="5" t="s">
        <v>37</v>
      </c>
      <c r="Y7" s="22" t="s">
        <v>209</v>
      </c>
      <c r="Z7" s="17">
        <f>3.6*1000000/19</f>
        <v>189473.68421052632</v>
      </c>
      <c r="AA7" s="29"/>
      <c r="AB7" s="29"/>
      <c r="AC7" s="22" t="s">
        <v>281</v>
      </c>
      <c r="AD7" s="25" t="e">
        <f>SUMIF(#REF!,Overview!U7,#REF!)</f>
        <v>#REF!</v>
      </c>
      <c r="AE7" s="27" t="e">
        <f>SUMIF(#REF!,Overview!U7,#REF!)</f>
        <v>#REF!</v>
      </c>
      <c r="AF7" s="1" t="e">
        <f>SUMIF(#REF!,Overview!U7,#REF!)</f>
        <v>#REF!</v>
      </c>
      <c r="AG7" s="1" t="e">
        <f>SUMIF(#REF!,Overview!U7,#REF!)</f>
        <v>#REF!</v>
      </c>
      <c r="AH7" s="1" t="e">
        <f>SUMIF(#REF!,Overview!U7,#REF!)</f>
        <v>#REF!</v>
      </c>
      <c r="AI7" s="1" t="e">
        <f>SUMIF(#REF!,Overview!U7,#REF!)</f>
        <v>#REF!</v>
      </c>
      <c r="AJ7" s="1" t="e">
        <f>SUMIF(#REF!,Overview!U7,#REF!)</f>
        <v>#REF!</v>
      </c>
      <c r="AK7" s="1" t="e">
        <f>SUMIF(#REF!,Overview!U7,#REF!)</f>
        <v>#REF!</v>
      </c>
      <c r="AL7" s="1" t="e">
        <f>SUMIF(#REF!,Overview!U7,#REF!)</f>
        <v>#REF!</v>
      </c>
      <c r="AM7" s="1" t="e">
        <f>SUMIF(#REF!,Overview!U7,#REF!)</f>
        <v>#REF!</v>
      </c>
      <c r="AN7" s="1" t="e">
        <f>SUMIF(#REF!,Overview!U7,#REF!)</f>
        <v>#REF!</v>
      </c>
      <c r="AO7" s="1" t="e">
        <f>SUMIF(#REF!,Overview!U7,#REF!)</f>
        <v>#REF!</v>
      </c>
      <c r="AP7" s="1" t="e">
        <f>SUMIF(#REF!,Overview!U7,#REF!)</f>
        <v>#REF!</v>
      </c>
      <c r="AQ7" s="1" t="e">
        <f>SUMIF(#REF!,Overview!U7,#REF!)</f>
        <v>#REF!</v>
      </c>
      <c r="AR7" s="1" t="e">
        <f>SUMIF(#REF!,Overview!U7,#REF!)</f>
        <v>#REF!</v>
      </c>
      <c r="AS7" s="5" t="e">
        <f>SUMIF(#REF!,Overview!U7,#REF!)</f>
        <v>#REF!</v>
      </c>
      <c r="AT7" s="51" t="e">
        <f t="shared" si="3"/>
        <v>#REF!</v>
      </c>
      <c r="AU7" s="52" t="e">
        <f t="shared" si="3"/>
        <v>#REF!</v>
      </c>
      <c r="AV7" s="52" t="e">
        <f t="shared" si="3"/>
        <v>#REF!</v>
      </c>
      <c r="AW7" s="52" t="e">
        <f t="shared" si="3"/>
        <v>#REF!</v>
      </c>
      <c r="AX7" s="52" t="e">
        <f t="shared" si="3"/>
        <v>#REF!</v>
      </c>
      <c r="AY7" s="52" t="e">
        <f t="shared" si="3"/>
        <v>#REF!</v>
      </c>
      <c r="AZ7" s="52" t="e">
        <f t="shared" si="3"/>
        <v>#REF!</v>
      </c>
      <c r="BA7" s="52" t="e">
        <f t="shared" si="3"/>
        <v>#REF!</v>
      </c>
      <c r="BB7" s="52" t="e">
        <f t="shared" si="3"/>
        <v>#REF!</v>
      </c>
      <c r="BC7" s="52" t="e">
        <f t="shared" si="3"/>
        <v>#REF!</v>
      </c>
      <c r="BD7" s="52" t="e">
        <f t="shared" si="3"/>
        <v>#REF!</v>
      </c>
      <c r="BE7" s="52" t="e">
        <f t="shared" si="3"/>
        <v>#REF!</v>
      </c>
      <c r="BF7" s="52" t="e">
        <f t="shared" si="3"/>
        <v>#REF!</v>
      </c>
      <c r="BG7" s="52" t="e">
        <f t="shared" si="3"/>
        <v>#REF!</v>
      </c>
      <c r="BH7" s="52" t="e">
        <f t="shared" si="3"/>
        <v>#REF!</v>
      </c>
      <c r="BI7" s="53" t="e">
        <f t="shared" si="3"/>
        <v>#REF!</v>
      </c>
      <c r="BY7" s="5"/>
      <c r="CO7" s="5"/>
      <c r="CP7" s="1" t="e">
        <f>SUMIF(#REF!,Overview!$U7,#REF!)</f>
        <v>#REF!</v>
      </c>
      <c r="CQ7" s="1" t="e">
        <f>SUMIF(#REF!,Overview!$U7,#REF!)</f>
        <v>#REF!</v>
      </c>
      <c r="CR7" s="1" t="e">
        <f>SUMIF(#REF!,Overview!$U7,#REF!)</f>
        <v>#REF!</v>
      </c>
      <c r="CS7" s="1" t="e">
        <f>SUMIF(#REF!,Overview!$U7,#REF!)</f>
        <v>#REF!</v>
      </c>
      <c r="CT7" s="1" t="e">
        <f>SUMIF(#REF!,Overview!$U7,#REF!)</f>
        <v>#REF!</v>
      </c>
      <c r="CU7" s="1" t="e">
        <f>SUMIF(#REF!,Overview!$U7,#REF!)</f>
        <v>#REF!</v>
      </c>
      <c r="CV7" s="1" t="e">
        <f>SUMIF(#REF!,Overview!$U7,#REF!)</f>
        <v>#REF!</v>
      </c>
      <c r="CW7" s="1" t="e">
        <f>SUMIF(#REF!,Overview!$U7,#REF!)</f>
        <v>#REF!</v>
      </c>
      <c r="CX7" s="1" t="e">
        <f>SUMIF(#REF!,Overview!$U7,#REF!)</f>
        <v>#REF!</v>
      </c>
      <c r="CY7" s="1" t="e">
        <f>SUMIF(#REF!,Overview!$U7,#REF!)</f>
        <v>#REF!</v>
      </c>
      <c r="CZ7" s="1" t="e">
        <f>SUMIF(#REF!,Overview!$U7,#REF!)</f>
        <v>#REF!</v>
      </c>
      <c r="DA7" s="1" t="e">
        <f>SUMIF(#REF!,Overview!$U7,#REF!)</f>
        <v>#REF!</v>
      </c>
      <c r="DB7" s="1" t="e">
        <f>SUMIF(#REF!,Overview!$U7,#REF!)</f>
        <v>#REF!</v>
      </c>
      <c r="DC7" s="1" t="e">
        <f>SUMIF(#REF!,Overview!$U7,#REF!)</f>
        <v>#REF!</v>
      </c>
      <c r="DD7" s="1" t="e">
        <f>SUMIF(#REF!,Overview!$U7,#REF!)</f>
        <v>#REF!</v>
      </c>
      <c r="DE7" s="5" t="e">
        <f>SUMIF(#REF!,Overview!$U7,#REF!)</f>
        <v>#REF!</v>
      </c>
    </row>
    <row r="8" spans="1:109" ht="43.5">
      <c r="A8" s="3" t="s">
        <v>25</v>
      </c>
      <c r="B8" s="14" t="s">
        <v>26</v>
      </c>
      <c r="C8" s="4">
        <v>3.8553642941170886E-6</v>
      </c>
      <c r="D8" s="1">
        <v>0</v>
      </c>
      <c r="E8" s="1">
        <v>0</v>
      </c>
      <c r="F8">
        <v>6.21963625882229E-6</v>
      </c>
      <c r="G8" s="4">
        <v>9.6920116770138134E-3</v>
      </c>
      <c r="H8" s="1">
        <v>0</v>
      </c>
      <c r="I8" s="1">
        <v>1.001444935168532E-2</v>
      </c>
      <c r="J8">
        <v>1.229222838641322E-2</v>
      </c>
      <c r="K8" s="4" t="s">
        <v>17</v>
      </c>
      <c r="L8" s="1" t="s">
        <v>27</v>
      </c>
      <c r="M8" s="1" t="s">
        <v>28</v>
      </c>
      <c r="N8" s="11" t="s">
        <v>29</v>
      </c>
      <c r="O8" s="12" t="s">
        <v>21</v>
      </c>
      <c r="P8" s="1" t="s">
        <v>30</v>
      </c>
      <c r="Q8" s="1" t="s">
        <v>31</v>
      </c>
      <c r="R8" s="34" t="s">
        <v>284</v>
      </c>
      <c r="S8" s="24" t="s">
        <v>32</v>
      </c>
      <c r="T8" s="1" t="s">
        <v>24</v>
      </c>
      <c r="U8" s="4" t="s">
        <v>243</v>
      </c>
      <c r="V8" s="1" t="s">
        <v>28</v>
      </c>
      <c r="W8" s="5" t="s">
        <v>29</v>
      </c>
      <c r="X8" s="5" t="s">
        <v>37</v>
      </c>
      <c r="Y8" s="22" t="s">
        <v>209</v>
      </c>
      <c r="Z8" s="17">
        <f>3.6*1000000/43</f>
        <v>83720.930232558138</v>
      </c>
      <c r="AA8" s="29"/>
      <c r="AB8" s="29"/>
      <c r="AC8" s="22" t="s">
        <v>281</v>
      </c>
      <c r="AD8" s="25" t="e">
        <f>SUMIF(#REF!,Overview!U8,#REF!)</f>
        <v>#REF!</v>
      </c>
      <c r="AE8" s="27" t="e">
        <f>SUMIF(#REF!,Overview!U8,#REF!)</f>
        <v>#REF!</v>
      </c>
      <c r="AF8" s="1" t="e">
        <f>SUMIF(#REF!,Overview!U8,#REF!)</f>
        <v>#REF!</v>
      </c>
      <c r="AG8" s="1" t="e">
        <f>SUMIF(#REF!,Overview!U8,#REF!)</f>
        <v>#REF!</v>
      </c>
      <c r="AH8" s="1" t="e">
        <f>SUMIF(#REF!,Overview!U8,#REF!)</f>
        <v>#REF!</v>
      </c>
      <c r="AI8" s="1" t="e">
        <f>SUMIF(#REF!,Overview!U8,#REF!)</f>
        <v>#REF!</v>
      </c>
      <c r="AJ8" s="1" t="e">
        <f>SUMIF(#REF!,Overview!U8,#REF!)</f>
        <v>#REF!</v>
      </c>
      <c r="AK8" s="1" t="e">
        <f>SUMIF(#REF!,Overview!U8,#REF!)</f>
        <v>#REF!</v>
      </c>
      <c r="AL8" s="1" t="e">
        <f>SUMIF(#REF!,Overview!U8,#REF!)</f>
        <v>#REF!</v>
      </c>
      <c r="AM8" s="1" t="e">
        <f>SUMIF(#REF!,Overview!U8,#REF!)</f>
        <v>#REF!</v>
      </c>
      <c r="AN8" s="1" t="e">
        <f>SUMIF(#REF!,Overview!U8,#REF!)</f>
        <v>#REF!</v>
      </c>
      <c r="AO8" s="1" t="e">
        <f>SUMIF(#REF!,Overview!U8,#REF!)</f>
        <v>#REF!</v>
      </c>
      <c r="AP8" s="1" t="e">
        <f>SUMIF(#REF!,Overview!U8,#REF!)</f>
        <v>#REF!</v>
      </c>
      <c r="AQ8" s="1" t="e">
        <f>SUMIF(#REF!,Overview!U8,#REF!)</f>
        <v>#REF!</v>
      </c>
      <c r="AR8" s="1" t="e">
        <f>SUMIF(#REF!,Overview!U8,#REF!)</f>
        <v>#REF!</v>
      </c>
      <c r="AS8" s="5" t="e">
        <f>SUMIF(#REF!,Overview!U8,#REF!)</f>
        <v>#REF!</v>
      </c>
      <c r="AT8" s="51" t="e">
        <f t="shared" si="3"/>
        <v>#REF!</v>
      </c>
      <c r="AU8" s="52" t="e">
        <f t="shared" si="3"/>
        <v>#REF!</v>
      </c>
      <c r="AV8" s="52" t="e">
        <f t="shared" si="3"/>
        <v>#REF!</v>
      </c>
      <c r="AW8" s="52" t="e">
        <f t="shared" si="3"/>
        <v>#REF!</v>
      </c>
      <c r="AX8" s="52" t="e">
        <f t="shared" si="3"/>
        <v>#REF!</v>
      </c>
      <c r="AY8" s="52" t="e">
        <f t="shared" si="3"/>
        <v>#REF!</v>
      </c>
      <c r="AZ8" s="52" t="e">
        <f t="shared" si="3"/>
        <v>#REF!</v>
      </c>
      <c r="BA8" s="52" t="e">
        <f t="shared" si="3"/>
        <v>#REF!</v>
      </c>
      <c r="BB8" s="52" t="e">
        <f t="shared" si="3"/>
        <v>#REF!</v>
      </c>
      <c r="BC8" s="52" t="e">
        <f t="shared" si="3"/>
        <v>#REF!</v>
      </c>
      <c r="BD8" s="52" t="e">
        <f t="shared" si="3"/>
        <v>#REF!</v>
      </c>
      <c r="BE8" s="52" t="e">
        <f t="shared" si="3"/>
        <v>#REF!</v>
      </c>
      <c r="BF8" s="52" t="e">
        <f t="shared" si="3"/>
        <v>#REF!</v>
      </c>
      <c r="BG8" s="52" t="e">
        <f t="shared" si="3"/>
        <v>#REF!</v>
      </c>
      <c r="BH8" s="52" t="e">
        <f t="shared" si="3"/>
        <v>#REF!</v>
      </c>
      <c r="BI8" s="53" t="e">
        <f t="shared" si="3"/>
        <v>#REF!</v>
      </c>
      <c r="BJ8" s="51" t="e">
        <f t="shared" ref="BJ8:BY9" si="4">AD8*$Z8*$H8</f>
        <v>#REF!</v>
      </c>
      <c r="BK8" s="52" t="e">
        <f t="shared" si="4"/>
        <v>#REF!</v>
      </c>
      <c r="BL8" s="52" t="e">
        <f t="shared" si="4"/>
        <v>#REF!</v>
      </c>
      <c r="BM8" s="52" t="e">
        <f t="shared" si="4"/>
        <v>#REF!</v>
      </c>
      <c r="BN8" s="52" t="e">
        <f t="shared" si="4"/>
        <v>#REF!</v>
      </c>
      <c r="BO8" s="52" t="e">
        <f t="shared" si="4"/>
        <v>#REF!</v>
      </c>
      <c r="BP8" s="52" t="e">
        <f t="shared" si="4"/>
        <v>#REF!</v>
      </c>
      <c r="BQ8" s="52" t="e">
        <f t="shared" si="4"/>
        <v>#REF!</v>
      </c>
      <c r="BR8" s="52" t="e">
        <f t="shared" si="4"/>
        <v>#REF!</v>
      </c>
      <c r="BS8" s="52" t="e">
        <f t="shared" si="4"/>
        <v>#REF!</v>
      </c>
      <c r="BT8" s="52" t="e">
        <f t="shared" si="4"/>
        <v>#REF!</v>
      </c>
      <c r="BU8" s="52" t="e">
        <f t="shared" si="4"/>
        <v>#REF!</v>
      </c>
      <c r="BV8" s="52" t="e">
        <f t="shared" si="4"/>
        <v>#REF!</v>
      </c>
      <c r="BW8" s="52" t="e">
        <f t="shared" si="4"/>
        <v>#REF!</v>
      </c>
      <c r="BX8" s="52" t="e">
        <f t="shared" si="4"/>
        <v>#REF!</v>
      </c>
      <c r="BY8" s="53" t="e">
        <f t="shared" si="4"/>
        <v>#REF!</v>
      </c>
      <c r="BZ8" s="51" t="e">
        <f t="shared" ref="BZ8:BZ55" si="5">AD8*$Z8*$I8</f>
        <v>#REF!</v>
      </c>
      <c r="CA8" s="52" t="e">
        <f t="shared" ref="CA8:CO9" si="6">AE8*$Z8*$I8</f>
        <v>#REF!</v>
      </c>
      <c r="CB8" s="52" t="e">
        <f t="shared" si="6"/>
        <v>#REF!</v>
      </c>
      <c r="CC8" s="52" t="e">
        <f t="shared" si="6"/>
        <v>#REF!</v>
      </c>
      <c r="CD8" s="52" t="e">
        <f t="shared" si="6"/>
        <v>#REF!</v>
      </c>
      <c r="CE8" s="52" t="e">
        <f t="shared" si="6"/>
        <v>#REF!</v>
      </c>
      <c r="CF8" s="52" t="e">
        <f t="shared" si="6"/>
        <v>#REF!</v>
      </c>
      <c r="CG8" s="52" t="e">
        <f t="shared" si="6"/>
        <v>#REF!</v>
      </c>
      <c r="CH8" s="52" t="e">
        <f t="shared" si="6"/>
        <v>#REF!</v>
      </c>
      <c r="CI8" s="52" t="e">
        <f t="shared" si="6"/>
        <v>#REF!</v>
      </c>
      <c r="CJ8" s="52" t="e">
        <f t="shared" si="6"/>
        <v>#REF!</v>
      </c>
      <c r="CK8" s="52" t="e">
        <f t="shared" si="6"/>
        <v>#REF!</v>
      </c>
      <c r="CL8" s="52" t="e">
        <f t="shared" si="6"/>
        <v>#REF!</v>
      </c>
      <c r="CM8" s="52" t="e">
        <f t="shared" si="6"/>
        <v>#REF!</v>
      </c>
      <c r="CN8" s="52" t="e">
        <f t="shared" si="6"/>
        <v>#REF!</v>
      </c>
      <c r="CO8" s="53" t="e">
        <f t="shared" si="6"/>
        <v>#REF!</v>
      </c>
      <c r="CP8" s="1" t="e">
        <f>SUMIF(#REF!,Overview!$U8,#REF!)</f>
        <v>#REF!</v>
      </c>
      <c r="CQ8" s="1" t="e">
        <f>SUMIF(#REF!,Overview!$U8,#REF!)</f>
        <v>#REF!</v>
      </c>
      <c r="CR8" s="1" t="e">
        <f>SUMIF(#REF!,Overview!$U8,#REF!)</f>
        <v>#REF!</v>
      </c>
      <c r="CS8" s="1" t="e">
        <f>SUMIF(#REF!,Overview!$U8,#REF!)</f>
        <v>#REF!</v>
      </c>
      <c r="CT8" s="1" t="e">
        <f>SUMIF(#REF!,Overview!$U8,#REF!)</f>
        <v>#REF!</v>
      </c>
      <c r="CU8" s="1" t="e">
        <f>SUMIF(#REF!,Overview!$U8,#REF!)</f>
        <v>#REF!</v>
      </c>
      <c r="CV8" s="1" t="e">
        <f>SUMIF(#REF!,Overview!$U8,#REF!)</f>
        <v>#REF!</v>
      </c>
      <c r="CW8" s="1" t="e">
        <f>SUMIF(#REF!,Overview!$U8,#REF!)</f>
        <v>#REF!</v>
      </c>
      <c r="CX8" s="1" t="e">
        <f>SUMIF(#REF!,Overview!$U8,#REF!)</f>
        <v>#REF!</v>
      </c>
      <c r="CY8" s="1" t="e">
        <f>SUMIF(#REF!,Overview!$U8,#REF!)</f>
        <v>#REF!</v>
      </c>
      <c r="CZ8" s="1" t="e">
        <f>SUMIF(#REF!,Overview!$U8,#REF!)</f>
        <v>#REF!</v>
      </c>
      <c r="DA8" s="1" t="e">
        <f>SUMIF(#REF!,Overview!$U8,#REF!)</f>
        <v>#REF!</v>
      </c>
      <c r="DB8" s="1" t="e">
        <f>SUMIF(#REF!,Overview!$U8,#REF!)</f>
        <v>#REF!</v>
      </c>
      <c r="DC8" s="1" t="e">
        <f>SUMIF(#REF!,Overview!$U8,#REF!)</f>
        <v>#REF!</v>
      </c>
      <c r="DD8" s="1" t="e">
        <f>SUMIF(#REF!,Overview!$U8,#REF!)</f>
        <v>#REF!</v>
      </c>
      <c r="DE8" s="5" t="e">
        <f>SUMIF(#REF!,Overview!$U8,#REF!)</f>
        <v>#REF!</v>
      </c>
    </row>
    <row r="9" spans="1:109" ht="43.5">
      <c r="A9" s="3" t="s">
        <v>33</v>
      </c>
      <c r="B9" s="14" t="s">
        <v>34</v>
      </c>
      <c r="C9" s="4">
        <v>0.19229254540269089</v>
      </c>
      <c r="D9" s="1">
        <v>0</v>
      </c>
      <c r="E9" s="1">
        <v>1.5459477104146919</v>
      </c>
      <c r="F9">
        <v>2.4600905613458388E-6</v>
      </c>
      <c r="G9" s="4">
        <v>1689.0952703679509</v>
      </c>
      <c r="H9" s="1">
        <v>5.6005361131640169E-3</v>
      </c>
      <c r="I9" s="1">
        <v>13579.55095917299</v>
      </c>
      <c r="J9">
        <v>1.6739177765696899E-2</v>
      </c>
      <c r="K9" s="4" t="s">
        <v>17</v>
      </c>
      <c r="L9" s="1" t="s">
        <v>35</v>
      </c>
      <c r="M9" s="1" t="s">
        <v>36</v>
      </c>
      <c r="N9" s="11" t="s">
        <v>37</v>
      </c>
      <c r="O9" s="12" t="s">
        <v>38</v>
      </c>
      <c r="P9" s="1" t="s">
        <v>30</v>
      </c>
      <c r="Q9" s="1" t="s">
        <v>39</v>
      </c>
      <c r="R9" s="34" t="s">
        <v>285</v>
      </c>
      <c r="S9" s="24" t="s">
        <v>24</v>
      </c>
      <c r="T9" s="1" t="s">
        <v>24</v>
      </c>
      <c r="U9" s="4" t="s">
        <v>35</v>
      </c>
      <c r="V9" s="1" t="s">
        <v>36</v>
      </c>
      <c r="W9" s="5" t="s">
        <v>37</v>
      </c>
      <c r="X9" s="5" t="s">
        <v>37</v>
      </c>
      <c r="Y9" s="22" t="s">
        <v>210</v>
      </c>
      <c r="Z9" s="17">
        <f>3.6*1000000/34.4</f>
        <v>104651.16279069768</v>
      </c>
      <c r="AA9" s="29"/>
      <c r="AB9" s="29"/>
      <c r="AC9" s="22" t="s">
        <v>300</v>
      </c>
      <c r="AD9" s="25" t="e">
        <f>SUMIF(#REF!,Overview!U9,#REF!)</f>
        <v>#REF!</v>
      </c>
      <c r="AE9" s="27" t="e">
        <f>SUMIF(#REF!,Overview!U9,#REF!)</f>
        <v>#REF!</v>
      </c>
      <c r="AF9" s="1" t="e">
        <f>SUMIF(#REF!,Overview!U9,#REF!)</f>
        <v>#REF!</v>
      </c>
      <c r="AG9" s="1" t="e">
        <f>SUMIF(#REF!,Overview!U9,#REF!)</f>
        <v>#REF!</v>
      </c>
      <c r="AH9" s="1" t="e">
        <f>SUMIF(#REF!,Overview!U9,#REF!)</f>
        <v>#REF!</v>
      </c>
      <c r="AI9" s="1" t="e">
        <f>SUMIF(#REF!,Overview!U9,#REF!)</f>
        <v>#REF!</v>
      </c>
      <c r="AJ9" s="1" t="e">
        <f>SUMIF(#REF!,Overview!U9,#REF!)</f>
        <v>#REF!</v>
      </c>
      <c r="AK9" s="1" t="e">
        <f>SUMIF(#REF!,Overview!U9,#REF!)</f>
        <v>#REF!</v>
      </c>
      <c r="AL9" s="1" t="e">
        <f>SUMIF(#REF!,Overview!U9,#REF!)</f>
        <v>#REF!</v>
      </c>
      <c r="AM9" s="1" t="e">
        <f>SUMIF(#REF!,Overview!U9,#REF!)</f>
        <v>#REF!</v>
      </c>
      <c r="AN9" s="1" t="e">
        <f>SUMIF(#REF!,Overview!U9,#REF!)</f>
        <v>#REF!</v>
      </c>
      <c r="AO9" s="1" t="e">
        <f>SUMIF(#REF!,Overview!U9,#REF!)</f>
        <v>#REF!</v>
      </c>
      <c r="AP9" s="1" t="e">
        <f>SUMIF(#REF!,Overview!U9,#REF!)</f>
        <v>#REF!</v>
      </c>
      <c r="AQ9" s="1" t="e">
        <f>SUMIF(#REF!,Overview!U9,#REF!)</f>
        <v>#REF!</v>
      </c>
      <c r="AR9" s="1" t="e">
        <f>SUMIF(#REF!,Overview!U9,#REF!)</f>
        <v>#REF!</v>
      </c>
      <c r="AS9" s="5" t="e">
        <f>SUMIF(#REF!,Overview!U9,#REF!)</f>
        <v>#REF!</v>
      </c>
      <c r="AT9" s="51" t="e">
        <f t="shared" si="3"/>
        <v>#REF!</v>
      </c>
      <c r="AU9" s="52" t="e">
        <f t="shared" si="3"/>
        <v>#REF!</v>
      </c>
      <c r="AV9" s="52" t="e">
        <f t="shared" si="3"/>
        <v>#REF!</v>
      </c>
      <c r="AW9" s="52" t="e">
        <f t="shared" si="3"/>
        <v>#REF!</v>
      </c>
      <c r="AX9" s="52" t="e">
        <f t="shared" si="3"/>
        <v>#REF!</v>
      </c>
      <c r="AY9" s="52" t="e">
        <f t="shared" si="3"/>
        <v>#REF!</v>
      </c>
      <c r="AZ9" s="52" t="e">
        <f t="shared" si="3"/>
        <v>#REF!</v>
      </c>
      <c r="BA9" s="52" t="e">
        <f t="shared" si="3"/>
        <v>#REF!</v>
      </c>
      <c r="BB9" s="52" t="e">
        <f t="shared" si="3"/>
        <v>#REF!</v>
      </c>
      <c r="BC9" s="52" t="e">
        <f t="shared" si="3"/>
        <v>#REF!</v>
      </c>
      <c r="BD9" s="52" t="e">
        <f t="shared" si="3"/>
        <v>#REF!</v>
      </c>
      <c r="BE9" s="52" t="e">
        <f t="shared" si="3"/>
        <v>#REF!</v>
      </c>
      <c r="BF9" s="52" t="e">
        <f t="shared" si="3"/>
        <v>#REF!</v>
      </c>
      <c r="BG9" s="52" t="e">
        <f t="shared" si="3"/>
        <v>#REF!</v>
      </c>
      <c r="BH9" s="52" t="e">
        <f t="shared" si="3"/>
        <v>#REF!</v>
      </c>
      <c r="BI9" s="53" t="e">
        <f t="shared" si="3"/>
        <v>#REF!</v>
      </c>
      <c r="BJ9" s="51" t="e">
        <f t="shared" si="4"/>
        <v>#REF!</v>
      </c>
      <c r="BK9" s="52" t="e">
        <f t="shared" si="4"/>
        <v>#REF!</v>
      </c>
      <c r="BL9" s="52" t="e">
        <f t="shared" si="4"/>
        <v>#REF!</v>
      </c>
      <c r="BM9" s="52" t="e">
        <f t="shared" si="4"/>
        <v>#REF!</v>
      </c>
      <c r="BN9" s="52" t="e">
        <f t="shared" si="4"/>
        <v>#REF!</v>
      </c>
      <c r="BO9" s="52" t="e">
        <f t="shared" si="4"/>
        <v>#REF!</v>
      </c>
      <c r="BP9" s="52" t="e">
        <f t="shared" si="4"/>
        <v>#REF!</v>
      </c>
      <c r="BQ9" s="52" t="e">
        <f t="shared" si="4"/>
        <v>#REF!</v>
      </c>
      <c r="BR9" s="52" t="e">
        <f t="shared" si="4"/>
        <v>#REF!</v>
      </c>
      <c r="BS9" s="52" t="e">
        <f t="shared" si="4"/>
        <v>#REF!</v>
      </c>
      <c r="BT9" s="52" t="e">
        <f t="shared" si="4"/>
        <v>#REF!</v>
      </c>
      <c r="BU9" s="52" t="e">
        <f t="shared" si="4"/>
        <v>#REF!</v>
      </c>
      <c r="BV9" s="52" t="e">
        <f t="shared" si="4"/>
        <v>#REF!</v>
      </c>
      <c r="BW9" s="52" t="e">
        <f t="shared" si="4"/>
        <v>#REF!</v>
      </c>
      <c r="BX9" s="52" t="e">
        <f t="shared" si="4"/>
        <v>#REF!</v>
      </c>
      <c r="BY9" s="53" t="e">
        <f t="shared" si="4"/>
        <v>#REF!</v>
      </c>
      <c r="BZ9" s="51" t="e">
        <f t="shared" si="5"/>
        <v>#REF!</v>
      </c>
      <c r="CA9" s="52" t="e">
        <f t="shared" si="6"/>
        <v>#REF!</v>
      </c>
      <c r="CB9" s="52" t="e">
        <f t="shared" si="6"/>
        <v>#REF!</v>
      </c>
      <c r="CC9" s="52" t="e">
        <f t="shared" si="6"/>
        <v>#REF!</v>
      </c>
      <c r="CD9" s="52" t="e">
        <f t="shared" si="6"/>
        <v>#REF!</v>
      </c>
      <c r="CE9" s="52" t="e">
        <f t="shared" si="6"/>
        <v>#REF!</v>
      </c>
      <c r="CF9" s="52" t="e">
        <f t="shared" si="6"/>
        <v>#REF!</v>
      </c>
      <c r="CG9" s="52" t="e">
        <f t="shared" si="6"/>
        <v>#REF!</v>
      </c>
      <c r="CH9" s="52" t="e">
        <f t="shared" si="6"/>
        <v>#REF!</v>
      </c>
      <c r="CI9" s="52" t="e">
        <f t="shared" si="6"/>
        <v>#REF!</v>
      </c>
      <c r="CJ9" s="52" t="e">
        <f t="shared" si="6"/>
        <v>#REF!</v>
      </c>
      <c r="CK9" s="52" t="e">
        <f t="shared" si="6"/>
        <v>#REF!</v>
      </c>
      <c r="CL9" s="52" t="e">
        <f t="shared" si="6"/>
        <v>#REF!</v>
      </c>
      <c r="CM9" s="52" t="e">
        <f t="shared" si="6"/>
        <v>#REF!</v>
      </c>
      <c r="CN9" s="52" t="e">
        <f t="shared" si="6"/>
        <v>#REF!</v>
      </c>
      <c r="CO9" s="53" t="e">
        <f t="shared" si="6"/>
        <v>#REF!</v>
      </c>
      <c r="CP9" s="1" t="e">
        <f>SUMIF(#REF!,Overview!$U9,#REF!)</f>
        <v>#REF!</v>
      </c>
      <c r="CQ9" s="1" t="e">
        <f>SUMIF(#REF!,Overview!$U9,#REF!)</f>
        <v>#REF!</v>
      </c>
      <c r="CR9" s="1" t="e">
        <f>SUMIF(#REF!,Overview!$U9,#REF!)</f>
        <v>#REF!</v>
      </c>
      <c r="CS9" s="1" t="e">
        <f>SUMIF(#REF!,Overview!$U9,#REF!)</f>
        <v>#REF!</v>
      </c>
      <c r="CT9" s="1" t="e">
        <f>SUMIF(#REF!,Overview!$U9,#REF!)</f>
        <v>#REF!</v>
      </c>
      <c r="CU9" s="1" t="e">
        <f>SUMIF(#REF!,Overview!$U9,#REF!)</f>
        <v>#REF!</v>
      </c>
      <c r="CV9" s="1" t="e">
        <f>SUMIF(#REF!,Overview!$U9,#REF!)</f>
        <v>#REF!</v>
      </c>
      <c r="CW9" s="1" t="e">
        <f>SUMIF(#REF!,Overview!$U9,#REF!)</f>
        <v>#REF!</v>
      </c>
      <c r="CX9" s="1" t="e">
        <f>SUMIF(#REF!,Overview!$U9,#REF!)</f>
        <v>#REF!</v>
      </c>
      <c r="CY9" s="1" t="e">
        <f>SUMIF(#REF!,Overview!$U9,#REF!)</f>
        <v>#REF!</v>
      </c>
      <c r="CZ9" s="1" t="e">
        <f>SUMIF(#REF!,Overview!$U9,#REF!)</f>
        <v>#REF!</v>
      </c>
      <c r="DA9" s="1" t="e">
        <f>SUMIF(#REF!,Overview!$U9,#REF!)</f>
        <v>#REF!</v>
      </c>
      <c r="DB9" s="1" t="e">
        <f>SUMIF(#REF!,Overview!$U9,#REF!)</f>
        <v>#REF!</v>
      </c>
      <c r="DC9" s="1" t="e">
        <f>SUMIF(#REF!,Overview!$U9,#REF!)</f>
        <v>#REF!</v>
      </c>
      <c r="DD9" s="1" t="e">
        <f>SUMIF(#REF!,Overview!$U9,#REF!)</f>
        <v>#REF!</v>
      </c>
      <c r="DE9" s="5" t="e">
        <f>SUMIF(#REF!,Overview!$U9,#REF!)</f>
        <v>#REF!</v>
      </c>
    </row>
    <row r="10" spans="1:109" ht="16" customHeight="1">
      <c r="A10" s="3" t="s">
        <v>40</v>
      </c>
      <c r="B10" s="14" t="s">
        <v>41</v>
      </c>
      <c r="C10" s="4">
        <v>9.4861040635476712</v>
      </c>
      <c r="D10" s="1">
        <v>4.2807528796114481E-6</v>
      </c>
      <c r="E10" s="1">
        <v>5.3391327540755711</v>
      </c>
      <c r="F10">
        <v>9.7710102305302051</v>
      </c>
      <c r="G10" s="4">
        <v>32723.45945613669</v>
      </c>
      <c r="H10" s="1">
        <v>1.789337354323943E-2</v>
      </c>
      <c r="I10" s="1">
        <v>18237.126283577349</v>
      </c>
      <c r="J10">
        <v>34849.91637777986</v>
      </c>
      <c r="K10" s="4" t="s">
        <v>17</v>
      </c>
      <c r="L10" s="1" t="s">
        <v>42</v>
      </c>
      <c r="M10" s="1" t="s">
        <v>43</v>
      </c>
      <c r="N10" s="11" t="s">
        <v>37</v>
      </c>
      <c r="O10" s="1" t="s">
        <v>44</v>
      </c>
      <c r="P10" s="1" t="s">
        <v>45</v>
      </c>
      <c r="Q10" s="1" t="s">
        <v>46</v>
      </c>
      <c r="R10" s="36" t="s">
        <v>286</v>
      </c>
      <c r="S10" s="24" t="s">
        <v>24</v>
      </c>
      <c r="T10" s="1" t="s">
        <v>24</v>
      </c>
      <c r="U10" s="4" t="s">
        <v>436</v>
      </c>
      <c r="V10" s="1" t="s">
        <v>437</v>
      </c>
      <c r="W10" s="5" t="s">
        <v>37</v>
      </c>
      <c r="X10" s="5" t="s">
        <v>37</v>
      </c>
      <c r="Y10" s="22" t="s">
        <v>411</v>
      </c>
      <c r="Z10" s="156">
        <f>3.6*1000000</f>
        <v>3600000</v>
      </c>
      <c r="AA10" s="29"/>
      <c r="AB10" s="29"/>
      <c r="AC10" s="22"/>
      <c r="AD10" s="25" t="e">
        <f>SUMIF(#REF!,Overview!U10,#REF!)</f>
        <v>#REF!</v>
      </c>
      <c r="AE10" s="27" t="e">
        <f>SUMIF(#REF!,Overview!U10,#REF!)</f>
        <v>#REF!</v>
      </c>
      <c r="AF10" s="1" t="e">
        <f>SUMIF(#REF!,Overview!U10,#REF!)</f>
        <v>#REF!</v>
      </c>
      <c r="AG10" s="1" t="e">
        <f>SUMIF(#REF!,Overview!U10,#REF!)</f>
        <v>#REF!</v>
      </c>
      <c r="AH10" s="1" t="e">
        <f>SUMIF(#REF!,Overview!U10,#REF!)</f>
        <v>#REF!</v>
      </c>
      <c r="AI10" s="1" t="e">
        <f>SUMIF(#REF!,Overview!U10,#REF!)</f>
        <v>#REF!</v>
      </c>
      <c r="AJ10" s="1" t="e">
        <f>SUMIF(#REF!,Overview!U10,#REF!)</f>
        <v>#REF!</v>
      </c>
      <c r="AK10" s="1" t="e">
        <f>SUMIF(#REF!,Overview!U10,#REF!)</f>
        <v>#REF!</v>
      </c>
      <c r="AL10" s="1" t="e">
        <f>SUMIF(#REF!,Overview!U10,#REF!)</f>
        <v>#REF!</v>
      </c>
      <c r="AM10" s="1" t="e">
        <f>SUMIF(#REF!,Overview!U10,#REF!)</f>
        <v>#REF!</v>
      </c>
      <c r="AN10" s="1" t="e">
        <f>SUMIF(#REF!,Overview!U10,#REF!)</f>
        <v>#REF!</v>
      </c>
      <c r="AO10" s="1" t="e">
        <f>SUMIF(#REF!,Overview!U10,#REF!)</f>
        <v>#REF!</v>
      </c>
      <c r="AP10" s="1" t="e">
        <f>SUMIF(#REF!,Overview!U10,#REF!)</f>
        <v>#REF!</v>
      </c>
      <c r="AQ10" s="1" t="e">
        <f>SUMIF(#REF!,Overview!U10,#REF!)</f>
        <v>#REF!</v>
      </c>
      <c r="AR10" s="1" t="e">
        <f>SUMIF(#REF!,Overview!U10,#REF!)</f>
        <v>#REF!</v>
      </c>
      <c r="AS10" s="5" t="e">
        <f>SUMIF(#REF!,Overview!U10,#REF!)</f>
        <v>#REF!</v>
      </c>
      <c r="AT10" s="49" t="e">
        <f t="shared" ref="AT10:BI10" si="7">AD10*$Z10*$C10/17</f>
        <v>#REF!</v>
      </c>
      <c r="AU10" s="30" t="e">
        <f t="shared" si="7"/>
        <v>#REF!</v>
      </c>
      <c r="AV10" s="30" t="e">
        <f t="shared" si="7"/>
        <v>#REF!</v>
      </c>
      <c r="AW10" s="30" t="e">
        <f t="shared" si="7"/>
        <v>#REF!</v>
      </c>
      <c r="AX10" s="30" t="e">
        <f t="shared" si="7"/>
        <v>#REF!</v>
      </c>
      <c r="AY10" s="30" t="e">
        <f t="shared" si="7"/>
        <v>#REF!</v>
      </c>
      <c r="AZ10" s="30" t="e">
        <f t="shared" si="7"/>
        <v>#REF!</v>
      </c>
      <c r="BA10" s="30" t="e">
        <f t="shared" si="7"/>
        <v>#REF!</v>
      </c>
      <c r="BB10" s="30" t="e">
        <f t="shared" si="7"/>
        <v>#REF!</v>
      </c>
      <c r="BC10" s="30" t="e">
        <f t="shared" si="7"/>
        <v>#REF!</v>
      </c>
      <c r="BD10" s="30" t="e">
        <f t="shared" si="7"/>
        <v>#REF!</v>
      </c>
      <c r="BE10" s="30" t="e">
        <f t="shared" si="7"/>
        <v>#REF!</v>
      </c>
      <c r="BF10" s="30" t="e">
        <f t="shared" si="7"/>
        <v>#REF!</v>
      </c>
      <c r="BG10" s="30" t="e">
        <f t="shared" si="7"/>
        <v>#REF!</v>
      </c>
      <c r="BH10" s="30" t="e">
        <f t="shared" si="7"/>
        <v>#REF!</v>
      </c>
      <c r="BI10" s="50" t="e">
        <f t="shared" si="7"/>
        <v>#REF!</v>
      </c>
      <c r="BJ10" s="49" t="e">
        <f t="shared" ref="BJ10:BY10" si="8">AD10*$Z10*$D10/17</f>
        <v>#REF!</v>
      </c>
      <c r="BK10" s="30" t="e">
        <f t="shared" si="8"/>
        <v>#REF!</v>
      </c>
      <c r="BL10" s="30" t="e">
        <f t="shared" si="8"/>
        <v>#REF!</v>
      </c>
      <c r="BM10" s="30" t="e">
        <f t="shared" si="8"/>
        <v>#REF!</v>
      </c>
      <c r="BN10" s="30" t="e">
        <f t="shared" si="8"/>
        <v>#REF!</v>
      </c>
      <c r="BO10" s="30" t="e">
        <f t="shared" si="8"/>
        <v>#REF!</v>
      </c>
      <c r="BP10" s="30" t="e">
        <f t="shared" si="8"/>
        <v>#REF!</v>
      </c>
      <c r="BQ10" s="30" t="e">
        <f t="shared" si="8"/>
        <v>#REF!</v>
      </c>
      <c r="BR10" s="30" t="e">
        <f t="shared" si="8"/>
        <v>#REF!</v>
      </c>
      <c r="BS10" s="30" t="e">
        <f t="shared" si="8"/>
        <v>#REF!</v>
      </c>
      <c r="BT10" s="30" t="e">
        <f t="shared" si="8"/>
        <v>#REF!</v>
      </c>
      <c r="BU10" s="30" t="e">
        <f t="shared" si="8"/>
        <v>#REF!</v>
      </c>
      <c r="BV10" s="30" t="e">
        <f t="shared" si="8"/>
        <v>#REF!</v>
      </c>
      <c r="BW10" s="30" t="e">
        <f t="shared" si="8"/>
        <v>#REF!</v>
      </c>
      <c r="BX10" s="30" t="e">
        <f t="shared" si="8"/>
        <v>#REF!</v>
      </c>
      <c r="BY10" s="50" t="e">
        <f t="shared" si="8"/>
        <v>#REF!</v>
      </c>
      <c r="BZ10" s="49" t="e">
        <f t="shared" ref="BZ10:CO10" si="9">AD10*$Z10*$E10/17</f>
        <v>#REF!</v>
      </c>
      <c r="CA10" s="30" t="e">
        <f t="shared" si="9"/>
        <v>#REF!</v>
      </c>
      <c r="CB10" s="30" t="e">
        <f t="shared" si="9"/>
        <v>#REF!</v>
      </c>
      <c r="CC10" s="30" t="e">
        <f t="shared" si="9"/>
        <v>#REF!</v>
      </c>
      <c r="CD10" s="30" t="e">
        <f t="shared" si="9"/>
        <v>#REF!</v>
      </c>
      <c r="CE10" s="30" t="e">
        <f t="shared" si="9"/>
        <v>#REF!</v>
      </c>
      <c r="CF10" s="30" t="e">
        <f t="shared" si="9"/>
        <v>#REF!</v>
      </c>
      <c r="CG10" s="30" t="e">
        <f t="shared" si="9"/>
        <v>#REF!</v>
      </c>
      <c r="CH10" s="30" t="e">
        <f t="shared" si="9"/>
        <v>#REF!</v>
      </c>
      <c r="CI10" s="30" t="e">
        <f t="shared" si="9"/>
        <v>#REF!</v>
      </c>
      <c r="CJ10" s="30" t="e">
        <f t="shared" si="9"/>
        <v>#REF!</v>
      </c>
      <c r="CK10" s="30" t="e">
        <f t="shared" si="9"/>
        <v>#REF!</v>
      </c>
      <c r="CL10" s="30" t="e">
        <f t="shared" si="9"/>
        <v>#REF!</v>
      </c>
      <c r="CM10" s="30" t="e">
        <f t="shared" si="9"/>
        <v>#REF!</v>
      </c>
      <c r="CN10" s="30" t="e">
        <f t="shared" si="9"/>
        <v>#REF!</v>
      </c>
      <c r="CO10" s="50" t="e">
        <f t="shared" si="9"/>
        <v>#REF!</v>
      </c>
      <c r="CP10" s="1" t="e">
        <f>SUMIF(#REF!,Overview!$U10,#REF!)</f>
        <v>#REF!</v>
      </c>
      <c r="CQ10" s="1" t="e">
        <f>SUMIF(#REF!,Overview!$U10,#REF!)</f>
        <v>#REF!</v>
      </c>
      <c r="CR10" s="1" t="e">
        <f>SUMIF(#REF!,Overview!$U10,#REF!)</f>
        <v>#REF!</v>
      </c>
      <c r="CS10" s="1" t="e">
        <f>SUMIF(#REF!,Overview!$U10,#REF!)</f>
        <v>#REF!</v>
      </c>
      <c r="CT10" s="1" t="e">
        <f>SUMIF(#REF!,Overview!$U10,#REF!)</f>
        <v>#REF!</v>
      </c>
      <c r="CU10" s="1" t="e">
        <f>SUMIF(#REF!,Overview!$U10,#REF!)</f>
        <v>#REF!</v>
      </c>
      <c r="CV10" s="1" t="e">
        <f>SUMIF(#REF!,Overview!$U10,#REF!)</f>
        <v>#REF!</v>
      </c>
      <c r="CW10" s="1" t="e">
        <f>SUMIF(#REF!,Overview!$U10,#REF!)</f>
        <v>#REF!</v>
      </c>
      <c r="CX10" s="1" t="e">
        <f>SUMIF(#REF!,Overview!$U10,#REF!)</f>
        <v>#REF!</v>
      </c>
      <c r="CY10" s="1" t="e">
        <f>SUMIF(#REF!,Overview!$U10,#REF!)</f>
        <v>#REF!</v>
      </c>
      <c r="CZ10" s="1" t="e">
        <f>SUMIF(#REF!,Overview!$U10,#REF!)</f>
        <v>#REF!</v>
      </c>
      <c r="DA10" s="1" t="e">
        <f>SUMIF(#REF!,Overview!$U10,#REF!)</f>
        <v>#REF!</v>
      </c>
      <c r="DB10" s="1" t="e">
        <f>SUMIF(#REF!,Overview!$U10,#REF!)</f>
        <v>#REF!</v>
      </c>
      <c r="DC10" s="1" t="e">
        <f>SUMIF(#REF!,Overview!$U10,#REF!)</f>
        <v>#REF!</v>
      </c>
      <c r="DD10" s="1" t="e">
        <f>SUMIF(#REF!,Overview!$U10,#REF!)</f>
        <v>#REF!</v>
      </c>
      <c r="DE10" s="5" t="e">
        <f>SUMIF(#REF!,Overview!$U10,#REF!)</f>
        <v>#REF!</v>
      </c>
    </row>
    <row r="11" spans="1:109" ht="16" customHeight="1">
      <c r="A11" s="3"/>
      <c r="B11" s="111" t="s">
        <v>414</v>
      </c>
      <c r="E11" s="1"/>
      <c r="F11" s="5"/>
      <c r="I11" s="1"/>
      <c r="R11" s="36"/>
      <c r="X11" s="5"/>
      <c r="Y11" s="22"/>
      <c r="Z11" s="38"/>
      <c r="AA11" s="29"/>
      <c r="AB11" s="29"/>
      <c r="AC11" s="22"/>
      <c r="AD11" s="25"/>
      <c r="AE11" s="27"/>
      <c r="AK11" s="1" t="e">
        <f>SUMIF(#REF!,Overview!U11,#REF!)</f>
        <v>#REF!</v>
      </c>
      <c r="AL11" s="1" t="e">
        <f>SUMIF(#REF!,Overview!U11,#REF!)</f>
        <v>#REF!</v>
      </c>
      <c r="AS11" s="5"/>
      <c r="AT11" s="49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50"/>
      <c r="BJ11" s="49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50"/>
      <c r="BZ11" s="49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50"/>
    </row>
    <row r="12" spans="1:109" ht="16" customHeight="1">
      <c r="A12" s="3" t="s">
        <v>47</v>
      </c>
      <c r="B12" s="14" t="s">
        <v>48</v>
      </c>
      <c r="C12" s="4">
        <v>2.313180616764692E-5</v>
      </c>
      <c r="D12" s="1">
        <v>3.3979215358144001E-6</v>
      </c>
      <c r="E12" s="1">
        <v>8.0582741523256154E-6</v>
      </c>
      <c r="F12">
        <v>4.9007100259151333</v>
      </c>
      <c r="G12" s="4">
        <v>8.2304000679709957E-3</v>
      </c>
      <c r="H12" s="1">
        <v>3.348039177901612E-4</v>
      </c>
      <c r="I12" s="1">
        <v>3.8898560945798111E-3</v>
      </c>
      <c r="J12">
        <v>16232.87756873591</v>
      </c>
      <c r="K12" s="4" t="s">
        <v>17</v>
      </c>
      <c r="L12" s="1" t="s">
        <v>49</v>
      </c>
      <c r="M12" s="1" t="s">
        <v>50</v>
      </c>
      <c r="N12" s="11" t="s">
        <v>51</v>
      </c>
      <c r="O12" s="1" t="s">
        <v>52</v>
      </c>
      <c r="P12" s="1" t="s">
        <v>45</v>
      </c>
      <c r="Q12" s="1" t="s">
        <v>53</v>
      </c>
      <c r="R12" s="36" t="s">
        <v>272</v>
      </c>
      <c r="S12" s="24" t="s">
        <v>24</v>
      </c>
      <c r="T12" s="1" t="s">
        <v>24</v>
      </c>
      <c r="U12" s="4" t="s">
        <v>49</v>
      </c>
      <c r="V12" s="1" t="s">
        <v>50</v>
      </c>
      <c r="W12" s="5" t="s">
        <v>51</v>
      </c>
      <c r="X12" s="5" t="s">
        <v>37</v>
      </c>
      <c r="Y12" s="22" t="s">
        <v>218</v>
      </c>
      <c r="Z12" s="38">
        <v>100000</v>
      </c>
      <c r="AA12" s="29"/>
      <c r="AB12" s="215"/>
      <c r="AC12" s="22"/>
      <c r="AD12" s="25" t="e">
        <f>SUMIF(#REF!,Overview!U12,#REF!)</f>
        <v>#REF!</v>
      </c>
      <c r="AE12" s="27" t="e">
        <f>SUMIF(#REF!,Overview!U12,#REF!)</f>
        <v>#REF!</v>
      </c>
      <c r="AF12" s="1" t="e">
        <f>SUMIF(#REF!,Overview!U12,#REF!)</f>
        <v>#REF!</v>
      </c>
      <c r="AG12" s="1" t="e">
        <f>SUMIF(#REF!,Overview!U12,#REF!)</f>
        <v>#REF!</v>
      </c>
      <c r="AH12" s="1" t="e">
        <f>SUMIF(#REF!,Overview!U12,#REF!)</f>
        <v>#REF!</v>
      </c>
      <c r="AI12" s="1" t="e">
        <f>SUMIF(#REF!,Overview!U12,#REF!)</f>
        <v>#REF!</v>
      </c>
      <c r="AJ12" s="1" t="e">
        <f>SUMIF(#REF!,Overview!U12,#REF!)</f>
        <v>#REF!</v>
      </c>
      <c r="AK12" s="1" t="e">
        <f>SUMIF(#REF!,Overview!U12,#REF!)</f>
        <v>#REF!</v>
      </c>
      <c r="AL12" s="1" t="e">
        <f>SUMIF(#REF!,Overview!U12,#REF!)</f>
        <v>#REF!</v>
      </c>
      <c r="AM12" s="1" t="e">
        <f>SUMIF(#REF!,Overview!U12,#REF!)</f>
        <v>#REF!</v>
      </c>
      <c r="AN12" s="1" t="e">
        <f>SUMIF(#REF!,Overview!U12,#REF!)</f>
        <v>#REF!</v>
      </c>
      <c r="AO12" s="1" t="e">
        <f>SUMIF(#REF!,Overview!U12,#REF!)</f>
        <v>#REF!</v>
      </c>
      <c r="AP12" s="1" t="e">
        <f>SUMIF(#REF!,Overview!U12,#REF!)</f>
        <v>#REF!</v>
      </c>
      <c r="AQ12" s="1" t="e">
        <f>SUMIF(#REF!,Overview!U12,#REF!)</f>
        <v>#REF!</v>
      </c>
      <c r="AR12" s="1" t="e">
        <f>SUMIF(#REF!,Overview!U12,#REF!)</f>
        <v>#REF!</v>
      </c>
      <c r="AS12" s="5" t="e">
        <f>SUMIF(#REF!,Overview!U12,#REF!)</f>
        <v>#REF!</v>
      </c>
      <c r="AT12" s="49" t="e">
        <f t="shared" ref="AT12:BI13" si="10">AD12*$Z12*$C12/20</f>
        <v>#REF!</v>
      </c>
      <c r="AU12" s="30" t="e">
        <f t="shared" si="10"/>
        <v>#REF!</v>
      </c>
      <c r="AV12" s="30" t="e">
        <f t="shared" si="10"/>
        <v>#REF!</v>
      </c>
      <c r="AW12" s="30" t="e">
        <f t="shared" si="10"/>
        <v>#REF!</v>
      </c>
      <c r="AX12" s="30" t="e">
        <f t="shared" si="10"/>
        <v>#REF!</v>
      </c>
      <c r="AY12" s="30" t="e">
        <f t="shared" si="10"/>
        <v>#REF!</v>
      </c>
      <c r="AZ12" s="30" t="e">
        <f t="shared" si="10"/>
        <v>#REF!</v>
      </c>
      <c r="BA12" s="30" t="e">
        <f t="shared" si="10"/>
        <v>#REF!</v>
      </c>
      <c r="BB12" s="30" t="e">
        <f t="shared" si="10"/>
        <v>#REF!</v>
      </c>
      <c r="BC12" s="30" t="e">
        <f t="shared" si="10"/>
        <v>#REF!</v>
      </c>
      <c r="BD12" s="30" t="e">
        <f t="shared" si="10"/>
        <v>#REF!</v>
      </c>
      <c r="BE12" s="30" t="e">
        <f t="shared" si="10"/>
        <v>#REF!</v>
      </c>
      <c r="BF12" s="30" t="e">
        <f t="shared" si="10"/>
        <v>#REF!</v>
      </c>
      <c r="BG12" s="30" t="e">
        <f t="shared" si="10"/>
        <v>#REF!</v>
      </c>
      <c r="BH12" s="30" t="e">
        <f t="shared" si="10"/>
        <v>#REF!</v>
      </c>
      <c r="BI12" s="50" t="e">
        <f t="shared" si="10"/>
        <v>#REF!</v>
      </c>
      <c r="BJ12" s="49" t="e">
        <f t="shared" ref="BJ12:BY12" si="11">AD12*$Z12*$D12/20</f>
        <v>#REF!</v>
      </c>
      <c r="BK12" s="30" t="e">
        <f t="shared" si="11"/>
        <v>#REF!</v>
      </c>
      <c r="BL12" s="30" t="e">
        <f t="shared" si="11"/>
        <v>#REF!</v>
      </c>
      <c r="BM12" s="30" t="e">
        <f t="shared" si="11"/>
        <v>#REF!</v>
      </c>
      <c r="BN12" s="30" t="e">
        <f t="shared" si="11"/>
        <v>#REF!</v>
      </c>
      <c r="BO12" s="30" t="e">
        <f t="shared" si="11"/>
        <v>#REF!</v>
      </c>
      <c r="BP12" s="30" t="e">
        <f t="shared" si="11"/>
        <v>#REF!</v>
      </c>
      <c r="BQ12" s="30" t="e">
        <f t="shared" si="11"/>
        <v>#REF!</v>
      </c>
      <c r="BR12" s="30" t="e">
        <f t="shared" si="11"/>
        <v>#REF!</v>
      </c>
      <c r="BS12" s="30" t="e">
        <f t="shared" si="11"/>
        <v>#REF!</v>
      </c>
      <c r="BT12" s="30" t="e">
        <f t="shared" si="11"/>
        <v>#REF!</v>
      </c>
      <c r="BU12" s="30" t="e">
        <f t="shared" si="11"/>
        <v>#REF!</v>
      </c>
      <c r="BV12" s="30" t="e">
        <f t="shared" si="11"/>
        <v>#REF!</v>
      </c>
      <c r="BW12" s="30" t="e">
        <f t="shared" si="11"/>
        <v>#REF!</v>
      </c>
      <c r="BX12" s="30" t="e">
        <f t="shared" si="11"/>
        <v>#REF!</v>
      </c>
      <c r="BY12" s="50" t="e">
        <f t="shared" si="11"/>
        <v>#REF!</v>
      </c>
      <c r="BZ12" s="49" t="e">
        <f t="shared" ref="BZ12:CO12" si="12">AD12*$Z12*$E12/20</f>
        <v>#REF!</v>
      </c>
      <c r="CA12" s="30" t="e">
        <f t="shared" si="12"/>
        <v>#REF!</v>
      </c>
      <c r="CB12" s="30" t="e">
        <f t="shared" si="12"/>
        <v>#REF!</v>
      </c>
      <c r="CC12" s="30" t="e">
        <f t="shared" si="12"/>
        <v>#REF!</v>
      </c>
      <c r="CD12" s="30" t="e">
        <f t="shared" si="12"/>
        <v>#REF!</v>
      </c>
      <c r="CE12" s="30" t="e">
        <f t="shared" si="12"/>
        <v>#REF!</v>
      </c>
      <c r="CF12" s="30" t="e">
        <f t="shared" si="12"/>
        <v>#REF!</v>
      </c>
      <c r="CG12" s="30" t="e">
        <f t="shared" si="12"/>
        <v>#REF!</v>
      </c>
      <c r="CH12" s="30" t="e">
        <f t="shared" si="12"/>
        <v>#REF!</v>
      </c>
      <c r="CI12" s="30" t="e">
        <f t="shared" si="12"/>
        <v>#REF!</v>
      </c>
      <c r="CJ12" s="30" t="e">
        <f t="shared" si="12"/>
        <v>#REF!</v>
      </c>
      <c r="CK12" s="30" t="e">
        <f t="shared" si="12"/>
        <v>#REF!</v>
      </c>
      <c r="CL12" s="30" t="e">
        <f t="shared" si="12"/>
        <v>#REF!</v>
      </c>
      <c r="CM12" s="30" t="e">
        <f t="shared" si="12"/>
        <v>#REF!</v>
      </c>
      <c r="CN12" s="30" t="e">
        <f t="shared" si="12"/>
        <v>#REF!</v>
      </c>
      <c r="CO12" s="50" t="e">
        <f t="shared" si="12"/>
        <v>#REF!</v>
      </c>
      <c r="CP12" s="1" t="e">
        <f>SUMIF(#REF!,Overview!$U12,#REF!)</f>
        <v>#REF!</v>
      </c>
      <c r="CQ12" s="1" t="e">
        <f>SUMIF(#REF!,Overview!$U12,#REF!)</f>
        <v>#REF!</v>
      </c>
      <c r="CR12" s="1" t="e">
        <f>SUMIF(#REF!,Overview!$U12,#REF!)</f>
        <v>#REF!</v>
      </c>
      <c r="CS12" s="1" t="e">
        <f>SUMIF(#REF!,Overview!$U12,#REF!)</f>
        <v>#REF!</v>
      </c>
      <c r="CT12" s="1" t="e">
        <f>SUMIF(#REF!,Overview!$U12,#REF!)</f>
        <v>#REF!</v>
      </c>
      <c r="CU12" s="1" t="e">
        <f>SUMIF(#REF!,Overview!$U12,#REF!)</f>
        <v>#REF!</v>
      </c>
      <c r="CV12" s="1" t="e">
        <f>SUMIF(#REF!,Overview!$U12,#REF!)</f>
        <v>#REF!</v>
      </c>
      <c r="CW12" s="1" t="e">
        <f>SUMIF(#REF!,Overview!$U12,#REF!)</f>
        <v>#REF!</v>
      </c>
      <c r="CX12" s="1" t="e">
        <f>SUMIF(#REF!,Overview!$U12,#REF!)</f>
        <v>#REF!</v>
      </c>
      <c r="CY12" s="1" t="e">
        <f>SUMIF(#REF!,Overview!$U12,#REF!)</f>
        <v>#REF!</v>
      </c>
      <c r="CZ12" s="1" t="e">
        <f>SUMIF(#REF!,Overview!$U12,#REF!)</f>
        <v>#REF!</v>
      </c>
      <c r="DA12" s="1" t="e">
        <f>SUMIF(#REF!,Overview!$U12,#REF!)</f>
        <v>#REF!</v>
      </c>
      <c r="DB12" s="1" t="e">
        <f>SUMIF(#REF!,Overview!$U12,#REF!)</f>
        <v>#REF!</v>
      </c>
      <c r="DC12" s="1" t="e">
        <f>SUMIF(#REF!,Overview!$U12,#REF!)</f>
        <v>#REF!</v>
      </c>
      <c r="DD12" s="1" t="e">
        <f>SUMIF(#REF!,Overview!$U12,#REF!)</f>
        <v>#REF!</v>
      </c>
      <c r="DE12" s="5" t="e">
        <f>SUMIF(#REF!,Overview!$U12,#REF!)</f>
        <v>#REF!</v>
      </c>
    </row>
    <row r="13" spans="1:109" ht="16" customHeight="1">
      <c r="A13" s="3" t="s">
        <v>351</v>
      </c>
      <c r="B13" s="14" t="s">
        <v>352</v>
      </c>
      <c r="C13" s="4">
        <v>0.64918926947473365</v>
      </c>
      <c r="D13" s="1">
        <v>0.64917135784942404</v>
      </c>
      <c r="E13" s="1">
        <v>0.64917703956610506</v>
      </c>
      <c r="F13">
        <v>0.64921823111594479</v>
      </c>
      <c r="G13" s="4">
        <v>5702.3029366714118</v>
      </c>
      <c r="H13" s="1">
        <v>5702.297403904372</v>
      </c>
      <c r="I13" s="1">
        <v>5702.2972731542159</v>
      </c>
      <c r="J13">
        <v>5702.3223926927103</v>
      </c>
      <c r="K13" s="4" t="s">
        <v>17</v>
      </c>
      <c r="L13" s="1" t="s">
        <v>49</v>
      </c>
      <c r="M13" s="1" t="s">
        <v>50</v>
      </c>
      <c r="N13" s="11" t="s">
        <v>51</v>
      </c>
      <c r="O13" s="1" t="s">
        <v>52</v>
      </c>
      <c r="P13" s="1" t="s">
        <v>45</v>
      </c>
      <c r="Q13" s="1" t="s">
        <v>353</v>
      </c>
      <c r="R13" s="36" t="s">
        <v>272</v>
      </c>
      <c r="S13" s="24" t="s">
        <v>24</v>
      </c>
      <c r="T13" s="1" t="s">
        <v>24</v>
      </c>
      <c r="U13" s="4" t="s">
        <v>49</v>
      </c>
      <c r="V13" s="1" t="s">
        <v>50</v>
      </c>
      <c r="W13" s="5" t="s">
        <v>51</v>
      </c>
      <c r="X13" s="5" t="s">
        <v>37</v>
      </c>
      <c r="Y13" s="22" t="s">
        <v>218</v>
      </c>
      <c r="Z13" s="38">
        <v>100000</v>
      </c>
      <c r="AA13" s="29"/>
      <c r="AB13" s="29"/>
      <c r="AC13" s="22"/>
      <c r="AD13" s="25" t="e">
        <f>SUMIF(#REF!,Overview!U13,#REF!)</f>
        <v>#REF!</v>
      </c>
      <c r="AE13" s="27" t="e">
        <f>SUMIF(#REF!,Overview!U13,#REF!)</f>
        <v>#REF!</v>
      </c>
      <c r="AF13" s="1" t="e">
        <f>SUMIF(#REF!,Overview!U13,#REF!)</f>
        <v>#REF!</v>
      </c>
      <c r="AG13" s="1" t="e">
        <f>SUMIF(#REF!,Overview!U13,#REF!)</f>
        <v>#REF!</v>
      </c>
      <c r="AH13" s="1" t="e">
        <f>SUMIF(#REF!,Overview!U13,#REF!)</f>
        <v>#REF!</v>
      </c>
      <c r="AI13" s="1" t="e">
        <f>SUMIF(#REF!,Overview!U13,#REF!)</f>
        <v>#REF!</v>
      </c>
      <c r="AJ13" s="1" t="e">
        <f>SUMIF(#REF!,Overview!U13,#REF!)</f>
        <v>#REF!</v>
      </c>
      <c r="AK13" s="1" t="e">
        <f>SUMIF(#REF!,Overview!U13,#REF!)</f>
        <v>#REF!</v>
      </c>
      <c r="AL13" s="1" t="e">
        <f>SUMIF(#REF!,Overview!U13,#REF!)</f>
        <v>#REF!</v>
      </c>
      <c r="AM13" s="1" t="e">
        <f>SUMIF(#REF!,Overview!U13,#REF!)</f>
        <v>#REF!</v>
      </c>
      <c r="AN13" s="1" t="e">
        <f>SUMIF(#REF!,Overview!U13,#REF!)</f>
        <v>#REF!</v>
      </c>
      <c r="AO13" s="1" t="e">
        <f>SUMIF(#REF!,Overview!U13,#REF!)</f>
        <v>#REF!</v>
      </c>
      <c r="AP13" s="1" t="e">
        <f>SUMIF(#REF!,Overview!U13,#REF!)</f>
        <v>#REF!</v>
      </c>
      <c r="AQ13" s="1" t="e">
        <f>SUMIF(#REF!,Overview!U13,#REF!)</f>
        <v>#REF!</v>
      </c>
      <c r="AR13" s="1" t="e">
        <f>SUMIF(#REF!,Overview!U13,#REF!)</f>
        <v>#REF!</v>
      </c>
      <c r="AS13" s="5" t="e">
        <f>SUMIF(#REF!,Overview!U13,#REF!)</f>
        <v>#REF!</v>
      </c>
      <c r="AT13" s="49" t="e">
        <f t="shared" si="10"/>
        <v>#REF!</v>
      </c>
      <c r="AU13" s="30" t="e">
        <f t="shared" si="10"/>
        <v>#REF!</v>
      </c>
      <c r="AV13" s="30" t="e">
        <f t="shared" si="10"/>
        <v>#REF!</v>
      </c>
      <c r="AW13" s="30" t="e">
        <f t="shared" si="10"/>
        <v>#REF!</v>
      </c>
      <c r="AX13" s="30" t="e">
        <f t="shared" si="10"/>
        <v>#REF!</v>
      </c>
      <c r="AY13" s="30" t="e">
        <f t="shared" si="10"/>
        <v>#REF!</v>
      </c>
      <c r="AZ13" s="30" t="e">
        <f t="shared" si="10"/>
        <v>#REF!</v>
      </c>
      <c r="BA13" s="30" t="e">
        <f t="shared" si="10"/>
        <v>#REF!</v>
      </c>
      <c r="BB13" s="30" t="e">
        <f t="shared" si="10"/>
        <v>#REF!</v>
      </c>
      <c r="BC13" s="30" t="e">
        <f t="shared" si="10"/>
        <v>#REF!</v>
      </c>
      <c r="BD13" s="30" t="e">
        <f t="shared" si="10"/>
        <v>#REF!</v>
      </c>
      <c r="BE13" s="30" t="e">
        <f t="shared" si="10"/>
        <v>#REF!</v>
      </c>
      <c r="BF13" s="30" t="e">
        <f t="shared" si="10"/>
        <v>#REF!</v>
      </c>
      <c r="BG13" s="30" t="e">
        <f t="shared" si="10"/>
        <v>#REF!</v>
      </c>
      <c r="BH13" s="30" t="e">
        <f t="shared" si="10"/>
        <v>#REF!</v>
      </c>
      <c r="BI13" s="50" t="e">
        <f t="shared" si="10"/>
        <v>#REF!</v>
      </c>
      <c r="BJ13" s="49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50"/>
      <c r="BZ13" s="49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50"/>
      <c r="CP13" s="1" t="e">
        <f>SUMIF(#REF!,Overview!$U13,#REF!)</f>
        <v>#REF!</v>
      </c>
      <c r="CQ13" s="1" t="e">
        <f>SUMIF(#REF!,Overview!$U13,#REF!)</f>
        <v>#REF!</v>
      </c>
      <c r="CR13" s="1" t="e">
        <f>SUMIF(#REF!,Overview!$U13,#REF!)</f>
        <v>#REF!</v>
      </c>
      <c r="CS13" s="1" t="e">
        <f>SUMIF(#REF!,Overview!$U13,#REF!)</f>
        <v>#REF!</v>
      </c>
      <c r="CT13" s="1" t="e">
        <f>SUMIF(#REF!,Overview!$U13,#REF!)</f>
        <v>#REF!</v>
      </c>
      <c r="CU13" s="1" t="e">
        <f>SUMIF(#REF!,Overview!$U13,#REF!)</f>
        <v>#REF!</v>
      </c>
      <c r="CV13" s="1" t="e">
        <f>SUMIF(#REF!,Overview!$U13,#REF!)</f>
        <v>#REF!</v>
      </c>
      <c r="CW13" s="1" t="e">
        <f>SUMIF(#REF!,Overview!$U13,#REF!)</f>
        <v>#REF!</v>
      </c>
      <c r="CX13" s="1" t="e">
        <f>SUMIF(#REF!,Overview!$U13,#REF!)</f>
        <v>#REF!</v>
      </c>
      <c r="CY13" s="1" t="e">
        <f>SUMIF(#REF!,Overview!$U13,#REF!)</f>
        <v>#REF!</v>
      </c>
      <c r="CZ13" s="1" t="e">
        <f>SUMIF(#REF!,Overview!$U13,#REF!)</f>
        <v>#REF!</v>
      </c>
      <c r="DA13" s="1" t="e">
        <f>SUMIF(#REF!,Overview!$U13,#REF!)</f>
        <v>#REF!</v>
      </c>
      <c r="DB13" s="1" t="e">
        <f>SUMIF(#REF!,Overview!$U13,#REF!)</f>
        <v>#REF!</v>
      </c>
      <c r="DC13" s="1" t="e">
        <f>SUMIF(#REF!,Overview!$U13,#REF!)</f>
        <v>#REF!</v>
      </c>
      <c r="DD13" s="1" t="e">
        <f>SUMIF(#REF!,Overview!$U13,#REF!)</f>
        <v>#REF!</v>
      </c>
      <c r="DE13" s="5" t="e">
        <f>SUMIF(#REF!,Overview!$U13,#REF!)</f>
        <v>#REF!</v>
      </c>
    </row>
    <row r="14" spans="1:109" ht="16" customHeight="1">
      <c r="A14" s="3"/>
      <c r="B14" s="111" t="s">
        <v>403</v>
      </c>
      <c r="E14" s="1"/>
      <c r="F14" s="5"/>
      <c r="I14" s="1"/>
      <c r="R14" s="36"/>
      <c r="S14" s="150" t="s">
        <v>402</v>
      </c>
      <c r="U14" s="4" t="s">
        <v>407</v>
      </c>
      <c r="V14" s="1" t="s">
        <v>410</v>
      </c>
      <c r="W14" s="5" t="s">
        <v>344</v>
      </c>
      <c r="X14" s="5" t="s">
        <v>37</v>
      </c>
      <c r="Y14" s="22" t="s">
        <v>411</v>
      </c>
      <c r="Z14" s="156">
        <f>3.6*1000000</f>
        <v>3600000</v>
      </c>
      <c r="AA14" s="29"/>
      <c r="AB14" s="29"/>
      <c r="AC14" s="22" t="s">
        <v>412</v>
      </c>
      <c r="AD14" s="25" t="e">
        <f>SUMIF(#REF!,Overview!U14,#REF!)</f>
        <v>#REF!</v>
      </c>
      <c r="AE14" s="27" t="e">
        <f>SUMIF(#REF!,Overview!U14,#REF!)</f>
        <v>#REF!</v>
      </c>
      <c r="AF14" s="1" t="e">
        <f>SUMIF(#REF!,Overview!U14,#REF!)</f>
        <v>#REF!</v>
      </c>
      <c r="AG14" s="1" t="e">
        <f>SUMIF(#REF!,Overview!U14,#REF!)</f>
        <v>#REF!</v>
      </c>
      <c r="AH14" s="1" t="e">
        <f>SUMIF(#REF!,Overview!U14,#REF!)</f>
        <v>#REF!</v>
      </c>
      <c r="AI14" s="1" t="e">
        <f>SUMIF(#REF!,Overview!U14,#REF!)</f>
        <v>#REF!</v>
      </c>
      <c r="AJ14" s="1" t="e">
        <f>SUMIF(#REF!,Overview!U14,#REF!)</f>
        <v>#REF!</v>
      </c>
      <c r="AK14" s="1" t="e">
        <f>SUMIF(#REF!,Overview!U14,#REF!)</f>
        <v>#REF!</v>
      </c>
      <c r="AL14" s="1" t="e">
        <f>SUMIF(#REF!,Overview!U14,#REF!)</f>
        <v>#REF!</v>
      </c>
      <c r="AM14" s="1" t="e">
        <f>SUMIF(#REF!,Overview!U14,#REF!)</f>
        <v>#REF!</v>
      </c>
      <c r="AN14" s="1" t="e">
        <f>SUMIF(#REF!,Overview!U14,#REF!)</f>
        <v>#REF!</v>
      </c>
      <c r="AO14" s="1" t="e">
        <f>SUMIF(#REF!,Overview!U14,#REF!)</f>
        <v>#REF!</v>
      </c>
      <c r="AP14" s="1" t="e">
        <f>SUMIF(#REF!,Overview!U14,#REF!)</f>
        <v>#REF!</v>
      </c>
      <c r="AQ14" s="1" t="e">
        <f>SUMIF(#REF!,Overview!U14,#REF!)</f>
        <v>#REF!</v>
      </c>
      <c r="AR14" s="1" t="e">
        <f>SUMIF(#REF!,Overview!U14,#REF!)</f>
        <v>#REF!</v>
      </c>
      <c r="AS14" s="5" t="e">
        <f>SUMIF(#REF!,Overview!U14,#REF!)</f>
        <v>#REF!</v>
      </c>
      <c r="AT14" s="49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50"/>
      <c r="BJ14" s="49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50"/>
      <c r="BZ14" s="49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50"/>
      <c r="CP14" s="1" t="e">
        <f>SUMIF(#REF!,Overview!$U14,#REF!)</f>
        <v>#REF!</v>
      </c>
      <c r="CQ14" s="1" t="e">
        <f>SUMIF(#REF!,Overview!$U14,#REF!)</f>
        <v>#REF!</v>
      </c>
      <c r="CR14" s="1" t="e">
        <f>SUMIF(#REF!,Overview!$U14,#REF!)</f>
        <v>#REF!</v>
      </c>
      <c r="CS14" s="1" t="e">
        <f>SUMIF(#REF!,Overview!$U14,#REF!)</f>
        <v>#REF!</v>
      </c>
      <c r="CT14" s="1" t="e">
        <f>SUMIF(#REF!,Overview!$U14,#REF!)</f>
        <v>#REF!</v>
      </c>
      <c r="CU14" s="1" t="e">
        <f>SUMIF(#REF!,Overview!$U14,#REF!)</f>
        <v>#REF!</v>
      </c>
      <c r="CV14" s="1" t="e">
        <f>SUMIF(#REF!,Overview!$U14,#REF!)</f>
        <v>#REF!</v>
      </c>
      <c r="CW14" s="1" t="e">
        <f>SUMIF(#REF!,Overview!$U14,#REF!)</f>
        <v>#REF!</v>
      </c>
      <c r="CX14" s="1" t="e">
        <f>SUMIF(#REF!,Overview!$U14,#REF!)</f>
        <v>#REF!</v>
      </c>
      <c r="CY14" s="1" t="e">
        <f>SUMIF(#REF!,Overview!$U14,#REF!)</f>
        <v>#REF!</v>
      </c>
      <c r="CZ14" s="1" t="e">
        <f>SUMIF(#REF!,Overview!$U14,#REF!)</f>
        <v>#REF!</v>
      </c>
      <c r="DA14" s="1" t="e">
        <f>SUMIF(#REF!,Overview!$U14,#REF!)</f>
        <v>#REF!</v>
      </c>
      <c r="DB14" s="1" t="e">
        <f>SUMIF(#REF!,Overview!$U14,#REF!)</f>
        <v>#REF!</v>
      </c>
      <c r="DC14" s="1" t="e">
        <f>SUMIF(#REF!,Overview!$U14,#REF!)</f>
        <v>#REF!</v>
      </c>
      <c r="DD14" s="1" t="e">
        <f>SUMIF(#REF!,Overview!$U14,#REF!)</f>
        <v>#REF!</v>
      </c>
      <c r="DE14" s="5" t="e">
        <f>SUMIF(#REF!,Overview!$U14,#REF!)</f>
        <v>#REF!</v>
      </c>
    </row>
    <row r="15" spans="1:109" ht="16" customHeight="1">
      <c r="A15" s="3"/>
      <c r="B15" s="111" t="s">
        <v>404</v>
      </c>
      <c r="E15" s="1"/>
      <c r="F15" s="5"/>
      <c r="I15" s="1"/>
      <c r="R15" s="36"/>
      <c r="S15" s="150" t="s">
        <v>405</v>
      </c>
      <c r="U15" s="4" t="s">
        <v>408</v>
      </c>
      <c r="V15" s="1" t="s">
        <v>409</v>
      </c>
      <c r="W15" s="5" t="s">
        <v>344</v>
      </c>
      <c r="X15" s="5" t="s">
        <v>37</v>
      </c>
      <c r="Y15" s="22" t="s">
        <v>411</v>
      </c>
      <c r="Z15" s="156">
        <f>3.6*1000000</f>
        <v>3600000</v>
      </c>
      <c r="AA15" s="29"/>
      <c r="AB15" s="215"/>
      <c r="AC15" s="22" t="s">
        <v>412</v>
      </c>
      <c r="AD15" s="25" t="e">
        <f>SUMIF(#REF!,Overview!U15,#REF!)</f>
        <v>#REF!</v>
      </c>
      <c r="AE15" s="27" t="e">
        <f>SUMIF(#REF!,Overview!U15,#REF!)</f>
        <v>#REF!</v>
      </c>
      <c r="AF15" s="1" t="e">
        <f>SUMIF(#REF!,Overview!U15,#REF!)</f>
        <v>#REF!</v>
      </c>
      <c r="AG15" s="1" t="e">
        <f>SUMIF(#REF!,Overview!U15,#REF!)</f>
        <v>#REF!</v>
      </c>
      <c r="AH15" s="1" t="e">
        <f>SUMIF(#REF!,Overview!U15,#REF!)</f>
        <v>#REF!</v>
      </c>
      <c r="AI15" s="1" t="e">
        <f>SUMIF(#REF!,Overview!U15,#REF!)</f>
        <v>#REF!</v>
      </c>
      <c r="AJ15" s="1" t="e">
        <f>SUMIF(#REF!,Overview!U15,#REF!)</f>
        <v>#REF!</v>
      </c>
      <c r="AK15" s="1" t="e">
        <f>SUMIF(#REF!,Overview!U15,#REF!)</f>
        <v>#REF!</v>
      </c>
      <c r="AL15" s="1" t="e">
        <f>SUMIF(#REF!,Overview!U15,#REF!)</f>
        <v>#REF!</v>
      </c>
      <c r="AM15" s="1" t="e">
        <f>SUMIF(#REF!,Overview!U15,#REF!)</f>
        <v>#REF!</v>
      </c>
      <c r="AN15" s="1" t="e">
        <f>SUMIF(#REF!,Overview!U15,#REF!)</f>
        <v>#REF!</v>
      </c>
      <c r="AO15" s="1" t="e">
        <f>SUMIF(#REF!,Overview!U15,#REF!)</f>
        <v>#REF!</v>
      </c>
      <c r="AP15" s="1" t="e">
        <f>SUMIF(#REF!,Overview!U15,#REF!)</f>
        <v>#REF!</v>
      </c>
      <c r="AQ15" s="1" t="e">
        <f>SUMIF(#REF!,Overview!U15,#REF!)</f>
        <v>#REF!</v>
      </c>
      <c r="AR15" s="1" t="e">
        <f>SUMIF(#REF!,Overview!U15,#REF!)</f>
        <v>#REF!</v>
      </c>
      <c r="AS15" s="5" t="e">
        <f>SUMIF(#REF!,Overview!U15,#REF!)</f>
        <v>#REF!</v>
      </c>
      <c r="AT15" s="49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50"/>
      <c r="BJ15" s="49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50"/>
      <c r="BZ15" s="49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50"/>
      <c r="CP15" s="1" t="e">
        <f>SUMIF(#REF!,Overview!$U15,#REF!)</f>
        <v>#REF!</v>
      </c>
      <c r="CQ15" s="1" t="e">
        <f>SUMIF(#REF!,Overview!$U15,#REF!)</f>
        <v>#REF!</v>
      </c>
      <c r="CR15" s="1" t="e">
        <f>SUMIF(#REF!,Overview!$U15,#REF!)</f>
        <v>#REF!</v>
      </c>
      <c r="CS15" s="1" t="e">
        <f>SUMIF(#REF!,Overview!$U15,#REF!)</f>
        <v>#REF!</v>
      </c>
      <c r="CT15" s="1" t="e">
        <f>SUMIF(#REF!,Overview!$U15,#REF!)</f>
        <v>#REF!</v>
      </c>
      <c r="CU15" s="1" t="e">
        <f>SUMIF(#REF!,Overview!$U15,#REF!)</f>
        <v>#REF!</v>
      </c>
      <c r="CV15" s="1" t="e">
        <f>SUMIF(#REF!,Overview!$U15,#REF!)</f>
        <v>#REF!</v>
      </c>
      <c r="CW15" s="1" t="e">
        <f>SUMIF(#REF!,Overview!$U15,#REF!)</f>
        <v>#REF!</v>
      </c>
      <c r="CX15" s="1" t="e">
        <f>SUMIF(#REF!,Overview!$U15,#REF!)</f>
        <v>#REF!</v>
      </c>
      <c r="CY15" s="1" t="e">
        <f>SUMIF(#REF!,Overview!$U15,#REF!)</f>
        <v>#REF!</v>
      </c>
      <c r="CZ15" s="1" t="e">
        <f>SUMIF(#REF!,Overview!$U15,#REF!)</f>
        <v>#REF!</v>
      </c>
      <c r="DA15" s="1" t="e">
        <f>SUMIF(#REF!,Overview!$U15,#REF!)</f>
        <v>#REF!</v>
      </c>
      <c r="DB15" s="1" t="e">
        <f>SUMIF(#REF!,Overview!$U15,#REF!)</f>
        <v>#REF!</v>
      </c>
      <c r="DC15" s="1" t="e">
        <f>SUMIF(#REF!,Overview!$U15,#REF!)</f>
        <v>#REF!</v>
      </c>
      <c r="DD15" s="1" t="e">
        <f>SUMIF(#REF!,Overview!$U15,#REF!)</f>
        <v>#REF!</v>
      </c>
      <c r="DE15" s="5" t="e">
        <f>SUMIF(#REF!,Overview!$U15,#REF!)</f>
        <v>#REF!</v>
      </c>
    </row>
    <row r="16" spans="1:109" ht="87">
      <c r="A16" s="3" t="s">
        <v>54</v>
      </c>
      <c r="B16" s="14" t="s">
        <v>400</v>
      </c>
      <c r="C16" s="4">
        <v>0</v>
      </c>
      <c r="D16" s="1">
        <v>0</v>
      </c>
      <c r="E16" s="1">
        <v>1.381501867391937</v>
      </c>
      <c r="F16" s="5">
        <v>0</v>
      </c>
      <c r="G16" s="4">
        <v>0</v>
      </c>
      <c r="H16" s="1">
        <v>1.700172428631236E-3</v>
      </c>
      <c r="I16" s="1">
        <v>4279.3328907728146</v>
      </c>
      <c r="J16" s="5">
        <v>0</v>
      </c>
      <c r="K16" s="4" t="s">
        <v>17</v>
      </c>
      <c r="L16" s="1" t="s">
        <v>55</v>
      </c>
      <c r="M16" s="1" t="s">
        <v>56</v>
      </c>
      <c r="N16" s="11" t="s">
        <v>57</v>
      </c>
      <c r="O16" s="1" t="s">
        <v>58</v>
      </c>
      <c r="P16" s="1" t="s">
        <v>30</v>
      </c>
      <c r="Q16" s="1" t="s">
        <v>23</v>
      </c>
      <c r="R16" s="36" t="s">
        <v>294</v>
      </c>
      <c r="S16" s="24" t="s">
        <v>542</v>
      </c>
      <c r="T16" s="246" t="s">
        <v>60</v>
      </c>
      <c r="U16" s="4" t="s">
        <v>440</v>
      </c>
      <c r="V16" s="1" t="s">
        <v>56</v>
      </c>
      <c r="W16" s="5" t="s">
        <v>57</v>
      </c>
      <c r="X16" s="5" t="s">
        <v>37</v>
      </c>
      <c r="Y16" s="22" t="s">
        <v>211</v>
      </c>
      <c r="Z16" s="17">
        <v>1000000</v>
      </c>
      <c r="AA16" s="29"/>
      <c r="AB16" s="29"/>
      <c r="AC16" s="22" t="s">
        <v>282</v>
      </c>
      <c r="AD16" s="25" t="e">
        <f>SUMIF(#REF!,Overview!U16,#REF!)</f>
        <v>#REF!</v>
      </c>
      <c r="AE16" s="27" t="e">
        <f>SUMIF(#REF!,Overview!U16,#REF!)</f>
        <v>#REF!</v>
      </c>
      <c r="AF16" s="1" t="e">
        <f>SUMIF(#REF!,Overview!U16,#REF!)</f>
        <v>#REF!</v>
      </c>
      <c r="AG16" s="1" t="e">
        <f>SUMIF(#REF!,Overview!U16,#REF!)</f>
        <v>#REF!</v>
      </c>
      <c r="AH16" s="1" t="e">
        <f>SUMIF(#REF!,Overview!U16,#REF!)</f>
        <v>#REF!</v>
      </c>
      <c r="AI16" s="1" t="e">
        <f>SUMIF(#REF!,Overview!U16,#REF!)</f>
        <v>#REF!</v>
      </c>
      <c r="AJ16" s="1" t="e">
        <f>SUMIF(#REF!,Overview!U16,#REF!)</f>
        <v>#REF!</v>
      </c>
      <c r="AK16" s="1" t="e">
        <f>SUMIF(#REF!,Overview!U16,#REF!)</f>
        <v>#REF!</v>
      </c>
      <c r="AL16" s="1" t="e">
        <f>SUMIF(#REF!,Overview!U16,#REF!)</f>
        <v>#REF!</v>
      </c>
      <c r="AM16" s="1" t="e">
        <f>SUMIF(#REF!,Overview!U16,#REF!)</f>
        <v>#REF!</v>
      </c>
      <c r="AN16" s="1" t="e">
        <f>SUMIF(#REF!,Overview!U16,#REF!)</f>
        <v>#REF!</v>
      </c>
      <c r="AO16" s="1" t="e">
        <f>SUMIF(#REF!,Overview!U16,#REF!)</f>
        <v>#REF!</v>
      </c>
      <c r="AP16" s="1" t="e">
        <f>SUMIF(#REF!,Overview!U16,#REF!)</f>
        <v>#REF!</v>
      </c>
      <c r="AQ16" s="1" t="e">
        <f>SUMIF(#REF!,Overview!U16,#REF!)</f>
        <v>#REF!</v>
      </c>
      <c r="AR16" s="1" t="e">
        <f>SUMIF(#REF!,Overview!U16,#REF!)</f>
        <v>#REF!</v>
      </c>
      <c r="AS16" s="5" t="e">
        <f>SUMIF(#REF!,Overview!U16,#REF!)</f>
        <v>#REF!</v>
      </c>
      <c r="AT16" s="51" t="e">
        <f t="shared" ref="AT16:BI16" si="13">AD16*$Z16*$G16</f>
        <v>#REF!</v>
      </c>
      <c r="AU16" s="52" t="e">
        <f t="shared" si="13"/>
        <v>#REF!</v>
      </c>
      <c r="AV16" s="52" t="e">
        <f t="shared" si="13"/>
        <v>#REF!</v>
      </c>
      <c r="AW16" s="52" t="e">
        <f t="shared" si="13"/>
        <v>#REF!</v>
      </c>
      <c r="AX16" s="52" t="e">
        <f t="shared" si="13"/>
        <v>#REF!</v>
      </c>
      <c r="AY16" s="52" t="e">
        <f t="shared" si="13"/>
        <v>#REF!</v>
      </c>
      <c r="AZ16" s="52" t="e">
        <f t="shared" si="13"/>
        <v>#REF!</v>
      </c>
      <c r="BA16" s="52" t="e">
        <f t="shared" si="13"/>
        <v>#REF!</v>
      </c>
      <c r="BB16" s="52" t="e">
        <f t="shared" si="13"/>
        <v>#REF!</v>
      </c>
      <c r="BC16" s="52" t="e">
        <f t="shared" si="13"/>
        <v>#REF!</v>
      </c>
      <c r="BD16" s="52" t="e">
        <f t="shared" si="13"/>
        <v>#REF!</v>
      </c>
      <c r="BE16" s="52" t="e">
        <f t="shared" si="13"/>
        <v>#REF!</v>
      </c>
      <c r="BF16" s="52" t="e">
        <f t="shared" si="13"/>
        <v>#REF!</v>
      </c>
      <c r="BG16" s="52" t="e">
        <f t="shared" si="13"/>
        <v>#REF!</v>
      </c>
      <c r="BH16" s="52" t="e">
        <f t="shared" si="13"/>
        <v>#REF!</v>
      </c>
      <c r="BI16" s="53" t="e">
        <f t="shared" si="13"/>
        <v>#REF!</v>
      </c>
      <c r="BJ16" s="51" t="e">
        <f t="shared" ref="BJ16:BY16" si="14">AD16*$Z16*$H16</f>
        <v>#REF!</v>
      </c>
      <c r="BK16" s="52" t="e">
        <f t="shared" si="14"/>
        <v>#REF!</v>
      </c>
      <c r="BL16" s="52" t="e">
        <f t="shared" si="14"/>
        <v>#REF!</v>
      </c>
      <c r="BM16" s="52" t="e">
        <f t="shared" si="14"/>
        <v>#REF!</v>
      </c>
      <c r="BN16" s="52" t="e">
        <f t="shared" si="14"/>
        <v>#REF!</v>
      </c>
      <c r="BO16" s="52" t="e">
        <f t="shared" si="14"/>
        <v>#REF!</v>
      </c>
      <c r="BP16" s="52" t="e">
        <f t="shared" si="14"/>
        <v>#REF!</v>
      </c>
      <c r="BQ16" s="52" t="e">
        <f t="shared" si="14"/>
        <v>#REF!</v>
      </c>
      <c r="BR16" s="52" t="e">
        <f t="shared" si="14"/>
        <v>#REF!</v>
      </c>
      <c r="BS16" s="52" t="e">
        <f t="shared" si="14"/>
        <v>#REF!</v>
      </c>
      <c r="BT16" s="52" t="e">
        <f t="shared" si="14"/>
        <v>#REF!</v>
      </c>
      <c r="BU16" s="52" t="e">
        <f t="shared" si="14"/>
        <v>#REF!</v>
      </c>
      <c r="BV16" s="52" t="e">
        <f t="shared" si="14"/>
        <v>#REF!</v>
      </c>
      <c r="BW16" s="52" t="e">
        <f t="shared" si="14"/>
        <v>#REF!</v>
      </c>
      <c r="BX16" s="52" t="e">
        <f t="shared" si="14"/>
        <v>#REF!</v>
      </c>
      <c r="BY16" s="53" t="e">
        <f t="shared" si="14"/>
        <v>#REF!</v>
      </c>
      <c r="BZ16" s="51" t="e">
        <f t="shared" si="5"/>
        <v>#REF!</v>
      </c>
      <c r="CA16" s="52" t="e">
        <f t="shared" ref="CA16:CO16" si="15">AE16*$Z16*$I16</f>
        <v>#REF!</v>
      </c>
      <c r="CB16" s="52" t="e">
        <f t="shared" si="15"/>
        <v>#REF!</v>
      </c>
      <c r="CC16" s="52" t="e">
        <f t="shared" si="15"/>
        <v>#REF!</v>
      </c>
      <c r="CD16" s="52" t="e">
        <f t="shared" si="15"/>
        <v>#REF!</v>
      </c>
      <c r="CE16" s="52" t="e">
        <f t="shared" si="15"/>
        <v>#REF!</v>
      </c>
      <c r="CF16" s="52" t="e">
        <f t="shared" si="15"/>
        <v>#REF!</v>
      </c>
      <c r="CG16" s="52" t="e">
        <f t="shared" si="15"/>
        <v>#REF!</v>
      </c>
      <c r="CH16" s="52" t="e">
        <f t="shared" si="15"/>
        <v>#REF!</v>
      </c>
      <c r="CI16" s="52" t="e">
        <f t="shared" si="15"/>
        <v>#REF!</v>
      </c>
      <c r="CJ16" s="52" t="e">
        <f t="shared" si="15"/>
        <v>#REF!</v>
      </c>
      <c r="CK16" s="52" t="e">
        <f t="shared" si="15"/>
        <v>#REF!</v>
      </c>
      <c r="CL16" s="52" t="e">
        <f t="shared" si="15"/>
        <v>#REF!</v>
      </c>
      <c r="CM16" s="52" t="e">
        <f t="shared" si="15"/>
        <v>#REF!</v>
      </c>
      <c r="CN16" s="52" t="e">
        <f t="shared" si="15"/>
        <v>#REF!</v>
      </c>
      <c r="CO16" s="53" t="e">
        <f t="shared" si="15"/>
        <v>#REF!</v>
      </c>
      <c r="CP16" s="1" t="e">
        <f>SUMIF(#REF!,Overview!$U16,#REF!)</f>
        <v>#REF!</v>
      </c>
      <c r="CQ16" s="1" t="e">
        <f>SUMIF(#REF!,Overview!$U16,#REF!)</f>
        <v>#REF!</v>
      </c>
      <c r="CR16" s="1" t="e">
        <f>SUMIF(#REF!,Overview!$U16,#REF!)</f>
        <v>#REF!</v>
      </c>
      <c r="CS16" s="1" t="e">
        <f>SUMIF(#REF!,Overview!$U16,#REF!)</f>
        <v>#REF!</v>
      </c>
      <c r="CT16" s="1" t="e">
        <f>SUMIF(#REF!,Overview!$U16,#REF!)</f>
        <v>#REF!</v>
      </c>
      <c r="CU16" s="1" t="e">
        <f>SUMIF(#REF!,Overview!$U16,#REF!)</f>
        <v>#REF!</v>
      </c>
      <c r="CV16" s="1" t="e">
        <f>SUMIF(#REF!,Overview!$U16,#REF!)</f>
        <v>#REF!</v>
      </c>
      <c r="CW16" s="1" t="e">
        <f>SUMIF(#REF!,Overview!$U16,#REF!)</f>
        <v>#REF!</v>
      </c>
      <c r="CX16" s="1" t="e">
        <f>SUMIF(#REF!,Overview!$U16,#REF!)</f>
        <v>#REF!</v>
      </c>
      <c r="CY16" s="1" t="e">
        <f>SUMIF(#REF!,Overview!$U16,#REF!)</f>
        <v>#REF!</v>
      </c>
      <c r="CZ16" s="1" t="e">
        <f>SUMIF(#REF!,Overview!$U16,#REF!)</f>
        <v>#REF!</v>
      </c>
      <c r="DA16" s="1" t="e">
        <f>SUMIF(#REF!,Overview!$U16,#REF!)</f>
        <v>#REF!</v>
      </c>
      <c r="DB16" s="1" t="e">
        <f>SUMIF(#REF!,Overview!$U16,#REF!)</f>
        <v>#REF!</v>
      </c>
      <c r="DC16" s="1" t="e">
        <f>SUMIF(#REF!,Overview!$U16,#REF!)</f>
        <v>#REF!</v>
      </c>
      <c r="DD16" s="1" t="e">
        <f>SUMIF(#REF!,Overview!$U16,#REF!)</f>
        <v>#REF!</v>
      </c>
      <c r="DE16" s="5" t="e">
        <f>SUMIF(#REF!,Overview!$U16,#REF!)</f>
        <v>#REF!</v>
      </c>
    </row>
    <row r="17" spans="1:109">
      <c r="A17" s="3" t="s">
        <v>54</v>
      </c>
      <c r="B17" s="14" t="s">
        <v>61</v>
      </c>
      <c r="C17" s="4">
        <v>0</v>
      </c>
      <c r="D17" s="1">
        <v>0</v>
      </c>
      <c r="E17" s="1">
        <v>1.381501867391937</v>
      </c>
      <c r="F17" s="5">
        <v>0</v>
      </c>
      <c r="G17" s="4">
        <v>0</v>
      </c>
      <c r="H17" s="1">
        <v>1.700172428631236E-3</v>
      </c>
      <c r="I17" s="1">
        <v>4279.3328907728146</v>
      </c>
      <c r="J17" s="5">
        <v>0</v>
      </c>
      <c r="K17" s="4" t="s">
        <v>17</v>
      </c>
      <c r="L17" s="1" t="s">
        <v>62</v>
      </c>
      <c r="M17" s="1" t="s">
        <v>63</v>
      </c>
      <c r="N17" s="11" t="s">
        <v>51</v>
      </c>
      <c r="O17" s="1" t="s">
        <v>64</v>
      </c>
      <c r="P17" s="1" t="s">
        <v>45</v>
      </c>
      <c r="Q17" s="1" t="s">
        <v>23</v>
      </c>
      <c r="R17" s="36" t="s">
        <v>287</v>
      </c>
      <c r="S17" s="24" t="s">
        <v>24</v>
      </c>
      <c r="T17" s="246"/>
      <c r="U17" s="4" t="s">
        <v>62</v>
      </c>
      <c r="V17" s="1" t="s">
        <v>63</v>
      </c>
      <c r="W17" s="5" t="s">
        <v>51</v>
      </c>
      <c r="X17" s="5" t="s">
        <v>37</v>
      </c>
      <c r="Y17" s="22" t="s">
        <v>219</v>
      </c>
      <c r="Z17" s="38">
        <f>1000/400</f>
        <v>2.5</v>
      </c>
      <c r="AA17" s="29"/>
      <c r="AB17" s="29"/>
      <c r="AC17" s="22"/>
      <c r="AD17" s="26" t="e">
        <f>SUMIF(#REF!,Overview!U17,#REF!)</f>
        <v>#REF!</v>
      </c>
      <c r="AE17" s="27" t="e">
        <f>SUMIF(#REF!,Overview!U17,#REF!)</f>
        <v>#REF!</v>
      </c>
      <c r="AF17" s="1" t="e">
        <f>SUMIF(#REF!,Overview!U17,#REF!)</f>
        <v>#REF!</v>
      </c>
      <c r="AG17" s="1" t="e">
        <f>SUMIF(#REF!,Overview!U17,#REF!)</f>
        <v>#REF!</v>
      </c>
      <c r="AH17" s="1" t="e">
        <f>SUMIF(#REF!,Overview!U17,#REF!)</f>
        <v>#REF!</v>
      </c>
      <c r="AI17" s="1" t="e">
        <f>SUMIF(#REF!,Overview!U17,#REF!)</f>
        <v>#REF!</v>
      </c>
      <c r="AJ17" s="1" t="e">
        <f>SUMIF(#REF!,Overview!U17,#REF!)</f>
        <v>#REF!</v>
      </c>
      <c r="AK17" s="1" t="e">
        <f>SUMIF(#REF!,Overview!U17,#REF!)</f>
        <v>#REF!</v>
      </c>
      <c r="AL17" s="1" t="e">
        <f>SUMIF(#REF!,Overview!U17,#REF!)</f>
        <v>#REF!</v>
      </c>
      <c r="AM17" s="1" t="e">
        <f>SUMIF(#REF!,Overview!U17,#REF!)</f>
        <v>#REF!</v>
      </c>
      <c r="AN17" s="1" t="e">
        <f>SUMIF(#REF!,Overview!U17,#REF!)</f>
        <v>#REF!</v>
      </c>
      <c r="AO17" s="1" t="e">
        <f>SUMIF(#REF!,Overview!U17,#REF!)</f>
        <v>#REF!</v>
      </c>
      <c r="AP17" s="1" t="e">
        <f>SUMIF(#REF!,Overview!U17,#REF!)</f>
        <v>#REF!</v>
      </c>
      <c r="AQ17" s="1" t="e">
        <f>SUMIF(#REF!,Overview!U17,#REF!)</f>
        <v>#REF!</v>
      </c>
      <c r="AR17" s="1" t="e">
        <f>SUMIF(#REF!,Overview!U17,#REF!)</f>
        <v>#REF!</v>
      </c>
      <c r="AS17" s="5" t="e">
        <f>SUMIF(#REF!,Overview!U17,#REF!)</f>
        <v>#REF!</v>
      </c>
      <c r="AT17" s="49" t="e">
        <f t="shared" ref="AT17:BI17" si="16">AD17*$Z17*$C17/25</f>
        <v>#REF!</v>
      </c>
      <c r="AU17" s="30" t="e">
        <f t="shared" si="16"/>
        <v>#REF!</v>
      </c>
      <c r="AV17" s="30" t="e">
        <f t="shared" si="16"/>
        <v>#REF!</v>
      </c>
      <c r="AW17" s="30" t="e">
        <f t="shared" si="16"/>
        <v>#REF!</v>
      </c>
      <c r="AX17" s="30" t="e">
        <f t="shared" si="16"/>
        <v>#REF!</v>
      </c>
      <c r="AY17" s="30" t="e">
        <f t="shared" si="16"/>
        <v>#REF!</v>
      </c>
      <c r="AZ17" s="30" t="e">
        <f t="shared" si="16"/>
        <v>#REF!</v>
      </c>
      <c r="BA17" s="30" t="e">
        <f t="shared" si="16"/>
        <v>#REF!</v>
      </c>
      <c r="BB17" s="30" t="e">
        <f t="shared" si="16"/>
        <v>#REF!</v>
      </c>
      <c r="BC17" s="30" t="e">
        <f t="shared" si="16"/>
        <v>#REF!</v>
      </c>
      <c r="BD17" s="30" t="e">
        <f t="shared" si="16"/>
        <v>#REF!</v>
      </c>
      <c r="BE17" s="30" t="e">
        <f t="shared" si="16"/>
        <v>#REF!</v>
      </c>
      <c r="BF17" s="30" t="e">
        <f t="shared" si="16"/>
        <v>#REF!</v>
      </c>
      <c r="BG17" s="30" t="e">
        <f t="shared" si="16"/>
        <v>#REF!</v>
      </c>
      <c r="BH17" s="30" t="e">
        <f t="shared" si="16"/>
        <v>#REF!</v>
      </c>
      <c r="BI17" s="50" t="e">
        <f t="shared" si="16"/>
        <v>#REF!</v>
      </c>
      <c r="BJ17" s="49" t="e">
        <f t="shared" ref="BJ17:BY17" si="17">AD17*$Z17*$D17/25</f>
        <v>#REF!</v>
      </c>
      <c r="BK17" s="30" t="e">
        <f t="shared" si="17"/>
        <v>#REF!</v>
      </c>
      <c r="BL17" s="30" t="e">
        <f t="shared" si="17"/>
        <v>#REF!</v>
      </c>
      <c r="BM17" s="30" t="e">
        <f t="shared" si="17"/>
        <v>#REF!</v>
      </c>
      <c r="BN17" s="30" t="e">
        <f t="shared" si="17"/>
        <v>#REF!</v>
      </c>
      <c r="BO17" s="30" t="e">
        <f t="shared" si="17"/>
        <v>#REF!</v>
      </c>
      <c r="BP17" s="30" t="e">
        <f t="shared" si="17"/>
        <v>#REF!</v>
      </c>
      <c r="BQ17" s="30" t="e">
        <f t="shared" si="17"/>
        <v>#REF!</v>
      </c>
      <c r="BR17" s="30" t="e">
        <f t="shared" si="17"/>
        <v>#REF!</v>
      </c>
      <c r="BS17" s="30" t="e">
        <f t="shared" si="17"/>
        <v>#REF!</v>
      </c>
      <c r="BT17" s="30" t="e">
        <f t="shared" si="17"/>
        <v>#REF!</v>
      </c>
      <c r="BU17" s="30" t="e">
        <f t="shared" si="17"/>
        <v>#REF!</v>
      </c>
      <c r="BV17" s="30" t="e">
        <f t="shared" si="17"/>
        <v>#REF!</v>
      </c>
      <c r="BW17" s="30" t="e">
        <f t="shared" si="17"/>
        <v>#REF!</v>
      </c>
      <c r="BX17" s="30" t="e">
        <f t="shared" si="17"/>
        <v>#REF!</v>
      </c>
      <c r="BY17" s="50" t="e">
        <f t="shared" si="17"/>
        <v>#REF!</v>
      </c>
      <c r="BZ17" s="49" t="e">
        <f t="shared" ref="BZ17:CO17" si="18">AD17*$Z17*$E17/25</f>
        <v>#REF!</v>
      </c>
      <c r="CA17" s="30" t="e">
        <f t="shared" si="18"/>
        <v>#REF!</v>
      </c>
      <c r="CB17" s="30" t="e">
        <f t="shared" si="18"/>
        <v>#REF!</v>
      </c>
      <c r="CC17" s="30" t="e">
        <f t="shared" si="18"/>
        <v>#REF!</v>
      </c>
      <c r="CD17" s="30" t="e">
        <f t="shared" si="18"/>
        <v>#REF!</v>
      </c>
      <c r="CE17" s="30" t="e">
        <f t="shared" si="18"/>
        <v>#REF!</v>
      </c>
      <c r="CF17" s="30" t="e">
        <f t="shared" si="18"/>
        <v>#REF!</v>
      </c>
      <c r="CG17" s="30" t="e">
        <f t="shared" si="18"/>
        <v>#REF!</v>
      </c>
      <c r="CH17" s="30" t="e">
        <f t="shared" si="18"/>
        <v>#REF!</v>
      </c>
      <c r="CI17" s="30" t="e">
        <f t="shared" si="18"/>
        <v>#REF!</v>
      </c>
      <c r="CJ17" s="30" t="e">
        <f t="shared" si="18"/>
        <v>#REF!</v>
      </c>
      <c r="CK17" s="30" t="e">
        <f t="shared" si="18"/>
        <v>#REF!</v>
      </c>
      <c r="CL17" s="30" t="e">
        <f t="shared" si="18"/>
        <v>#REF!</v>
      </c>
      <c r="CM17" s="30" t="e">
        <f t="shared" si="18"/>
        <v>#REF!</v>
      </c>
      <c r="CN17" s="30" t="e">
        <f t="shared" si="18"/>
        <v>#REF!</v>
      </c>
      <c r="CO17" s="50" t="e">
        <f t="shared" si="18"/>
        <v>#REF!</v>
      </c>
      <c r="CP17" s="1" t="e">
        <f>SUMIF(#REF!,Overview!$U17,#REF!)</f>
        <v>#REF!</v>
      </c>
      <c r="CQ17" s="1" t="e">
        <f>SUMIF(#REF!,Overview!$U17,#REF!)</f>
        <v>#REF!</v>
      </c>
      <c r="CR17" s="1" t="e">
        <f>SUMIF(#REF!,Overview!$U17,#REF!)</f>
        <v>#REF!</v>
      </c>
      <c r="CS17" s="1" t="e">
        <f>SUMIF(#REF!,Overview!$U17,#REF!)</f>
        <v>#REF!</v>
      </c>
      <c r="CT17" s="1" t="e">
        <f>SUMIF(#REF!,Overview!$U17,#REF!)</f>
        <v>#REF!</v>
      </c>
      <c r="CU17" s="1" t="e">
        <f>SUMIF(#REF!,Overview!$U17,#REF!)</f>
        <v>#REF!</v>
      </c>
      <c r="CV17" s="1" t="e">
        <f>SUMIF(#REF!,Overview!$U17,#REF!)</f>
        <v>#REF!</v>
      </c>
      <c r="CW17" s="1" t="e">
        <f>SUMIF(#REF!,Overview!$U17,#REF!)</f>
        <v>#REF!</v>
      </c>
      <c r="CX17" s="1" t="e">
        <f>SUMIF(#REF!,Overview!$U17,#REF!)</f>
        <v>#REF!</v>
      </c>
      <c r="CY17" s="1" t="e">
        <f>SUMIF(#REF!,Overview!$U17,#REF!)</f>
        <v>#REF!</v>
      </c>
      <c r="CZ17" s="1" t="e">
        <f>SUMIF(#REF!,Overview!$U17,#REF!)</f>
        <v>#REF!</v>
      </c>
      <c r="DA17" s="1" t="e">
        <f>SUMIF(#REF!,Overview!$U17,#REF!)</f>
        <v>#REF!</v>
      </c>
      <c r="DB17" s="1" t="e">
        <f>SUMIF(#REF!,Overview!$U17,#REF!)</f>
        <v>#REF!</v>
      </c>
      <c r="DC17" s="1" t="e">
        <f>SUMIF(#REF!,Overview!$U17,#REF!)</f>
        <v>#REF!</v>
      </c>
      <c r="DD17" s="1" t="e">
        <f>SUMIF(#REF!,Overview!$U17,#REF!)</f>
        <v>#REF!</v>
      </c>
      <c r="DE17" s="5" t="e">
        <f>SUMIF(#REF!,Overview!$U17,#REF!)</f>
        <v>#REF!</v>
      </c>
    </row>
    <row r="18" spans="1:109" ht="58">
      <c r="A18" s="3" t="s">
        <v>65</v>
      </c>
      <c r="B18" s="14" t="s">
        <v>401</v>
      </c>
      <c r="D18" s="1">
        <v>3.3998486697868122</v>
      </c>
      <c r="E18" s="1"/>
      <c r="F18" s="5"/>
      <c r="H18" s="1">
        <v>12650.864613849941</v>
      </c>
      <c r="I18" s="1"/>
      <c r="K18" s="4" t="s">
        <v>17</v>
      </c>
      <c r="L18" s="1" t="s">
        <v>55</v>
      </c>
      <c r="M18" s="1" t="s">
        <v>56</v>
      </c>
      <c r="N18" s="11" t="s">
        <v>57</v>
      </c>
      <c r="O18" s="1" t="s">
        <v>58</v>
      </c>
      <c r="P18" s="1" t="s">
        <v>30</v>
      </c>
      <c r="Q18" s="1" t="s">
        <v>23</v>
      </c>
      <c r="R18" s="36" t="s">
        <v>294</v>
      </c>
      <c r="S18" s="24" t="s">
        <v>59</v>
      </c>
      <c r="T18" s="246"/>
      <c r="U18" s="4" t="s">
        <v>441</v>
      </c>
      <c r="V18" s="1" t="s">
        <v>56</v>
      </c>
      <c r="W18" s="5" t="s">
        <v>57</v>
      </c>
      <c r="X18" s="5" t="s">
        <v>37</v>
      </c>
      <c r="Y18" s="22" t="s">
        <v>211</v>
      </c>
      <c r="Z18" s="17">
        <v>1000000</v>
      </c>
      <c r="AA18" s="29"/>
      <c r="AB18" s="29"/>
      <c r="AC18" s="22" t="s">
        <v>282</v>
      </c>
      <c r="AD18" s="25" t="e">
        <f>SUMIF(#REF!,Overview!U18,#REF!)</f>
        <v>#REF!</v>
      </c>
      <c r="AE18" s="27" t="e">
        <f>SUMIF(#REF!,Overview!U18,#REF!)</f>
        <v>#REF!</v>
      </c>
      <c r="AF18" s="1" t="e">
        <f>SUMIF(#REF!,Overview!U18,#REF!)</f>
        <v>#REF!</v>
      </c>
      <c r="AG18" s="1" t="e">
        <f>SUMIF(#REF!,Overview!U18,#REF!)</f>
        <v>#REF!</v>
      </c>
      <c r="AH18" s="1" t="e">
        <f>SUMIF(#REF!,Overview!U18,#REF!)</f>
        <v>#REF!</v>
      </c>
      <c r="AI18" s="1" t="e">
        <f>SUMIF(#REF!,Overview!U18,#REF!)</f>
        <v>#REF!</v>
      </c>
      <c r="AJ18" s="1" t="e">
        <f>SUMIF(#REF!,Overview!U18,#REF!)</f>
        <v>#REF!</v>
      </c>
      <c r="AK18" s="1" t="e">
        <f>SUMIF(#REF!,Overview!U18,#REF!)</f>
        <v>#REF!</v>
      </c>
      <c r="AL18" s="1" t="e">
        <f>SUMIF(#REF!,Overview!U18,#REF!)</f>
        <v>#REF!</v>
      </c>
      <c r="AM18" s="1" t="e">
        <f>SUMIF(#REF!,Overview!U18,#REF!)</f>
        <v>#REF!</v>
      </c>
      <c r="AN18" s="1" t="e">
        <f>SUMIF(#REF!,Overview!U18,#REF!)</f>
        <v>#REF!</v>
      </c>
      <c r="AO18" s="1" t="e">
        <f>SUMIF(#REF!,Overview!U18,#REF!)</f>
        <v>#REF!</v>
      </c>
      <c r="AP18" s="1" t="e">
        <f>SUMIF(#REF!,Overview!U18,#REF!)</f>
        <v>#REF!</v>
      </c>
      <c r="AQ18" s="1" t="e">
        <f>SUMIF(#REF!,Overview!U18,#REF!)</f>
        <v>#REF!</v>
      </c>
      <c r="AR18" s="1" t="e">
        <f>SUMIF(#REF!,Overview!U18,#REF!)</f>
        <v>#REF!</v>
      </c>
      <c r="AS18" s="5" t="e">
        <f>SUMIF(#REF!,Overview!U18,#REF!)</f>
        <v>#REF!</v>
      </c>
      <c r="AT18" s="51" t="e">
        <f t="shared" ref="AT18:BI18" si="19">AD18*$Z18*$G18</f>
        <v>#REF!</v>
      </c>
      <c r="AU18" s="52" t="e">
        <f t="shared" si="19"/>
        <v>#REF!</v>
      </c>
      <c r="AV18" s="52" t="e">
        <f t="shared" si="19"/>
        <v>#REF!</v>
      </c>
      <c r="AW18" s="52" t="e">
        <f t="shared" si="19"/>
        <v>#REF!</v>
      </c>
      <c r="AX18" s="52" t="e">
        <f t="shared" si="19"/>
        <v>#REF!</v>
      </c>
      <c r="AY18" s="52" t="e">
        <f t="shared" si="19"/>
        <v>#REF!</v>
      </c>
      <c r="AZ18" s="52" t="e">
        <f t="shared" si="19"/>
        <v>#REF!</v>
      </c>
      <c r="BA18" s="52" t="e">
        <f t="shared" si="19"/>
        <v>#REF!</v>
      </c>
      <c r="BB18" s="52" t="e">
        <f t="shared" si="19"/>
        <v>#REF!</v>
      </c>
      <c r="BC18" s="52" t="e">
        <f t="shared" si="19"/>
        <v>#REF!</v>
      </c>
      <c r="BD18" s="52" t="e">
        <f t="shared" si="19"/>
        <v>#REF!</v>
      </c>
      <c r="BE18" s="52" t="e">
        <f t="shared" si="19"/>
        <v>#REF!</v>
      </c>
      <c r="BF18" s="52" t="e">
        <f t="shared" si="19"/>
        <v>#REF!</v>
      </c>
      <c r="BG18" s="52" t="e">
        <f t="shared" si="19"/>
        <v>#REF!</v>
      </c>
      <c r="BH18" s="52" t="e">
        <f t="shared" si="19"/>
        <v>#REF!</v>
      </c>
      <c r="BI18" s="53" t="e">
        <f t="shared" si="19"/>
        <v>#REF!</v>
      </c>
      <c r="BJ18" s="51" t="e">
        <f t="shared" ref="BJ18:BY18" si="20">AD18*$Z18*$H18</f>
        <v>#REF!</v>
      </c>
      <c r="BK18" s="52" t="e">
        <f t="shared" si="20"/>
        <v>#REF!</v>
      </c>
      <c r="BL18" s="52" t="e">
        <f t="shared" si="20"/>
        <v>#REF!</v>
      </c>
      <c r="BM18" s="52" t="e">
        <f t="shared" si="20"/>
        <v>#REF!</v>
      </c>
      <c r="BN18" s="52" t="e">
        <f t="shared" si="20"/>
        <v>#REF!</v>
      </c>
      <c r="BO18" s="52" t="e">
        <f t="shared" si="20"/>
        <v>#REF!</v>
      </c>
      <c r="BP18" s="52" t="e">
        <f t="shared" si="20"/>
        <v>#REF!</v>
      </c>
      <c r="BQ18" s="52" t="e">
        <f t="shared" si="20"/>
        <v>#REF!</v>
      </c>
      <c r="BR18" s="52" t="e">
        <f t="shared" si="20"/>
        <v>#REF!</v>
      </c>
      <c r="BS18" s="52" t="e">
        <f t="shared" si="20"/>
        <v>#REF!</v>
      </c>
      <c r="BT18" s="52" t="e">
        <f t="shared" si="20"/>
        <v>#REF!</v>
      </c>
      <c r="BU18" s="52" t="e">
        <f t="shared" si="20"/>
        <v>#REF!</v>
      </c>
      <c r="BV18" s="52" t="e">
        <f t="shared" si="20"/>
        <v>#REF!</v>
      </c>
      <c r="BW18" s="52" t="e">
        <f t="shared" si="20"/>
        <v>#REF!</v>
      </c>
      <c r="BX18" s="52" t="e">
        <f t="shared" si="20"/>
        <v>#REF!</v>
      </c>
      <c r="BY18" s="53" t="e">
        <f t="shared" si="20"/>
        <v>#REF!</v>
      </c>
      <c r="BZ18" s="51" t="e">
        <f t="shared" si="5"/>
        <v>#REF!</v>
      </c>
      <c r="CA18" s="52" t="e">
        <f t="shared" ref="CA18:CO18" si="21">AE18*$Z18*$I18</f>
        <v>#REF!</v>
      </c>
      <c r="CB18" s="52" t="e">
        <f t="shared" si="21"/>
        <v>#REF!</v>
      </c>
      <c r="CC18" s="52" t="e">
        <f t="shared" si="21"/>
        <v>#REF!</v>
      </c>
      <c r="CD18" s="52" t="e">
        <f t="shared" si="21"/>
        <v>#REF!</v>
      </c>
      <c r="CE18" s="52" t="e">
        <f t="shared" si="21"/>
        <v>#REF!</v>
      </c>
      <c r="CF18" s="52" t="e">
        <f t="shared" si="21"/>
        <v>#REF!</v>
      </c>
      <c r="CG18" s="52" t="e">
        <f t="shared" si="21"/>
        <v>#REF!</v>
      </c>
      <c r="CH18" s="52" t="e">
        <f t="shared" si="21"/>
        <v>#REF!</v>
      </c>
      <c r="CI18" s="52" t="e">
        <f t="shared" si="21"/>
        <v>#REF!</v>
      </c>
      <c r="CJ18" s="52" t="e">
        <f t="shared" si="21"/>
        <v>#REF!</v>
      </c>
      <c r="CK18" s="52" t="e">
        <f t="shared" si="21"/>
        <v>#REF!</v>
      </c>
      <c r="CL18" s="52" t="e">
        <f t="shared" si="21"/>
        <v>#REF!</v>
      </c>
      <c r="CM18" s="52" t="e">
        <f t="shared" si="21"/>
        <v>#REF!</v>
      </c>
      <c r="CN18" s="52" t="e">
        <f t="shared" si="21"/>
        <v>#REF!</v>
      </c>
      <c r="CO18" s="53" t="e">
        <f t="shared" si="21"/>
        <v>#REF!</v>
      </c>
      <c r="CP18" s="1" t="e">
        <f>SUMIF(#REF!,Overview!$U18,#REF!)</f>
        <v>#REF!</v>
      </c>
      <c r="CQ18" s="1" t="e">
        <f>SUMIF(#REF!,Overview!$U18,#REF!)</f>
        <v>#REF!</v>
      </c>
      <c r="CR18" s="1" t="e">
        <f>SUMIF(#REF!,Overview!$U18,#REF!)</f>
        <v>#REF!</v>
      </c>
      <c r="CS18" s="1" t="e">
        <f>SUMIF(#REF!,Overview!$U18,#REF!)</f>
        <v>#REF!</v>
      </c>
      <c r="CT18" s="1" t="e">
        <f>SUMIF(#REF!,Overview!$U18,#REF!)</f>
        <v>#REF!</v>
      </c>
      <c r="CU18" s="1" t="e">
        <f>SUMIF(#REF!,Overview!$U18,#REF!)</f>
        <v>#REF!</v>
      </c>
      <c r="CV18" s="1" t="e">
        <f>SUMIF(#REF!,Overview!$U18,#REF!)</f>
        <v>#REF!</v>
      </c>
      <c r="CW18" s="1" t="e">
        <f>SUMIF(#REF!,Overview!$U18,#REF!)</f>
        <v>#REF!</v>
      </c>
      <c r="CX18" s="1" t="e">
        <f>SUMIF(#REF!,Overview!$U18,#REF!)</f>
        <v>#REF!</v>
      </c>
      <c r="CY18" s="1" t="e">
        <f>SUMIF(#REF!,Overview!$U18,#REF!)</f>
        <v>#REF!</v>
      </c>
      <c r="CZ18" s="1" t="e">
        <f>SUMIF(#REF!,Overview!$U18,#REF!)</f>
        <v>#REF!</v>
      </c>
      <c r="DA18" s="1" t="e">
        <f>SUMIF(#REF!,Overview!$U18,#REF!)</f>
        <v>#REF!</v>
      </c>
      <c r="DB18" s="1" t="e">
        <f>SUMIF(#REF!,Overview!$U18,#REF!)</f>
        <v>#REF!</v>
      </c>
      <c r="DC18" s="1" t="e">
        <f>SUMIF(#REF!,Overview!$U18,#REF!)</f>
        <v>#REF!</v>
      </c>
      <c r="DD18" s="1" t="e">
        <f>SUMIF(#REF!,Overview!$U18,#REF!)</f>
        <v>#REF!</v>
      </c>
      <c r="DE18" s="5" t="e">
        <f>SUMIF(#REF!,Overview!$U18,#REF!)</f>
        <v>#REF!</v>
      </c>
    </row>
    <row r="19" spans="1:109">
      <c r="A19" s="3" t="s">
        <v>65</v>
      </c>
      <c r="B19" s="14" t="s">
        <v>66</v>
      </c>
      <c r="D19" s="1">
        <v>3.3998486697868122</v>
      </c>
      <c r="E19" s="1"/>
      <c r="F19" s="5"/>
      <c r="H19" s="1">
        <v>12650.864613849941</v>
      </c>
      <c r="I19" s="1"/>
      <c r="K19" s="4" t="s">
        <v>17</v>
      </c>
      <c r="L19" s="1" t="s">
        <v>62</v>
      </c>
      <c r="M19" s="1" t="s">
        <v>63</v>
      </c>
      <c r="N19" s="11" t="s">
        <v>51</v>
      </c>
      <c r="O19" s="1" t="s">
        <v>64</v>
      </c>
      <c r="P19" s="1" t="s">
        <v>45</v>
      </c>
      <c r="Q19" s="1" t="s">
        <v>23</v>
      </c>
      <c r="R19" s="36" t="s">
        <v>287</v>
      </c>
      <c r="S19" s="24" t="s">
        <v>24</v>
      </c>
      <c r="T19" s="246"/>
      <c r="U19" s="4" t="s">
        <v>62</v>
      </c>
      <c r="V19" s="1" t="s">
        <v>63</v>
      </c>
      <c r="W19" s="5" t="s">
        <v>51</v>
      </c>
      <c r="X19" s="5" t="s">
        <v>37</v>
      </c>
      <c r="Y19" s="22" t="s">
        <v>219</v>
      </c>
      <c r="Z19" s="38">
        <f>1000/400</f>
        <v>2.5</v>
      </c>
      <c r="AA19" s="29"/>
      <c r="AB19" s="29"/>
      <c r="AC19" s="22"/>
      <c r="AD19" s="26" t="e">
        <f>SUMIF(#REF!,Overview!U19,#REF!)</f>
        <v>#REF!</v>
      </c>
      <c r="AE19" s="27" t="e">
        <f>SUMIF(#REF!,Overview!U19,#REF!)</f>
        <v>#REF!</v>
      </c>
      <c r="AF19" s="1" t="e">
        <f>SUMIF(#REF!,Overview!U19,#REF!)</f>
        <v>#REF!</v>
      </c>
      <c r="AG19" s="1" t="e">
        <f>SUMIF(#REF!,Overview!U19,#REF!)</f>
        <v>#REF!</v>
      </c>
      <c r="AH19" s="1" t="e">
        <f>SUMIF(#REF!,Overview!U19,#REF!)</f>
        <v>#REF!</v>
      </c>
      <c r="AI19" s="1" t="e">
        <f>SUMIF(#REF!,Overview!U19,#REF!)</f>
        <v>#REF!</v>
      </c>
      <c r="AJ19" s="1" t="e">
        <f>SUMIF(#REF!,Overview!U19,#REF!)</f>
        <v>#REF!</v>
      </c>
      <c r="AK19" s="1" t="e">
        <f>SUMIF(#REF!,Overview!U19,#REF!)</f>
        <v>#REF!</v>
      </c>
      <c r="AL19" s="1" t="e">
        <f>SUMIF(#REF!,Overview!U19,#REF!)</f>
        <v>#REF!</v>
      </c>
      <c r="AM19" s="1" t="e">
        <f>SUMIF(#REF!,Overview!U19,#REF!)</f>
        <v>#REF!</v>
      </c>
      <c r="AN19" s="1" t="e">
        <f>SUMIF(#REF!,Overview!U19,#REF!)</f>
        <v>#REF!</v>
      </c>
      <c r="AO19" s="1" t="e">
        <f>SUMIF(#REF!,Overview!U19,#REF!)</f>
        <v>#REF!</v>
      </c>
      <c r="AP19" s="1" t="e">
        <f>SUMIF(#REF!,Overview!U19,#REF!)</f>
        <v>#REF!</v>
      </c>
      <c r="AQ19" s="1" t="e">
        <f>SUMIF(#REF!,Overview!U19,#REF!)</f>
        <v>#REF!</v>
      </c>
      <c r="AR19" s="1" t="e">
        <f>SUMIF(#REF!,Overview!U19,#REF!)</f>
        <v>#REF!</v>
      </c>
      <c r="AS19" s="5" t="e">
        <f>SUMIF(#REF!,Overview!U19,#REF!)</f>
        <v>#REF!</v>
      </c>
      <c r="AT19" s="49" t="e">
        <f t="shared" ref="AT19:BI20" si="22">AD19*$Z19*$C19/25</f>
        <v>#REF!</v>
      </c>
      <c r="AU19" s="30" t="e">
        <f t="shared" si="22"/>
        <v>#REF!</v>
      </c>
      <c r="AV19" s="30" t="e">
        <f t="shared" si="22"/>
        <v>#REF!</v>
      </c>
      <c r="AW19" s="30" t="e">
        <f t="shared" si="22"/>
        <v>#REF!</v>
      </c>
      <c r="AX19" s="30" t="e">
        <f t="shared" si="22"/>
        <v>#REF!</v>
      </c>
      <c r="AY19" s="30" t="e">
        <f t="shared" si="22"/>
        <v>#REF!</v>
      </c>
      <c r="AZ19" s="30" t="e">
        <f t="shared" si="22"/>
        <v>#REF!</v>
      </c>
      <c r="BA19" s="30" t="e">
        <f t="shared" si="22"/>
        <v>#REF!</v>
      </c>
      <c r="BB19" s="30" t="e">
        <f t="shared" si="22"/>
        <v>#REF!</v>
      </c>
      <c r="BC19" s="30" t="e">
        <f t="shared" si="22"/>
        <v>#REF!</v>
      </c>
      <c r="BD19" s="30" t="e">
        <f t="shared" si="22"/>
        <v>#REF!</v>
      </c>
      <c r="BE19" s="30" t="e">
        <f t="shared" si="22"/>
        <v>#REF!</v>
      </c>
      <c r="BF19" s="30" t="e">
        <f t="shared" si="22"/>
        <v>#REF!</v>
      </c>
      <c r="BG19" s="30" t="e">
        <f t="shared" si="22"/>
        <v>#REF!</v>
      </c>
      <c r="BH19" s="30" t="e">
        <f t="shared" si="22"/>
        <v>#REF!</v>
      </c>
      <c r="BI19" s="50" t="e">
        <f t="shared" si="22"/>
        <v>#REF!</v>
      </c>
      <c r="BJ19" s="49" t="e">
        <f t="shared" ref="BJ19:BY20" si="23">AD19*$Z19*$D19/25</f>
        <v>#REF!</v>
      </c>
      <c r="BK19" s="30" t="e">
        <f t="shared" si="23"/>
        <v>#REF!</v>
      </c>
      <c r="BL19" s="30" t="e">
        <f t="shared" si="23"/>
        <v>#REF!</v>
      </c>
      <c r="BM19" s="30" t="e">
        <f t="shared" si="23"/>
        <v>#REF!</v>
      </c>
      <c r="BN19" s="30" t="e">
        <f t="shared" si="23"/>
        <v>#REF!</v>
      </c>
      <c r="BO19" s="30" t="e">
        <f t="shared" si="23"/>
        <v>#REF!</v>
      </c>
      <c r="BP19" s="30" t="e">
        <f t="shared" si="23"/>
        <v>#REF!</v>
      </c>
      <c r="BQ19" s="30" t="e">
        <f t="shared" si="23"/>
        <v>#REF!</v>
      </c>
      <c r="BR19" s="30" t="e">
        <f t="shared" si="23"/>
        <v>#REF!</v>
      </c>
      <c r="BS19" s="30" t="e">
        <f t="shared" si="23"/>
        <v>#REF!</v>
      </c>
      <c r="BT19" s="30" t="e">
        <f t="shared" si="23"/>
        <v>#REF!</v>
      </c>
      <c r="BU19" s="30" t="e">
        <f t="shared" si="23"/>
        <v>#REF!</v>
      </c>
      <c r="BV19" s="30" t="e">
        <f t="shared" si="23"/>
        <v>#REF!</v>
      </c>
      <c r="BW19" s="30" t="e">
        <f t="shared" si="23"/>
        <v>#REF!</v>
      </c>
      <c r="BX19" s="30" t="e">
        <f t="shared" si="23"/>
        <v>#REF!</v>
      </c>
      <c r="BY19" s="50" t="e">
        <f t="shared" si="23"/>
        <v>#REF!</v>
      </c>
      <c r="BZ19" s="49" t="e">
        <f t="shared" ref="BZ19:CO20" si="24">AD19*$Z19*$E19/25</f>
        <v>#REF!</v>
      </c>
      <c r="CA19" s="30" t="e">
        <f t="shared" si="24"/>
        <v>#REF!</v>
      </c>
      <c r="CB19" s="30" t="e">
        <f t="shared" si="24"/>
        <v>#REF!</v>
      </c>
      <c r="CC19" s="30" t="e">
        <f t="shared" si="24"/>
        <v>#REF!</v>
      </c>
      <c r="CD19" s="30" t="e">
        <f t="shared" si="24"/>
        <v>#REF!</v>
      </c>
      <c r="CE19" s="30" t="e">
        <f t="shared" si="24"/>
        <v>#REF!</v>
      </c>
      <c r="CF19" s="30" t="e">
        <f t="shared" si="24"/>
        <v>#REF!</v>
      </c>
      <c r="CG19" s="30" t="e">
        <f t="shared" si="24"/>
        <v>#REF!</v>
      </c>
      <c r="CH19" s="30" t="e">
        <f t="shared" si="24"/>
        <v>#REF!</v>
      </c>
      <c r="CI19" s="30" t="e">
        <f t="shared" si="24"/>
        <v>#REF!</v>
      </c>
      <c r="CJ19" s="30" t="e">
        <f t="shared" si="24"/>
        <v>#REF!</v>
      </c>
      <c r="CK19" s="30" t="e">
        <f t="shared" si="24"/>
        <v>#REF!</v>
      </c>
      <c r="CL19" s="30" t="e">
        <f t="shared" si="24"/>
        <v>#REF!</v>
      </c>
      <c r="CM19" s="30" t="e">
        <f t="shared" si="24"/>
        <v>#REF!</v>
      </c>
      <c r="CN19" s="30" t="e">
        <f t="shared" si="24"/>
        <v>#REF!</v>
      </c>
      <c r="CO19" s="50" t="e">
        <f t="shared" si="24"/>
        <v>#REF!</v>
      </c>
      <c r="CP19" s="1" t="e">
        <f>SUMIF(#REF!,Overview!$U19,#REF!)</f>
        <v>#REF!</v>
      </c>
      <c r="CQ19" s="1" t="e">
        <f>SUMIF(#REF!,Overview!$U19,#REF!)</f>
        <v>#REF!</v>
      </c>
      <c r="CR19" s="1" t="e">
        <f>SUMIF(#REF!,Overview!$U19,#REF!)</f>
        <v>#REF!</v>
      </c>
      <c r="CS19" s="1" t="e">
        <f>SUMIF(#REF!,Overview!$U19,#REF!)</f>
        <v>#REF!</v>
      </c>
      <c r="CT19" s="1" t="e">
        <f>SUMIF(#REF!,Overview!$U19,#REF!)</f>
        <v>#REF!</v>
      </c>
      <c r="CU19" s="1" t="e">
        <f>SUMIF(#REF!,Overview!$U19,#REF!)</f>
        <v>#REF!</v>
      </c>
      <c r="CV19" s="1" t="e">
        <f>SUMIF(#REF!,Overview!$U19,#REF!)</f>
        <v>#REF!</v>
      </c>
      <c r="CW19" s="1" t="e">
        <f>SUMIF(#REF!,Overview!$U19,#REF!)</f>
        <v>#REF!</v>
      </c>
      <c r="CX19" s="1" t="e">
        <f>SUMIF(#REF!,Overview!$U19,#REF!)</f>
        <v>#REF!</v>
      </c>
      <c r="CY19" s="1" t="e">
        <f>SUMIF(#REF!,Overview!$U19,#REF!)</f>
        <v>#REF!</v>
      </c>
      <c r="CZ19" s="1" t="e">
        <f>SUMIF(#REF!,Overview!$U19,#REF!)</f>
        <v>#REF!</v>
      </c>
      <c r="DA19" s="1" t="e">
        <f>SUMIF(#REF!,Overview!$U19,#REF!)</f>
        <v>#REF!</v>
      </c>
      <c r="DB19" s="1" t="e">
        <f>SUMIF(#REF!,Overview!$U19,#REF!)</f>
        <v>#REF!</v>
      </c>
      <c r="DC19" s="1" t="e">
        <f>SUMIF(#REF!,Overview!$U19,#REF!)</f>
        <v>#REF!</v>
      </c>
      <c r="DD19" s="1" t="e">
        <f>SUMIF(#REF!,Overview!$U19,#REF!)</f>
        <v>#REF!</v>
      </c>
      <c r="DE19" s="5" t="e">
        <f>SUMIF(#REF!,Overview!$U19,#REF!)</f>
        <v>#REF!</v>
      </c>
    </row>
    <row r="20" spans="1:109">
      <c r="A20" s="3" t="s">
        <v>67</v>
      </c>
      <c r="B20" s="14" t="s">
        <v>68</v>
      </c>
      <c r="C20" s="4">
        <v>4.1362672333982102E-6</v>
      </c>
      <c r="D20" s="1">
        <v>0</v>
      </c>
      <c r="E20" s="1">
        <v>2.9749050116965599E-3</v>
      </c>
      <c r="F20">
        <v>8.4539283920898238E-6</v>
      </c>
      <c r="G20" s="4">
        <v>7.5897420124976488E-3</v>
      </c>
      <c r="H20" s="1">
        <v>4.8097689365319517E-3</v>
      </c>
      <c r="I20" s="1">
        <v>26.12395597077607</v>
      </c>
      <c r="J20">
        <v>8.3189167487943902E-3</v>
      </c>
      <c r="K20" s="4" t="s">
        <v>17</v>
      </c>
      <c r="L20" s="1" t="s">
        <v>69</v>
      </c>
      <c r="M20" s="1" t="s">
        <v>70</v>
      </c>
      <c r="N20" s="11" t="s">
        <v>71</v>
      </c>
      <c r="O20" s="1" t="s">
        <v>72</v>
      </c>
      <c r="P20" s="1" t="s">
        <v>45</v>
      </c>
      <c r="Q20" s="1" t="s">
        <v>23</v>
      </c>
      <c r="R20" s="36" t="s">
        <v>287</v>
      </c>
      <c r="S20" s="24" t="s">
        <v>24</v>
      </c>
      <c r="T20" s="1" t="s">
        <v>24</v>
      </c>
      <c r="U20" s="4" t="s">
        <v>438</v>
      </c>
      <c r="V20" s="1" t="s">
        <v>439</v>
      </c>
      <c r="W20" s="5" t="s">
        <v>37</v>
      </c>
      <c r="X20" s="5" t="s">
        <v>37</v>
      </c>
      <c r="Y20" s="22" t="s">
        <v>211</v>
      </c>
      <c r="Z20" s="17">
        <v>1000000</v>
      </c>
      <c r="AA20" s="29"/>
      <c r="AB20" s="29"/>
      <c r="AC20" s="22"/>
      <c r="AD20" s="25" t="e">
        <f>SUMIF(#REF!,Overview!U20,#REF!)</f>
        <v>#REF!</v>
      </c>
      <c r="AE20" s="27" t="e">
        <f>SUMIF(#REF!,Overview!U20,#REF!)</f>
        <v>#REF!</v>
      </c>
      <c r="AF20" s="1" t="e">
        <f>SUMIF(#REF!,Overview!U20,#REF!)</f>
        <v>#REF!</v>
      </c>
      <c r="AG20" s="1" t="e">
        <f>SUMIF(#REF!,Overview!U20,#REF!)</f>
        <v>#REF!</v>
      </c>
      <c r="AH20" s="1" t="e">
        <f>SUMIF(#REF!,Overview!U20,#REF!)</f>
        <v>#REF!</v>
      </c>
      <c r="AI20" s="1" t="e">
        <f>SUMIF(#REF!,Overview!U20,#REF!)</f>
        <v>#REF!</v>
      </c>
      <c r="AJ20" s="1" t="e">
        <f>SUMIF(#REF!,Overview!U20,#REF!)</f>
        <v>#REF!</v>
      </c>
      <c r="AK20" s="1" t="e">
        <f>SUMIF(#REF!,Overview!U20,#REF!)</f>
        <v>#REF!</v>
      </c>
      <c r="AL20" s="1" t="e">
        <f>SUMIF(#REF!,Overview!U20,#REF!)</f>
        <v>#REF!</v>
      </c>
      <c r="AM20" s="1" t="e">
        <f>SUMIF(#REF!,Overview!U20,#REF!)</f>
        <v>#REF!</v>
      </c>
      <c r="AN20" s="1" t="e">
        <f>SUMIF(#REF!,Overview!U20,#REF!)</f>
        <v>#REF!</v>
      </c>
      <c r="AO20" s="1" t="e">
        <f>SUMIF(#REF!,Overview!U20,#REF!)</f>
        <v>#REF!</v>
      </c>
      <c r="AP20" s="1" t="e">
        <f>SUMIF(#REF!,Overview!U20,#REF!)</f>
        <v>#REF!</v>
      </c>
      <c r="AQ20" s="1" t="e">
        <f>SUMIF(#REF!,Overview!U20,#REF!)</f>
        <v>#REF!</v>
      </c>
      <c r="AR20" s="1" t="e">
        <f>SUMIF(#REF!,Overview!U20,#REF!)</f>
        <v>#REF!</v>
      </c>
      <c r="AS20" s="5" t="e">
        <f>SUMIF(#REF!,Overview!U20,#REF!)</f>
        <v>#REF!</v>
      </c>
      <c r="AT20" s="49" t="e">
        <f t="shared" si="22"/>
        <v>#REF!</v>
      </c>
      <c r="AU20" s="30" t="e">
        <f t="shared" si="22"/>
        <v>#REF!</v>
      </c>
      <c r="AV20" s="30" t="e">
        <f t="shared" si="22"/>
        <v>#REF!</v>
      </c>
      <c r="AW20" s="30" t="e">
        <f t="shared" si="22"/>
        <v>#REF!</v>
      </c>
      <c r="AX20" s="30" t="e">
        <f t="shared" si="22"/>
        <v>#REF!</v>
      </c>
      <c r="AY20" s="30" t="e">
        <f t="shared" si="22"/>
        <v>#REF!</v>
      </c>
      <c r="AZ20" s="30" t="e">
        <f t="shared" si="22"/>
        <v>#REF!</v>
      </c>
      <c r="BA20" s="30" t="e">
        <f t="shared" si="22"/>
        <v>#REF!</v>
      </c>
      <c r="BB20" s="30" t="e">
        <f t="shared" si="22"/>
        <v>#REF!</v>
      </c>
      <c r="BC20" s="30" t="e">
        <f t="shared" si="22"/>
        <v>#REF!</v>
      </c>
      <c r="BD20" s="30" t="e">
        <f t="shared" si="22"/>
        <v>#REF!</v>
      </c>
      <c r="BE20" s="30" t="e">
        <f t="shared" si="22"/>
        <v>#REF!</v>
      </c>
      <c r="BF20" s="30" t="e">
        <f t="shared" si="22"/>
        <v>#REF!</v>
      </c>
      <c r="BG20" s="30" t="e">
        <f t="shared" si="22"/>
        <v>#REF!</v>
      </c>
      <c r="BH20" s="30" t="e">
        <f t="shared" si="22"/>
        <v>#REF!</v>
      </c>
      <c r="BI20" s="50" t="e">
        <f t="shared" si="22"/>
        <v>#REF!</v>
      </c>
      <c r="BJ20" s="49" t="e">
        <f t="shared" si="23"/>
        <v>#REF!</v>
      </c>
      <c r="BK20" s="30" t="e">
        <f t="shared" si="23"/>
        <v>#REF!</v>
      </c>
      <c r="BL20" s="30" t="e">
        <f t="shared" si="23"/>
        <v>#REF!</v>
      </c>
      <c r="BM20" s="30" t="e">
        <f t="shared" si="23"/>
        <v>#REF!</v>
      </c>
      <c r="BN20" s="30" t="e">
        <f t="shared" si="23"/>
        <v>#REF!</v>
      </c>
      <c r="BO20" s="30" t="e">
        <f t="shared" si="23"/>
        <v>#REF!</v>
      </c>
      <c r="BP20" s="30" t="e">
        <f t="shared" si="23"/>
        <v>#REF!</v>
      </c>
      <c r="BQ20" s="30" t="e">
        <f t="shared" si="23"/>
        <v>#REF!</v>
      </c>
      <c r="BR20" s="30" t="e">
        <f t="shared" si="23"/>
        <v>#REF!</v>
      </c>
      <c r="BS20" s="30" t="e">
        <f t="shared" si="23"/>
        <v>#REF!</v>
      </c>
      <c r="BT20" s="30" t="e">
        <f t="shared" si="23"/>
        <v>#REF!</v>
      </c>
      <c r="BU20" s="30" t="e">
        <f t="shared" si="23"/>
        <v>#REF!</v>
      </c>
      <c r="BV20" s="30" t="e">
        <f t="shared" si="23"/>
        <v>#REF!</v>
      </c>
      <c r="BW20" s="30" t="e">
        <f t="shared" si="23"/>
        <v>#REF!</v>
      </c>
      <c r="BX20" s="30" t="e">
        <f t="shared" si="23"/>
        <v>#REF!</v>
      </c>
      <c r="BY20" s="50" t="e">
        <f t="shared" si="23"/>
        <v>#REF!</v>
      </c>
      <c r="BZ20" s="49" t="e">
        <f t="shared" si="24"/>
        <v>#REF!</v>
      </c>
      <c r="CA20" s="30" t="e">
        <f t="shared" si="24"/>
        <v>#REF!</v>
      </c>
      <c r="CB20" s="30" t="e">
        <f t="shared" si="24"/>
        <v>#REF!</v>
      </c>
      <c r="CC20" s="30" t="e">
        <f t="shared" si="24"/>
        <v>#REF!</v>
      </c>
      <c r="CD20" s="30" t="e">
        <f t="shared" si="24"/>
        <v>#REF!</v>
      </c>
      <c r="CE20" s="30" t="e">
        <f t="shared" si="24"/>
        <v>#REF!</v>
      </c>
      <c r="CF20" s="30" t="e">
        <f t="shared" si="24"/>
        <v>#REF!</v>
      </c>
      <c r="CG20" s="30" t="e">
        <f t="shared" si="24"/>
        <v>#REF!</v>
      </c>
      <c r="CH20" s="30" t="e">
        <f t="shared" si="24"/>
        <v>#REF!</v>
      </c>
      <c r="CI20" s="30" t="e">
        <f t="shared" si="24"/>
        <v>#REF!</v>
      </c>
      <c r="CJ20" s="30" t="e">
        <f t="shared" si="24"/>
        <v>#REF!</v>
      </c>
      <c r="CK20" s="30" t="e">
        <f t="shared" si="24"/>
        <v>#REF!</v>
      </c>
      <c r="CL20" s="30" t="e">
        <f t="shared" si="24"/>
        <v>#REF!</v>
      </c>
      <c r="CM20" s="30" t="e">
        <f t="shared" si="24"/>
        <v>#REF!</v>
      </c>
      <c r="CN20" s="30" t="e">
        <f t="shared" si="24"/>
        <v>#REF!</v>
      </c>
      <c r="CO20" s="50" t="e">
        <f t="shared" si="24"/>
        <v>#REF!</v>
      </c>
      <c r="CP20" s="1" t="e">
        <f>SUMIF(#REF!,Overview!$U20,#REF!)</f>
        <v>#REF!</v>
      </c>
      <c r="CQ20" s="1" t="e">
        <f>SUMIF(#REF!,Overview!$U20,#REF!)</f>
        <v>#REF!</v>
      </c>
      <c r="CR20" s="1" t="e">
        <f>SUMIF(#REF!,Overview!$U20,#REF!)</f>
        <v>#REF!</v>
      </c>
      <c r="CS20" s="1" t="e">
        <f>SUMIF(#REF!,Overview!$U20,#REF!)</f>
        <v>#REF!</v>
      </c>
      <c r="CT20" s="1" t="e">
        <f>SUMIF(#REF!,Overview!$U20,#REF!)</f>
        <v>#REF!</v>
      </c>
      <c r="CU20" s="1" t="e">
        <f>SUMIF(#REF!,Overview!$U20,#REF!)</f>
        <v>#REF!</v>
      </c>
      <c r="CV20" s="1" t="e">
        <f>SUMIF(#REF!,Overview!$U20,#REF!)</f>
        <v>#REF!</v>
      </c>
      <c r="CW20" s="1" t="e">
        <f>SUMIF(#REF!,Overview!$U20,#REF!)</f>
        <v>#REF!</v>
      </c>
      <c r="CX20" s="1" t="e">
        <f>SUMIF(#REF!,Overview!$U20,#REF!)</f>
        <v>#REF!</v>
      </c>
      <c r="CY20" s="1" t="e">
        <f>SUMIF(#REF!,Overview!$U20,#REF!)</f>
        <v>#REF!</v>
      </c>
      <c r="CZ20" s="1" t="e">
        <f>SUMIF(#REF!,Overview!$U20,#REF!)</f>
        <v>#REF!</v>
      </c>
      <c r="DA20" s="1" t="e">
        <f>SUMIF(#REF!,Overview!$U20,#REF!)</f>
        <v>#REF!</v>
      </c>
      <c r="DB20" s="1" t="e">
        <f>SUMIF(#REF!,Overview!$U20,#REF!)</f>
        <v>#REF!</v>
      </c>
      <c r="DC20" s="1" t="e">
        <f>SUMIF(#REF!,Overview!$U20,#REF!)</f>
        <v>#REF!</v>
      </c>
      <c r="DD20" s="1" t="e">
        <f>SUMIF(#REF!,Overview!$U20,#REF!)</f>
        <v>#REF!</v>
      </c>
      <c r="DE20" s="5" t="e">
        <f>SUMIF(#REF!,Overview!$U20,#REF!)</f>
        <v>#REF!</v>
      </c>
    </row>
    <row r="21" spans="1:109" ht="29">
      <c r="A21" s="3" t="s">
        <v>73</v>
      </c>
      <c r="B21" s="14" t="s">
        <v>74</v>
      </c>
      <c r="C21" s="4">
        <v>0.67944058724160183</v>
      </c>
      <c r="D21" s="1">
        <v>0</v>
      </c>
      <c r="E21" s="1">
        <v>3.0506444277040072E-6</v>
      </c>
      <c r="F21">
        <v>0.67903385084054668</v>
      </c>
      <c r="G21" s="4">
        <v>2451.8031077691089</v>
      </c>
      <c r="H21" s="1">
        <v>2.0376543796622698E-3</v>
      </c>
      <c r="I21" s="1">
        <v>1.6127770124850359E-2</v>
      </c>
      <c r="J21">
        <v>2451.820008733127</v>
      </c>
      <c r="K21" s="4" t="s">
        <v>17</v>
      </c>
      <c r="L21" s="1" t="s">
        <v>75</v>
      </c>
      <c r="M21" s="1" t="s">
        <v>76</v>
      </c>
      <c r="N21" s="11" t="s">
        <v>37</v>
      </c>
      <c r="O21" s="1" t="s">
        <v>58</v>
      </c>
      <c r="P21" s="1" t="s">
        <v>30</v>
      </c>
      <c r="Q21" s="1" t="s">
        <v>23</v>
      </c>
      <c r="R21" s="36" t="s">
        <v>288</v>
      </c>
      <c r="S21" s="24" t="s">
        <v>77</v>
      </c>
      <c r="T21" s="1" t="s">
        <v>24</v>
      </c>
      <c r="U21" s="4" t="s">
        <v>244</v>
      </c>
      <c r="V21" s="1" t="s">
        <v>76</v>
      </c>
      <c r="W21" s="5" t="s">
        <v>37</v>
      </c>
      <c r="X21" s="5" t="s">
        <v>37</v>
      </c>
      <c r="Y21" s="22" t="s">
        <v>211</v>
      </c>
      <c r="Z21" s="17">
        <v>1000000</v>
      </c>
      <c r="AA21" s="29"/>
      <c r="AB21" s="29"/>
      <c r="AC21" s="22" t="s">
        <v>282</v>
      </c>
      <c r="AD21" s="25" t="e">
        <f>SUMIF(#REF!,Overview!U21,#REF!)</f>
        <v>#REF!</v>
      </c>
      <c r="AE21" s="27" t="e">
        <f>SUMIF(#REF!,Overview!U21,#REF!)</f>
        <v>#REF!</v>
      </c>
      <c r="AF21" s="1" t="e">
        <f>SUMIF(#REF!,Overview!U21,#REF!)</f>
        <v>#REF!</v>
      </c>
      <c r="AG21" s="1" t="e">
        <f>SUMIF(#REF!,Overview!U21,#REF!)</f>
        <v>#REF!</v>
      </c>
      <c r="AH21" s="1" t="e">
        <f>SUMIF(#REF!,Overview!U21,#REF!)</f>
        <v>#REF!</v>
      </c>
      <c r="AI21" s="1" t="e">
        <f>SUMIF(#REF!,Overview!U21,#REF!)</f>
        <v>#REF!</v>
      </c>
      <c r="AJ21" s="1" t="e">
        <f>SUMIF(#REF!,Overview!U21,#REF!)</f>
        <v>#REF!</v>
      </c>
      <c r="AK21" s="1" t="e">
        <f>SUMIF(#REF!,Overview!U21,#REF!)</f>
        <v>#REF!</v>
      </c>
      <c r="AL21" s="1" t="e">
        <f>SUMIF(#REF!,Overview!U21,#REF!)</f>
        <v>#REF!</v>
      </c>
      <c r="AM21" s="1" t="e">
        <f>SUMIF(#REF!,Overview!U21,#REF!)</f>
        <v>#REF!</v>
      </c>
      <c r="AN21" s="1" t="e">
        <f>SUMIF(#REF!,Overview!U21,#REF!)</f>
        <v>#REF!</v>
      </c>
      <c r="AO21" s="1" t="e">
        <f>SUMIF(#REF!,Overview!U21,#REF!)</f>
        <v>#REF!</v>
      </c>
      <c r="AP21" s="1" t="e">
        <f>SUMIF(#REF!,Overview!U21,#REF!)</f>
        <v>#REF!</v>
      </c>
      <c r="AQ21" s="1" t="e">
        <f>SUMIF(#REF!,Overview!U21,#REF!)</f>
        <v>#REF!</v>
      </c>
      <c r="AR21" s="1" t="e">
        <f>SUMIF(#REF!,Overview!U21,#REF!)</f>
        <v>#REF!</v>
      </c>
      <c r="AS21" s="5" t="e">
        <f>SUMIF(#REF!,Overview!U21,#REF!)</f>
        <v>#REF!</v>
      </c>
      <c r="AT21" s="51" t="e">
        <f t="shared" ref="AT21:BI21" si="25">AD21*$Z21*$G21</f>
        <v>#REF!</v>
      </c>
      <c r="AU21" s="52" t="e">
        <f t="shared" si="25"/>
        <v>#REF!</v>
      </c>
      <c r="AV21" s="52" t="e">
        <f t="shared" si="25"/>
        <v>#REF!</v>
      </c>
      <c r="AW21" s="52" t="e">
        <f t="shared" si="25"/>
        <v>#REF!</v>
      </c>
      <c r="AX21" s="52" t="e">
        <f t="shared" si="25"/>
        <v>#REF!</v>
      </c>
      <c r="AY21" s="52" t="e">
        <f t="shared" si="25"/>
        <v>#REF!</v>
      </c>
      <c r="AZ21" s="52" t="e">
        <f t="shared" si="25"/>
        <v>#REF!</v>
      </c>
      <c r="BA21" s="52" t="e">
        <f t="shared" si="25"/>
        <v>#REF!</v>
      </c>
      <c r="BB21" s="52" t="e">
        <f t="shared" si="25"/>
        <v>#REF!</v>
      </c>
      <c r="BC21" s="52" t="e">
        <f t="shared" si="25"/>
        <v>#REF!</v>
      </c>
      <c r="BD21" s="52" t="e">
        <f t="shared" si="25"/>
        <v>#REF!</v>
      </c>
      <c r="BE21" s="52" t="e">
        <f t="shared" si="25"/>
        <v>#REF!</v>
      </c>
      <c r="BF21" s="52" t="e">
        <f t="shared" si="25"/>
        <v>#REF!</v>
      </c>
      <c r="BG21" s="52" t="e">
        <f t="shared" si="25"/>
        <v>#REF!</v>
      </c>
      <c r="BH21" s="52" t="e">
        <f t="shared" si="25"/>
        <v>#REF!</v>
      </c>
      <c r="BI21" s="53" t="e">
        <f t="shared" si="25"/>
        <v>#REF!</v>
      </c>
      <c r="BJ21" s="51" t="e">
        <f t="shared" ref="BJ21:BY21" si="26">AD21*$Z21*$H21</f>
        <v>#REF!</v>
      </c>
      <c r="BK21" s="52" t="e">
        <f t="shared" si="26"/>
        <v>#REF!</v>
      </c>
      <c r="BL21" s="52" t="e">
        <f t="shared" si="26"/>
        <v>#REF!</v>
      </c>
      <c r="BM21" s="52" t="e">
        <f t="shared" si="26"/>
        <v>#REF!</v>
      </c>
      <c r="BN21" s="52" t="e">
        <f t="shared" si="26"/>
        <v>#REF!</v>
      </c>
      <c r="BO21" s="52" t="e">
        <f t="shared" si="26"/>
        <v>#REF!</v>
      </c>
      <c r="BP21" s="52" t="e">
        <f t="shared" si="26"/>
        <v>#REF!</v>
      </c>
      <c r="BQ21" s="52" t="e">
        <f t="shared" si="26"/>
        <v>#REF!</v>
      </c>
      <c r="BR21" s="52" t="e">
        <f t="shared" si="26"/>
        <v>#REF!</v>
      </c>
      <c r="BS21" s="52" t="e">
        <f t="shared" si="26"/>
        <v>#REF!</v>
      </c>
      <c r="BT21" s="52" t="e">
        <f t="shared" si="26"/>
        <v>#REF!</v>
      </c>
      <c r="BU21" s="52" t="e">
        <f t="shared" si="26"/>
        <v>#REF!</v>
      </c>
      <c r="BV21" s="52" t="e">
        <f t="shared" si="26"/>
        <v>#REF!</v>
      </c>
      <c r="BW21" s="52" t="e">
        <f t="shared" si="26"/>
        <v>#REF!</v>
      </c>
      <c r="BX21" s="52" t="e">
        <f t="shared" si="26"/>
        <v>#REF!</v>
      </c>
      <c r="BY21" s="53" t="e">
        <f t="shared" si="26"/>
        <v>#REF!</v>
      </c>
      <c r="BZ21" s="51" t="e">
        <f t="shared" si="5"/>
        <v>#REF!</v>
      </c>
      <c r="CA21" s="52" t="e">
        <f t="shared" ref="CA21:CO21" si="27">AE21*$Z21*$I21</f>
        <v>#REF!</v>
      </c>
      <c r="CB21" s="52" t="e">
        <f t="shared" si="27"/>
        <v>#REF!</v>
      </c>
      <c r="CC21" s="52" t="e">
        <f t="shared" si="27"/>
        <v>#REF!</v>
      </c>
      <c r="CD21" s="52" t="e">
        <f t="shared" si="27"/>
        <v>#REF!</v>
      </c>
      <c r="CE21" s="52" t="e">
        <f t="shared" si="27"/>
        <v>#REF!</v>
      </c>
      <c r="CF21" s="52" t="e">
        <f t="shared" si="27"/>
        <v>#REF!</v>
      </c>
      <c r="CG21" s="52" t="e">
        <f t="shared" si="27"/>
        <v>#REF!</v>
      </c>
      <c r="CH21" s="52" t="e">
        <f t="shared" si="27"/>
        <v>#REF!</v>
      </c>
      <c r="CI21" s="52" t="e">
        <f t="shared" si="27"/>
        <v>#REF!</v>
      </c>
      <c r="CJ21" s="52" t="e">
        <f t="shared" si="27"/>
        <v>#REF!</v>
      </c>
      <c r="CK21" s="52" t="e">
        <f t="shared" si="27"/>
        <v>#REF!</v>
      </c>
      <c r="CL21" s="52" t="e">
        <f t="shared" si="27"/>
        <v>#REF!</v>
      </c>
      <c r="CM21" s="52" t="e">
        <f t="shared" si="27"/>
        <v>#REF!</v>
      </c>
      <c r="CN21" s="52" t="e">
        <f t="shared" si="27"/>
        <v>#REF!</v>
      </c>
      <c r="CO21" s="53" t="e">
        <f t="shared" si="27"/>
        <v>#REF!</v>
      </c>
      <c r="CP21" s="1" t="e">
        <f>SUMIF(#REF!,Overview!$U21,#REF!)</f>
        <v>#REF!</v>
      </c>
      <c r="CQ21" s="1" t="e">
        <f>SUMIF(#REF!,Overview!$U21,#REF!)</f>
        <v>#REF!</v>
      </c>
      <c r="CR21" s="1" t="e">
        <f>SUMIF(#REF!,Overview!$U21,#REF!)</f>
        <v>#REF!</v>
      </c>
      <c r="CS21" s="1" t="e">
        <f>SUMIF(#REF!,Overview!$U21,#REF!)</f>
        <v>#REF!</v>
      </c>
      <c r="CT21" s="1" t="e">
        <f>SUMIF(#REF!,Overview!$U21,#REF!)</f>
        <v>#REF!</v>
      </c>
      <c r="CU21" s="1" t="e">
        <f>SUMIF(#REF!,Overview!$U21,#REF!)</f>
        <v>#REF!</v>
      </c>
      <c r="CV21" s="1" t="e">
        <f>SUMIF(#REF!,Overview!$U21,#REF!)</f>
        <v>#REF!</v>
      </c>
      <c r="CW21" s="1" t="e">
        <f>SUMIF(#REF!,Overview!$U21,#REF!)</f>
        <v>#REF!</v>
      </c>
      <c r="CX21" s="1" t="e">
        <f>SUMIF(#REF!,Overview!$U21,#REF!)</f>
        <v>#REF!</v>
      </c>
      <c r="CY21" s="1" t="e">
        <f>SUMIF(#REF!,Overview!$U21,#REF!)</f>
        <v>#REF!</v>
      </c>
      <c r="CZ21" s="1" t="e">
        <f>SUMIF(#REF!,Overview!$U21,#REF!)</f>
        <v>#REF!</v>
      </c>
      <c r="DA21" s="1" t="e">
        <f>SUMIF(#REF!,Overview!$U21,#REF!)</f>
        <v>#REF!</v>
      </c>
      <c r="DB21" s="1" t="e">
        <f>SUMIF(#REF!,Overview!$U21,#REF!)</f>
        <v>#REF!</v>
      </c>
      <c r="DC21" s="1" t="e">
        <f>SUMIF(#REF!,Overview!$U21,#REF!)</f>
        <v>#REF!</v>
      </c>
      <c r="DD21" s="1" t="e">
        <f>SUMIF(#REF!,Overview!$U21,#REF!)</f>
        <v>#REF!</v>
      </c>
      <c r="DE21" s="5" t="e">
        <f>SUMIF(#REF!,Overview!$U21,#REF!)</f>
        <v>#REF!</v>
      </c>
    </row>
    <row r="22" spans="1:109">
      <c r="A22" s="3" t="s">
        <v>78</v>
      </c>
      <c r="B22" s="14" t="s">
        <v>79</v>
      </c>
      <c r="C22" s="4">
        <v>0.30622228853006039</v>
      </c>
      <c r="D22" s="1">
        <v>0.30612521763050948</v>
      </c>
      <c r="E22" s="1">
        <v>0.30612531612162608</v>
      </c>
      <c r="F22">
        <v>0.30622267868938752</v>
      </c>
      <c r="G22" s="4">
        <v>2688.9987440115842</v>
      </c>
      <c r="H22" s="1">
        <v>2689.0001466848689</v>
      </c>
      <c r="I22" s="1">
        <v>2689.0004371219138</v>
      </c>
      <c r="J22">
        <v>2688.9930322347441</v>
      </c>
      <c r="K22" s="4" t="s">
        <v>17</v>
      </c>
      <c r="L22" s="1" t="s">
        <v>69</v>
      </c>
      <c r="M22" s="1" t="s">
        <v>70</v>
      </c>
      <c r="N22" s="11" t="s">
        <v>71</v>
      </c>
      <c r="O22" s="1" t="s">
        <v>72</v>
      </c>
      <c r="P22" s="1" t="s">
        <v>45</v>
      </c>
      <c r="Q22" s="1" t="s">
        <v>23</v>
      </c>
      <c r="R22" s="36" t="s">
        <v>287</v>
      </c>
      <c r="S22" s="24" t="s">
        <v>24</v>
      </c>
      <c r="T22" s="1" t="s">
        <v>24</v>
      </c>
      <c r="U22" s="4" t="s">
        <v>69</v>
      </c>
      <c r="V22" s="1" t="s">
        <v>70</v>
      </c>
      <c r="W22" s="5" t="s">
        <v>71</v>
      </c>
      <c r="X22" s="5" t="s">
        <v>37</v>
      </c>
      <c r="Y22" s="22" t="s">
        <v>220</v>
      </c>
      <c r="Z22" s="38">
        <f>1000000/200</f>
        <v>5000</v>
      </c>
      <c r="AA22" s="29"/>
      <c r="AB22" s="29"/>
      <c r="AC22" s="22"/>
      <c r="AD22" s="25" t="e">
        <f>SUMIF(#REF!,Overview!U22,#REF!)</f>
        <v>#REF!</v>
      </c>
      <c r="AE22" s="27" t="e">
        <f>SUMIF(#REF!,Overview!U22,#REF!)</f>
        <v>#REF!</v>
      </c>
      <c r="AF22" s="1" t="e">
        <f>SUMIF(#REF!,Overview!U22,#REF!)</f>
        <v>#REF!</v>
      </c>
      <c r="AG22" s="1" t="e">
        <f>SUMIF(#REF!,Overview!U22,#REF!)</f>
        <v>#REF!</v>
      </c>
      <c r="AH22" s="1" t="e">
        <f>SUMIF(#REF!,Overview!U22,#REF!)</f>
        <v>#REF!</v>
      </c>
      <c r="AI22" s="1" t="e">
        <f>SUMIF(#REF!,Overview!U22,#REF!)</f>
        <v>#REF!</v>
      </c>
      <c r="AJ22" s="1" t="e">
        <f>SUMIF(#REF!,Overview!U22,#REF!)</f>
        <v>#REF!</v>
      </c>
      <c r="AK22" s="1" t="e">
        <f>SUMIF(#REF!,Overview!U22,#REF!)</f>
        <v>#REF!</v>
      </c>
      <c r="AL22" s="1" t="e">
        <f>SUMIF(#REF!,Overview!U22,#REF!)</f>
        <v>#REF!</v>
      </c>
      <c r="AM22" s="1" t="e">
        <f>SUMIF(#REF!,Overview!U22,#REF!)</f>
        <v>#REF!</v>
      </c>
      <c r="AN22" s="1" t="e">
        <f>SUMIF(#REF!,Overview!U22,#REF!)</f>
        <v>#REF!</v>
      </c>
      <c r="AO22" s="1" t="e">
        <f>SUMIF(#REF!,Overview!U22,#REF!)</f>
        <v>#REF!</v>
      </c>
      <c r="AP22" s="1" t="e">
        <f>SUMIF(#REF!,Overview!U22,#REF!)</f>
        <v>#REF!</v>
      </c>
      <c r="AQ22" s="1" t="e">
        <f>SUMIF(#REF!,Overview!U22,#REF!)</f>
        <v>#REF!</v>
      </c>
      <c r="AR22" s="1" t="e">
        <f>SUMIF(#REF!,Overview!U22,#REF!)</f>
        <v>#REF!</v>
      </c>
      <c r="AS22" s="5" t="e">
        <f>SUMIF(#REF!,Overview!U22,#REF!)</f>
        <v>#REF!</v>
      </c>
      <c r="AT22" s="49" t="e">
        <f t="shared" ref="AT22:BI22" si="28">AD22*$Z22*$C22/25</f>
        <v>#REF!</v>
      </c>
      <c r="AU22" s="30" t="e">
        <f t="shared" si="28"/>
        <v>#REF!</v>
      </c>
      <c r="AV22" s="30" t="e">
        <f t="shared" si="28"/>
        <v>#REF!</v>
      </c>
      <c r="AW22" s="30" t="e">
        <f t="shared" si="28"/>
        <v>#REF!</v>
      </c>
      <c r="AX22" s="30" t="e">
        <f t="shared" si="28"/>
        <v>#REF!</v>
      </c>
      <c r="AY22" s="30" t="e">
        <f t="shared" si="28"/>
        <v>#REF!</v>
      </c>
      <c r="AZ22" s="30" t="e">
        <f t="shared" si="28"/>
        <v>#REF!</v>
      </c>
      <c r="BA22" s="30" t="e">
        <f t="shared" si="28"/>
        <v>#REF!</v>
      </c>
      <c r="BB22" s="30" t="e">
        <f t="shared" si="28"/>
        <v>#REF!</v>
      </c>
      <c r="BC22" s="30" t="e">
        <f t="shared" si="28"/>
        <v>#REF!</v>
      </c>
      <c r="BD22" s="30" t="e">
        <f t="shared" si="28"/>
        <v>#REF!</v>
      </c>
      <c r="BE22" s="30" t="e">
        <f t="shared" si="28"/>
        <v>#REF!</v>
      </c>
      <c r="BF22" s="30" t="e">
        <f t="shared" si="28"/>
        <v>#REF!</v>
      </c>
      <c r="BG22" s="30" t="e">
        <f t="shared" si="28"/>
        <v>#REF!</v>
      </c>
      <c r="BH22" s="30" t="e">
        <f t="shared" si="28"/>
        <v>#REF!</v>
      </c>
      <c r="BI22" s="50" t="e">
        <f t="shared" si="28"/>
        <v>#REF!</v>
      </c>
      <c r="BJ22" s="49" t="e">
        <f t="shared" ref="BJ22:BY22" si="29">AD22*$Z22*$D22/25</f>
        <v>#REF!</v>
      </c>
      <c r="BK22" s="30" t="e">
        <f t="shared" si="29"/>
        <v>#REF!</v>
      </c>
      <c r="BL22" s="30" t="e">
        <f t="shared" si="29"/>
        <v>#REF!</v>
      </c>
      <c r="BM22" s="30" t="e">
        <f t="shared" si="29"/>
        <v>#REF!</v>
      </c>
      <c r="BN22" s="30" t="e">
        <f t="shared" si="29"/>
        <v>#REF!</v>
      </c>
      <c r="BO22" s="30" t="e">
        <f t="shared" si="29"/>
        <v>#REF!</v>
      </c>
      <c r="BP22" s="30" t="e">
        <f t="shared" si="29"/>
        <v>#REF!</v>
      </c>
      <c r="BQ22" s="30" t="e">
        <f t="shared" si="29"/>
        <v>#REF!</v>
      </c>
      <c r="BR22" s="30" t="e">
        <f t="shared" si="29"/>
        <v>#REF!</v>
      </c>
      <c r="BS22" s="30" t="e">
        <f t="shared" si="29"/>
        <v>#REF!</v>
      </c>
      <c r="BT22" s="30" t="e">
        <f t="shared" si="29"/>
        <v>#REF!</v>
      </c>
      <c r="BU22" s="30" t="e">
        <f t="shared" si="29"/>
        <v>#REF!</v>
      </c>
      <c r="BV22" s="30" t="e">
        <f t="shared" si="29"/>
        <v>#REF!</v>
      </c>
      <c r="BW22" s="30" t="e">
        <f t="shared" si="29"/>
        <v>#REF!</v>
      </c>
      <c r="BX22" s="30" t="e">
        <f t="shared" si="29"/>
        <v>#REF!</v>
      </c>
      <c r="BY22" s="50" t="e">
        <f t="shared" si="29"/>
        <v>#REF!</v>
      </c>
      <c r="BZ22" s="49" t="e">
        <f t="shared" ref="BZ22:CO22" si="30">AD22*$Z22*$E22/25</f>
        <v>#REF!</v>
      </c>
      <c r="CA22" s="30" t="e">
        <f t="shared" si="30"/>
        <v>#REF!</v>
      </c>
      <c r="CB22" s="30" t="e">
        <f t="shared" si="30"/>
        <v>#REF!</v>
      </c>
      <c r="CC22" s="30" t="e">
        <f t="shared" si="30"/>
        <v>#REF!</v>
      </c>
      <c r="CD22" s="30" t="e">
        <f t="shared" si="30"/>
        <v>#REF!</v>
      </c>
      <c r="CE22" s="30" t="e">
        <f t="shared" si="30"/>
        <v>#REF!</v>
      </c>
      <c r="CF22" s="30" t="e">
        <f t="shared" si="30"/>
        <v>#REF!</v>
      </c>
      <c r="CG22" s="30" t="e">
        <f t="shared" si="30"/>
        <v>#REF!</v>
      </c>
      <c r="CH22" s="30" t="e">
        <f t="shared" si="30"/>
        <v>#REF!</v>
      </c>
      <c r="CI22" s="30" t="e">
        <f t="shared" si="30"/>
        <v>#REF!</v>
      </c>
      <c r="CJ22" s="30" t="e">
        <f t="shared" si="30"/>
        <v>#REF!</v>
      </c>
      <c r="CK22" s="30" t="e">
        <f t="shared" si="30"/>
        <v>#REF!</v>
      </c>
      <c r="CL22" s="30" t="e">
        <f t="shared" si="30"/>
        <v>#REF!</v>
      </c>
      <c r="CM22" s="30" t="e">
        <f t="shared" si="30"/>
        <v>#REF!</v>
      </c>
      <c r="CN22" s="30" t="e">
        <f t="shared" si="30"/>
        <v>#REF!</v>
      </c>
      <c r="CO22" s="50" t="e">
        <f t="shared" si="30"/>
        <v>#REF!</v>
      </c>
      <c r="CP22" s="1" t="e">
        <f>SUMIF(#REF!,Overview!$U22,#REF!)</f>
        <v>#REF!</v>
      </c>
      <c r="CQ22" s="1" t="e">
        <f>SUMIF(#REF!,Overview!$U22,#REF!)</f>
        <v>#REF!</v>
      </c>
      <c r="CR22" s="1" t="e">
        <f>SUMIF(#REF!,Overview!$U22,#REF!)</f>
        <v>#REF!</v>
      </c>
      <c r="CS22" s="1" t="e">
        <f>SUMIF(#REF!,Overview!$U22,#REF!)</f>
        <v>#REF!</v>
      </c>
      <c r="CT22" s="1" t="e">
        <f>SUMIF(#REF!,Overview!$U22,#REF!)</f>
        <v>#REF!</v>
      </c>
      <c r="CU22" s="1" t="e">
        <f>SUMIF(#REF!,Overview!$U22,#REF!)</f>
        <v>#REF!</v>
      </c>
      <c r="CV22" s="1" t="e">
        <f>SUMIF(#REF!,Overview!$U22,#REF!)</f>
        <v>#REF!</v>
      </c>
      <c r="CW22" s="1" t="e">
        <f>SUMIF(#REF!,Overview!$U22,#REF!)</f>
        <v>#REF!</v>
      </c>
      <c r="CX22" s="1" t="e">
        <f>SUMIF(#REF!,Overview!$U22,#REF!)</f>
        <v>#REF!</v>
      </c>
      <c r="CY22" s="1" t="e">
        <f>SUMIF(#REF!,Overview!$U22,#REF!)</f>
        <v>#REF!</v>
      </c>
      <c r="CZ22" s="1" t="e">
        <f>SUMIF(#REF!,Overview!$U22,#REF!)</f>
        <v>#REF!</v>
      </c>
      <c r="DA22" s="1" t="e">
        <f>SUMIF(#REF!,Overview!$U22,#REF!)</f>
        <v>#REF!</v>
      </c>
      <c r="DB22" s="1" t="e">
        <f>SUMIF(#REF!,Overview!$U22,#REF!)</f>
        <v>#REF!</v>
      </c>
      <c r="DC22" s="1" t="e">
        <f>SUMIF(#REF!,Overview!$U22,#REF!)</f>
        <v>#REF!</v>
      </c>
      <c r="DD22" s="1" t="e">
        <f>SUMIF(#REF!,Overview!$U22,#REF!)</f>
        <v>#REF!</v>
      </c>
      <c r="DE22" s="5" t="e">
        <f>SUMIF(#REF!,Overview!$U22,#REF!)</f>
        <v>#REF!</v>
      </c>
    </row>
    <row r="23" spans="1:109">
      <c r="A23" s="3" t="s">
        <v>80</v>
      </c>
      <c r="B23" s="15" t="s">
        <v>81</v>
      </c>
      <c r="C23" s="4">
        <v>16.703493794207368</v>
      </c>
      <c r="D23" s="1">
        <v>162.9708941045206</v>
      </c>
      <c r="E23" s="1">
        <v>16.702205531550831</v>
      </c>
      <c r="F23">
        <v>291.56790632166332</v>
      </c>
      <c r="G23" s="4">
        <v>73357.326753142683</v>
      </c>
      <c r="H23" s="1">
        <v>680567.03176643909</v>
      </c>
      <c r="I23" s="1">
        <v>71476.791967814177</v>
      </c>
      <c r="J23">
        <v>2425150.6634538602</v>
      </c>
      <c r="K23" s="4" t="s">
        <v>82</v>
      </c>
      <c r="L23" s="1" t="s">
        <v>24</v>
      </c>
      <c r="M23" s="1" t="s">
        <v>24</v>
      </c>
      <c r="N23" s="11" t="s">
        <v>24</v>
      </c>
      <c r="O23" s="12" t="s">
        <v>83</v>
      </c>
      <c r="P23" s="1" t="s">
        <v>30</v>
      </c>
      <c r="Q23" s="1" t="s">
        <v>84</v>
      </c>
      <c r="R23" s="36" t="s">
        <v>272</v>
      </c>
      <c r="S23" s="24" t="s">
        <v>24</v>
      </c>
      <c r="T23" s="1" t="s">
        <v>85</v>
      </c>
      <c r="U23" s="4" t="s">
        <v>205</v>
      </c>
      <c r="V23" s="1" t="s">
        <v>206</v>
      </c>
      <c r="W23" s="5" t="s">
        <v>51</v>
      </c>
      <c r="X23" s="5" t="s">
        <v>37</v>
      </c>
      <c r="Y23" s="22" t="s">
        <v>209</v>
      </c>
      <c r="Z23" s="29"/>
      <c r="AA23" s="29"/>
      <c r="AB23" s="17">
        <v>1000</v>
      </c>
      <c r="AC23" s="22"/>
      <c r="AD23" s="39" t="e">
        <f>SUMIF(#REF!,Overview!U23,#REF!)-1</f>
        <v>#REF!</v>
      </c>
      <c r="AE23" s="27" t="e">
        <f>SUMIF(#REF!,Overview!U23,#REF!)</f>
        <v>#REF!</v>
      </c>
      <c r="AF23" s="1" t="e">
        <f>SUMIF(#REF!,Overview!U23,#REF!)</f>
        <v>#REF!</v>
      </c>
      <c r="AG23" s="1" t="e">
        <f>SUMIF(#REF!,Overview!U23,#REF!)</f>
        <v>#REF!</v>
      </c>
      <c r="AH23" s="1" t="e">
        <f>SUMIF(#REF!,Overview!U23,#REF!)</f>
        <v>#REF!</v>
      </c>
      <c r="AI23" s="1" t="e">
        <f>SUMIF(#REF!,Overview!U23,#REF!)</f>
        <v>#REF!</v>
      </c>
      <c r="AJ23" s="1" t="e">
        <f>SUMIF(#REF!,Overview!U23,#REF!)</f>
        <v>#REF!</v>
      </c>
      <c r="AK23" s="1" t="e">
        <f>SUMIF(#REF!,Overview!U23,#REF!)</f>
        <v>#REF!</v>
      </c>
      <c r="AL23" s="1" t="e">
        <f>SUMIF(#REF!,Overview!U23,#REF!)</f>
        <v>#REF!</v>
      </c>
      <c r="AM23" s="1" t="e">
        <f>SUMIF(#REF!,Overview!U23,#REF!)</f>
        <v>#REF!</v>
      </c>
      <c r="AN23" s="1" t="e">
        <f>SUMIF(#REF!,Overview!U23,#REF!)</f>
        <v>#REF!</v>
      </c>
      <c r="AO23" s="1" t="e">
        <f>SUMIF(#REF!,Overview!U23,#REF!)</f>
        <v>#REF!</v>
      </c>
      <c r="AP23" s="1" t="e">
        <f>SUMIF(#REF!,Overview!U23,#REF!)</f>
        <v>#REF!</v>
      </c>
      <c r="AQ23" s="1" t="e">
        <f>SUMIF(#REF!,Overview!U23,#REF!)</f>
        <v>#REF!</v>
      </c>
      <c r="AR23" s="1" t="e">
        <f>SUMIF(#REF!,Overview!U23,#REF!)</f>
        <v>#REF!</v>
      </c>
      <c r="AS23" s="5" t="e">
        <f>SUMIF(#REF!,Overview!U23,#REF!)</f>
        <v>#REF!</v>
      </c>
      <c r="AT23" s="51" t="e">
        <f t="shared" ref="AT23:BI24" si="31">AD23*$AB23*$G23</f>
        <v>#REF!</v>
      </c>
      <c r="AU23" s="52" t="e">
        <f t="shared" si="31"/>
        <v>#REF!</v>
      </c>
      <c r="AV23" s="52" t="e">
        <f t="shared" si="31"/>
        <v>#REF!</v>
      </c>
      <c r="AW23" s="52" t="e">
        <f t="shared" si="31"/>
        <v>#REF!</v>
      </c>
      <c r="AX23" s="52" t="e">
        <f t="shared" si="31"/>
        <v>#REF!</v>
      </c>
      <c r="AY23" s="52" t="e">
        <f t="shared" si="31"/>
        <v>#REF!</v>
      </c>
      <c r="AZ23" s="52" t="e">
        <f t="shared" si="31"/>
        <v>#REF!</v>
      </c>
      <c r="BA23" s="52" t="e">
        <f t="shared" si="31"/>
        <v>#REF!</v>
      </c>
      <c r="BB23" s="52" t="e">
        <f t="shared" si="31"/>
        <v>#REF!</v>
      </c>
      <c r="BC23" s="52" t="e">
        <f t="shared" si="31"/>
        <v>#REF!</v>
      </c>
      <c r="BD23" s="52" t="e">
        <f t="shared" si="31"/>
        <v>#REF!</v>
      </c>
      <c r="BE23" s="52" t="e">
        <f t="shared" si="31"/>
        <v>#REF!</v>
      </c>
      <c r="BF23" s="52" t="e">
        <f t="shared" si="31"/>
        <v>#REF!</v>
      </c>
      <c r="BG23" s="52" t="e">
        <f t="shared" si="31"/>
        <v>#REF!</v>
      </c>
      <c r="BH23" s="52" t="e">
        <f t="shared" si="31"/>
        <v>#REF!</v>
      </c>
      <c r="BI23" s="53" t="e">
        <f t="shared" si="31"/>
        <v>#REF!</v>
      </c>
      <c r="BJ23" s="51" t="e">
        <f t="shared" ref="BJ23:BY24" si="32">AD23*$AB23*$H23</f>
        <v>#REF!</v>
      </c>
      <c r="BK23" s="52" t="e">
        <f t="shared" si="32"/>
        <v>#REF!</v>
      </c>
      <c r="BL23" s="52" t="e">
        <f t="shared" si="32"/>
        <v>#REF!</v>
      </c>
      <c r="BM23" s="52" t="e">
        <f t="shared" si="32"/>
        <v>#REF!</v>
      </c>
      <c r="BN23" s="52" t="e">
        <f t="shared" si="32"/>
        <v>#REF!</v>
      </c>
      <c r="BO23" s="52" t="e">
        <f t="shared" si="32"/>
        <v>#REF!</v>
      </c>
      <c r="BP23" s="52" t="e">
        <f t="shared" si="32"/>
        <v>#REF!</v>
      </c>
      <c r="BQ23" s="52" t="e">
        <f t="shared" si="32"/>
        <v>#REF!</v>
      </c>
      <c r="BR23" s="52" t="e">
        <f t="shared" si="32"/>
        <v>#REF!</v>
      </c>
      <c r="BS23" s="52" t="e">
        <f t="shared" si="32"/>
        <v>#REF!</v>
      </c>
      <c r="BT23" s="52" t="e">
        <f t="shared" si="32"/>
        <v>#REF!</v>
      </c>
      <c r="BU23" s="52" t="e">
        <f t="shared" si="32"/>
        <v>#REF!</v>
      </c>
      <c r="BV23" s="52" t="e">
        <f t="shared" si="32"/>
        <v>#REF!</v>
      </c>
      <c r="BW23" s="52" t="e">
        <f t="shared" si="32"/>
        <v>#REF!</v>
      </c>
      <c r="BX23" s="52" t="e">
        <f t="shared" si="32"/>
        <v>#REF!</v>
      </c>
      <c r="BY23" s="53" t="e">
        <f t="shared" si="32"/>
        <v>#REF!</v>
      </c>
      <c r="BZ23" s="51" t="e">
        <f t="shared" ref="BZ23:CO24" si="33">AD23*$AB23*$I23</f>
        <v>#REF!</v>
      </c>
      <c r="CA23" s="52" t="e">
        <f t="shared" si="33"/>
        <v>#REF!</v>
      </c>
      <c r="CB23" s="52" t="e">
        <f t="shared" si="33"/>
        <v>#REF!</v>
      </c>
      <c r="CC23" s="52" t="e">
        <f t="shared" si="33"/>
        <v>#REF!</v>
      </c>
      <c r="CD23" s="52" t="e">
        <f t="shared" si="33"/>
        <v>#REF!</v>
      </c>
      <c r="CE23" s="52" t="e">
        <f t="shared" si="33"/>
        <v>#REF!</v>
      </c>
      <c r="CF23" s="52" t="e">
        <f t="shared" si="33"/>
        <v>#REF!</v>
      </c>
      <c r="CG23" s="52" t="e">
        <f t="shared" si="33"/>
        <v>#REF!</v>
      </c>
      <c r="CH23" s="52" t="e">
        <f t="shared" si="33"/>
        <v>#REF!</v>
      </c>
      <c r="CI23" s="52" t="e">
        <f t="shared" si="33"/>
        <v>#REF!</v>
      </c>
      <c r="CJ23" s="52" t="e">
        <f t="shared" si="33"/>
        <v>#REF!</v>
      </c>
      <c r="CK23" s="52" t="e">
        <f t="shared" si="33"/>
        <v>#REF!</v>
      </c>
      <c r="CL23" s="52" t="e">
        <f t="shared" si="33"/>
        <v>#REF!</v>
      </c>
      <c r="CM23" s="52" t="e">
        <f t="shared" si="33"/>
        <v>#REF!</v>
      </c>
      <c r="CN23" s="52" t="e">
        <f t="shared" si="33"/>
        <v>#REF!</v>
      </c>
      <c r="CO23" s="53" t="e">
        <f t="shared" si="33"/>
        <v>#REF!</v>
      </c>
      <c r="CP23" s="139" t="e">
        <f>(SUMIF(#REF!,Overview!$U23,#REF!))-1</f>
        <v>#REF!</v>
      </c>
      <c r="CQ23" s="1" t="e">
        <f>SUMIF(#REF!,Overview!$U23,#REF!)</f>
        <v>#REF!</v>
      </c>
      <c r="CR23" s="1" t="e">
        <f>SUMIF(#REF!,Overview!$U23,#REF!)</f>
        <v>#REF!</v>
      </c>
      <c r="CS23" s="1" t="e">
        <f>SUMIF(#REF!,Overview!$U23,#REF!)</f>
        <v>#REF!</v>
      </c>
      <c r="CT23" s="1" t="e">
        <f>SUMIF(#REF!,Overview!$U23,#REF!)</f>
        <v>#REF!</v>
      </c>
      <c r="CU23" s="1" t="e">
        <f>SUMIF(#REF!,Overview!$U23,#REF!)</f>
        <v>#REF!</v>
      </c>
      <c r="CV23" s="1" t="e">
        <f>SUMIF(#REF!,Overview!$U23,#REF!)</f>
        <v>#REF!</v>
      </c>
      <c r="CW23" s="1" t="e">
        <f>SUMIF(#REF!,Overview!$U23,#REF!)</f>
        <v>#REF!</v>
      </c>
      <c r="CX23" s="1" t="e">
        <f>SUMIF(#REF!,Overview!$U23,#REF!)</f>
        <v>#REF!</v>
      </c>
      <c r="CY23" s="1" t="e">
        <f>SUMIF(#REF!,Overview!$U23,#REF!)</f>
        <v>#REF!</v>
      </c>
      <c r="CZ23" s="1" t="e">
        <f>SUMIF(#REF!,Overview!$U23,#REF!)</f>
        <v>#REF!</v>
      </c>
      <c r="DA23" s="1" t="e">
        <f>SUMIF(#REF!,Overview!$U23,#REF!)</f>
        <v>#REF!</v>
      </c>
      <c r="DB23" s="1" t="e">
        <f>SUMIF(#REF!,Overview!$U23,#REF!)</f>
        <v>#REF!</v>
      </c>
      <c r="DC23" s="1" t="e">
        <f>SUMIF(#REF!,Overview!$U23,#REF!)</f>
        <v>#REF!</v>
      </c>
      <c r="DD23" s="1" t="e">
        <f>SUMIF(#REF!,Overview!$U23,#REF!)</f>
        <v>#REF!</v>
      </c>
      <c r="DE23" s="5" t="e">
        <f>SUMIF(#REF!,Overview!$U23,#REF!)</f>
        <v>#REF!</v>
      </c>
    </row>
    <row r="24" spans="1:109">
      <c r="A24" s="3" t="s">
        <v>86</v>
      </c>
      <c r="B24" s="15" t="s">
        <v>87</v>
      </c>
      <c r="D24" s="1">
        <v>319.05552951033872</v>
      </c>
      <c r="E24" s="1"/>
      <c r="F24"/>
      <c r="H24" s="1">
        <v>2266282.5067671221</v>
      </c>
      <c r="I24" s="1"/>
      <c r="J24"/>
      <c r="K24" s="4" t="s">
        <v>82</v>
      </c>
      <c r="L24" s="1" t="s">
        <v>24</v>
      </c>
      <c r="M24" s="1" t="s">
        <v>24</v>
      </c>
      <c r="N24" s="11" t="s">
        <v>24</v>
      </c>
      <c r="O24" s="12" t="s">
        <v>83</v>
      </c>
      <c r="P24" s="1" t="s">
        <v>30</v>
      </c>
      <c r="Q24" s="1" t="s">
        <v>88</v>
      </c>
      <c r="R24" s="36" t="s">
        <v>272</v>
      </c>
      <c r="S24" s="24" t="s">
        <v>24</v>
      </c>
      <c r="T24" s="1" t="s">
        <v>85</v>
      </c>
      <c r="U24" s="4" t="s">
        <v>207</v>
      </c>
      <c r="V24" s="1" t="s">
        <v>208</v>
      </c>
      <c r="W24" s="5" t="s">
        <v>51</v>
      </c>
      <c r="X24" s="5" t="s">
        <v>37</v>
      </c>
      <c r="Y24" s="22" t="s">
        <v>209</v>
      </c>
      <c r="Z24" s="29"/>
      <c r="AA24" s="29"/>
      <c r="AB24" s="17">
        <v>1000</v>
      </c>
      <c r="AC24" s="22"/>
      <c r="AD24" s="39" t="e">
        <f>SUMIF(#REF!,Overview!U24,#REF!)-1</f>
        <v>#REF!</v>
      </c>
      <c r="AE24" s="27" t="e">
        <f>SUMIF(#REF!,Overview!U24,#REF!)</f>
        <v>#REF!</v>
      </c>
      <c r="AF24" s="1" t="e">
        <f>SUMIF(#REF!,Overview!U24,#REF!)</f>
        <v>#REF!</v>
      </c>
      <c r="AG24" s="1" t="e">
        <f>SUMIF(#REF!,Overview!U24,#REF!)</f>
        <v>#REF!</v>
      </c>
      <c r="AH24" s="1" t="e">
        <f>SUMIF(#REF!,Overview!U24,#REF!)</f>
        <v>#REF!</v>
      </c>
      <c r="AI24" s="1" t="e">
        <f>SUMIF(#REF!,Overview!U24,#REF!)</f>
        <v>#REF!</v>
      </c>
      <c r="AJ24" s="1" t="e">
        <f>SUMIF(#REF!,Overview!U24,#REF!)</f>
        <v>#REF!</v>
      </c>
      <c r="AK24" s="1" t="e">
        <f>SUMIF(#REF!,Overview!U24,#REF!)</f>
        <v>#REF!</v>
      </c>
      <c r="AL24" s="1" t="e">
        <f>SUMIF(#REF!,Overview!U24,#REF!)</f>
        <v>#REF!</v>
      </c>
      <c r="AM24" s="1" t="e">
        <f>SUMIF(#REF!,Overview!U24,#REF!)</f>
        <v>#REF!</v>
      </c>
      <c r="AN24" s="1" t="e">
        <f>SUMIF(#REF!,Overview!U24,#REF!)</f>
        <v>#REF!</v>
      </c>
      <c r="AO24" s="1" t="e">
        <f>SUMIF(#REF!,Overview!U24,#REF!)</f>
        <v>#REF!</v>
      </c>
      <c r="AP24" s="1" t="e">
        <f>SUMIF(#REF!,Overview!U24,#REF!)</f>
        <v>#REF!</v>
      </c>
      <c r="AQ24" s="1" t="e">
        <f>SUMIF(#REF!,Overview!U24,#REF!)</f>
        <v>#REF!</v>
      </c>
      <c r="AR24" s="1" t="e">
        <f>SUMIF(#REF!,Overview!U24,#REF!)</f>
        <v>#REF!</v>
      </c>
      <c r="AS24" s="5" t="e">
        <f>SUMIF(#REF!,Overview!U24,#REF!)</f>
        <v>#REF!</v>
      </c>
      <c r="AT24" s="51" t="e">
        <f t="shared" si="31"/>
        <v>#REF!</v>
      </c>
      <c r="AU24" s="52" t="e">
        <f t="shared" si="31"/>
        <v>#REF!</v>
      </c>
      <c r="AV24" s="52" t="e">
        <f t="shared" si="31"/>
        <v>#REF!</v>
      </c>
      <c r="AW24" s="52" t="e">
        <f t="shared" si="31"/>
        <v>#REF!</v>
      </c>
      <c r="AX24" s="52" t="e">
        <f t="shared" si="31"/>
        <v>#REF!</v>
      </c>
      <c r="AY24" s="52" t="e">
        <f t="shared" si="31"/>
        <v>#REF!</v>
      </c>
      <c r="AZ24" s="52" t="e">
        <f t="shared" si="31"/>
        <v>#REF!</v>
      </c>
      <c r="BA24" s="52" t="e">
        <f t="shared" si="31"/>
        <v>#REF!</v>
      </c>
      <c r="BB24" s="52" t="e">
        <f t="shared" si="31"/>
        <v>#REF!</v>
      </c>
      <c r="BC24" s="52" t="e">
        <f t="shared" si="31"/>
        <v>#REF!</v>
      </c>
      <c r="BD24" s="52" t="e">
        <f t="shared" si="31"/>
        <v>#REF!</v>
      </c>
      <c r="BE24" s="52" t="e">
        <f t="shared" si="31"/>
        <v>#REF!</v>
      </c>
      <c r="BF24" s="52" t="e">
        <f t="shared" si="31"/>
        <v>#REF!</v>
      </c>
      <c r="BG24" s="52" t="e">
        <f t="shared" si="31"/>
        <v>#REF!</v>
      </c>
      <c r="BH24" s="52" t="e">
        <f t="shared" si="31"/>
        <v>#REF!</v>
      </c>
      <c r="BI24" s="53" t="e">
        <f t="shared" si="31"/>
        <v>#REF!</v>
      </c>
      <c r="BJ24" s="51" t="e">
        <f t="shared" si="32"/>
        <v>#REF!</v>
      </c>
      <c r="BK24" s="52" t="e">
        <f t="shared" si="32"/>
        <v>#REF!</v>
      </c>
      <c r="BL24" s="52" t="e">
        <f t="shared" si="32"/>
        <v>#REF!</v>
      </c>
      <c r="BM24" s="52" t="e">
        <f t="shared" si="32"/>
        <v>#REF!</v>
      </c>
      <c r="BN24" s="52" t="e">
        <f t="shared" si="32"/>
        <v>#REF!</v>
      </c>
      <c r="BO24" s="52" t="e">
        <f t="shared" si="32"/>
        <v>#REF!</v>
      </c>
      <c r="BP24" s="52" t="e">
        <f t="shared" si="32"/>
        <v>#REF!</v>
      </c>
      <c r="BQ24" s="52" t="e">
        <f t="shared" si="32"/>
        <v>#REF!</v>
      </c>
      <c r="BR24" s="52" t="e">
        <f t="shared" si="32"/>
        <v>#REF!</v>
      </c>
      <c r="BS24" s="52" t="e">
        <f t="shared" si="32"/>
        <v>#REF!</v>
      </c>
      <c r="BT24" s="52" t="e">
        <f t="shared" si="32"/>
        <v>#REF!</v>
      </c>
      <c r="BU24" s="52" t="e">
        <f t="shared" si="32"/>
        <v>#REF!</v>
      </c>
      <c r="BV24" s="52" t="e">
        <f t="shared" si="32"/>
        <v>#REF!</v>
      </c>
      <c r="BW24" s="52" t="e">
        <f t="shared" si="32"/>
        <v>#REF!</v>
      </c>
      <c r="BX24" s="52" t="e">
        <f t="shared" si="32"/>
        <v>#REF!</v>
      </c>
      <c r="BY24" s="53" t="e">
        <f t="shared" si="32"/>
        <v>#REF!</v>
      </c>
      <c r="BZ24" s="51" t="e">
        <f t="shared" si="33"/>
        <v>#REF!</v>
      </c>
      <c r="CA24" s="52" t="e">
        <f t="shared" si="33"/>
        <v>#REF!</v>
      </c>
      <c r="CB24" s="52" t="e">
        <f t="shared" si="33"/>
        <v>#REF!</v>
      </c>
      <c r="CC24" s="52" t="e">
        <f t="shared" si="33"/>
        <v>#REF!</v>
      </c>
      <c r="CD24" s="52" t="e">
        <f t="shared" si="33"/>
        <v>#REF!</v>
      </c>
      <c r="CE24" s="52" t="e">
        <f t="shared" si="33"/>
        <v>#REF!</v>
      </c>
      <c r="CF24" s="52" t="e">
        <f t="shared" si="33"/>
        <v>#REF!</v>
      </c>
      <c r="CG24" s="52" t="e">
        <f t="shared" si="33"/>
        <v>#REF!</v>
      </c>
      <c r="CH24" s="52" t="e">
        <f t="shared" si="33"/>
        <v>#REF!</v>
      </c>
      <c r="CI24" s="52" t="e">
        <f t="shared" si="33"/>
        <v>#REF!</v>
      </c>
      <c r="CJ24" s="52" t="e">
        <f t="shared" si="33"/>
        <v>#REF!</v>
      </c>
      <c r="CK24" s="52" t="e">
        <f t="shared" si="33"/>
        <v>#REF!</v>
      </c>
      <c r="CL24" s="52" t="e">
        <f t="shared" si="33"/>
        <v>#REF!</v>
      </c>
      <c r="CM24" s="52" t="e">
        <f t="shared" si="33"/>
        <v>#REF!</v>
      </c>
      <c r="CN24" s="52" t="e">
        <f t="shared" si="33"/>
        <v>#REF!</v>
      </c>
      <c r="CO24" s="53" t="e">
        <f t="shared" si="33"/>
        <v>#REF!</v>
      </c>
      <c r="CP24" s="139" t="e">
        <f>(SUMIF(#REF!,Overview!$U24,#REF!))-1</f>
        <v>#REF!</v>
      </c>
      <c r="CQ24" s="1" t="e">
        <f>SUMIF(#REF!,Overview!$U24,#REF!)</f>
        <v>#REF!</v>
      </c>
      <c r="CR24" s="1" t="e">
        <f>SUMIF(#REF!,Overview!$U24,#REF!)</f>
        <v>#REF!</v>
      </c>
      <c r="CS24" s="1" t="e">
        <f>SUMIF(#REF!,Overview!$U24,#REF!)</f>
        <v>#REF!</v>
      </c>
      <c r="CT24" s="1" t="e">
        <f>SUMIF(#REF!,Overview!$U24,#REF!)</f>
        <v>#REF!</v>
      </c>
      <c r="CU24" s="1" t="e">
        <f>SUMIF(#REF!,Overview!$U24,#REF!)</f>
        <v>#REF!</v>
      </c>
      <c r="CV24" s="1" t="e">
        <f>SUMIF(#REF!,Overview!$U24,#REF!)</f>
        <v>#REF!</v>
      </c>
      <c r="CW24" s="1" t="e">
        <f>SUMIF(#REF!,Overview!$U24,#REF!)</f>
        <v>#REF!</v>
      </c>
      <c r="CX24" s="1" t="e">
        <f>SUMIF(#REF!,Overview!$U24,#REF!)</f>
        <v>#REF!</v>
      </c>
      <c r="CY24" s="1" t="e">
        <f>SUMIF(#REF!,Overview!$U24,#REF!)</f>
        <v>#REF!</v>
      </c>
      <c r="CZ24" s="1" t="e">
        <f>SUMIF(#REF!,Overview!$U24,#REF!)</f>
        <v>#REF!</v>
      </c>
      <c r="DA24" s="1" t="e">
        <f>SUMIF(#REF!,Overview!$U24,#REF!)</f>
        <v>#REF!</v>
      </c>
      <c r="DB24" s="1" t="e">
        <f>SUMIF(#REF!,Overview!$U24,#REF!)</f>
        <v>#REF!</v>
      </c>
      <c r="DC24" s="1" t="e">
        <f>SUMIF(#REF!,Overview!$U24,#REF!)</f>
        <v>#REF!</v>
      </c>
      <c r="DD24" s="1" t="e">
        <f>SUMIF(#REF!,Overview!$U24,#REF!)</f>
        <v>#REF!</v>
      </c>
      <c r="DE24" s="5" t="e">
        <f>SUMIF(#REF!,Overview!$U24,#REF!)</f>
        <v>#REF!</v>
      </c>
    </row>
    <row r="25" spans="1:109">
      <c r="A25" s="3" t="s">
        <v>89</v>
      </c>
      <c r="B25" s="14" t="s">
        <v>90</v>
      </c>
      <c r="C25" s="4">
        <v>1.0152435614577291E-4</v>
      </c>
      <c r="D25" s="1">
        <v>1.293762926875669E-5</v>
      </c>
      <c r="E25" s="1">
        <v>3.5613684939106327E-5</v>
      </c>
      <c r="F25">
        <v>2.2127504761125589E-4</v>
      </c>
      <c r="G25" s="4">
        <v>6.1244737171785597E-3</v>
      </c>
      <c r="H25" s="1">
        <v>9.2607764856302639E-4</v>
      </c>
      <c r="I25" s="1">
        <v>5.2418563535584174E-3</v>
      </c>
      <c r="J25">
        <v>2.6182430680423231E-2</v>
      </c>
      <c r="K25" s="4" t="s">
        <v>17</v>
      </c>
      <c r="L25" s="1" t="s">
        <v>91</v>
      </c>
      <c r="M25" s="1" t="s">
        <v>92</v>
      </c>
      <c r="N25" s="11" t="s">
        <v>37</v>
      </c>
      <c r="O25" s="1" t="s">
        <v>93</v>
      </c>
      <c r="P25" s="1" t="s">
        <v>45</v>
      </c>
      <c r="Q25" s="1" t="s">
        <v>94</v>
      </c>
      <c r="R25" s="36" t="s">
        <v>289</v>
      </c>
      <c r="S25" s="24" t="s">
        <v>24</v>
      </c>
      <c r="T25" s="1" t="s">
        <v>24</v>
      </c>
      <c r="U25" s="4" t="s">
        <v>91</v>
      </c>
      <c r="V25" s="1" t="s">
        <v>92</v>
      </c>
      <c r="W25" s="5" t="s">
        <v>37</v>
      </c>
      <c r="X25" s="5" t="s">
        <v>37</v>
      </c>
      <c r="Y25" s="22" t="s">
        <v>221</v>
      </c>
      <c r="Z25" s="38">
        <f>1000000/5</f>
        <v>200000</v>
      </c>
      <c r="AA25" s="29"/>
      <c r="AB25" s="29"/>
      <c r="AC25" s="22"/>
      <c r="AD25" s="25" t="e">
        <f>SUMIF(#REF!,Overview!U25,#REF!)</f>
        <v>#REF!</v>
      </c>
      <c r="AE25" s="27" t="e">
        <f>SUMIF(#REF!,Overview!U25,#REF!)</f>
        <v>#REF!</v>
      </c>
      <c r="AF25" s="1" t="e">
        <f>SUMIF(#REF!,Overview!U25,#REF!)</f>
        <v>#REF!</v>
      </c>
      <c r="AG25" s="1" t="e">
        <f>SUMIF(#REF!,Overview!U25,#REF!)</f>
        <v>#REF!</v>
      </c>
      <c r="AH25" s="1" t="e">
        <f>SUMIF(#REF!,Overview!U25,#REF!)</f>
        <v>#REF!</v>
      </c>
      <c r="AI25" s="1" t="e">
        <f>SUMIF(#REF!,Overview!U25,#REF!)</f>
        <v>#REF!</v>
      </c>
      <c r="AJ25" s="1" t="e">
        <f>SUMIF(#REF!,Overview!U25,#REF!)</f>
        <v>#REF!</v>
      </c>
      <c r="AK25" s="1" t="e">
        <f>SUMIF(#REF!,Overview!U25,#REF!)</f>
        <v>#REF!</v>
      </c>
      <c r="AL25" s="1" t="e">
        <f>SUMIF(#REF!,Overview!U25,#REF!)</f>
        <v>#REF!</v>
      </c>
      <c r="AM25" s="1" t="e">
        <f>SUMIF(#REF!,Overview!U25,#REF!)</f>
        <v>#REF!</v>
      </c>
      <c r="AN25" s="1" t="e">
        <f>SUMIF(#REF!,Overview!U25,#REF!)</f>
        <v>#REF!</v>
      </c>
      <c r="AO25" s="1" t="e">
        <f>SUMIF(#REF!,Overview!U25,#REF!)</f>
        <v>#REF!</v>
      </c>
      <c r="AP25" s="1" t="e">
        <f>SUMIF(#REF!,Overview!U25,#REF!)</f>
        <v>#REF!</v>
      </c>
      <c r="AQ25" s="1" t="e">
        <f>SUMIF(#REF!,Overview!U25,#REF!)</f>
        <v>#REF!</v>
      </c>
      <c r="AR25" s="1" t="e">
        <f>SUMIF(#REF!,Overview!U25,#REF!)</f>
        <v>#REF!</v>
      </c>
      <c r="AS25" s="5" t="e">
        <f>SUMIF(#REF!,Overview!U25,#REF!)</f>
        <v>#REF!</v>
      </c>
      <c r="AT25" s="49" t="e">
        <f t="shared" ref="AT25:BI25" si="34">AD25*$Z25*$C25/15</f>
        <v>#REF!</v>
      </c>
      <c r="AU25" s="30" t="e">
        <f t="shared" si="34"/>
        <v>#REF!</v>
      </c>
      <c r="AV25" s="30" t="e">
        <f t="shared" si="34"/>
        <v>#REF!</v>
      </c>
      <c r="AW25" s="30" t="e">
        <f t="shared" si="34"/>
        <v>#REF!</v>
      </c>
      <c r="AX25" s="30" t="e">
        <f t="shared" si="34"/>
        <v>#REF!</v>
      </c>
      <c r="AY25" s="30" t="e">
        <f t="shared" si="34"/>
        <v>#REF!</v>
      </c>
      <c r="AZ25" s="30" t="e">
        <f t="shared" si="34"/>
        <v>#REF!</v>
      </c>
      <c r="BA25" s="30" t="e">
        <f t="shared" si="34"/>
        <v>#REF!</v>
      </c>
      <c r="BB25" s="30" t="e">
        <f t="shared" si="34"/>
        <v>#REF!</v>
      </c>
      <c r="BC25" s="30" t="e">
        <f t="shared" si="34"/>
        <v>#REF!</v>
      </c>
      <c r="BD25" s="30" t="e">
        <f t="shared" si="34"/>
        <v>#REF!</v>
      </c>
      <c r="BE25" s="30" t="e">
        <f t="shared" si="34"/>
        <v>#REF!</v>
      </c>
      <c r="BF25" s="30" t="e">
        <f t="shared" si="34"/>
        <v>#REF!</v>
      </c>
      <c r="BG25" s="30" t="e">
        <f t="shared" si="34"/>
        <v>#REF!</v>
      </c>
      <c r="BH25" s="30" t="e">
        <f t="shared" si="34"/>
        <v>#REF!</v>
      </c>
      <c r="BI25" s="50" t="e">
        <f t="shared" si="34"/>
        <v>#REF!</v>
      </c>
      <c r="BJ25" s="49" t="e">
        <f t="shared" ref="BJ25:BY25" si="35">AD25*$Z25*$D25/15</f>
        <v>#REF!</v>
      </c>
      <c r="BK25" s="30" t="e">
        <f t="shared" si="35"/>
        <v>#REF!</v>
      </c>
      <c r="BL25" s="30" t="e">
        <f t="shared" si="35"/>
        <v>#REF!</v>
      </c>
      <c r="BM25" s="30" t="e">
        <f t="shared" si="35"/>
        <v>#REF!</v>
      </c>
      <c r="BN25" s="30" t="e">
        <f t="shared" si="35"/>
        <v>#REF!</v>
      </c>
      <c r="BO25" s="30" t="e">
        <f t="shared" si="35"/>
        <v>#REF!</v>
      </c>
      <c r="BP25" s="30" t="e">
        <f t="shared" si="35"/>
        <v>#REF!</v>
      </c>
      <c r="BQ25" s="30" t="e">
        <f t="shared" si="35"/>
        <v>#REF!</v>
      </c>
      <c r="BR25" s="30" t="e">
        <f t="shared" si="35"/>
        <v>#REF!</v>
      </c>
      <c r="BS25" s="30" t="e">
        <f t="shared" si="35"/>
        <v>#REF!</v>
      </c>
      <c r="BT25" s="30" t="e">
        <f t="shared" si="35"/>
        <v>#REF!</v>
      </c>
      <c r="BU25" s="30" t="e">
        <f t="shared" si="35"/>
        <v>#REF!</v>
      </c>
      <c r="BV25" s="30" t="e">
        <f t="shared" si="35"/>
        <v>#REF!</v>
      </c>
      <c r="BW25" s="30" t="e">
        <f t="shared" si="35"/>
        <v>#REF!</v>
      </c>
      <c r="BX25" s="30" t="e">
        <f t="shared" si="35"/>
        <v>#REF!</v>
      </c>
      <c r="BY25" s="50" t="e">
        <f t="shared" si="35"/>
        <v>#REF!</v>
      </c>
      <c r="BZ25" s="49" t="e">
        <f t="shared" ref="BZ25:CO25" si="36">AD25*$Z25*$E25/15</f>
        <v>#REF!</v>
      </c>
      <c r="CA25" s="30" t="e">
        <f t="shared" si="36"/>
        <v>#REF!</v>
      </c>
      <c r="CB25" s="30" t="e">
        <f t="shared" si="36"/>
        <v>#REF!</v>
      </c>
      <c r="CC25" s="30" t="e">
        <f t="shared" si="36"/>
        <v>#REF!</v>
      </c>
      <c r="CD25" s="30" t="e">
        <f t="shared" si="36"/>
        <v>#REF!</v>
      </c>
      <c r="CE25" s="30" t="e">
        <f t="shared" si="36"/>
        <v>#REF!</v>
      </c>
      <c r="CF25" s="30" t="e">
        <f t="shared" si="36"/>
        <v>#REF!</v>
      </c>
      <c r="CG25" s="30" t="e">
        <f t="shared" si="36"/>
        <v>#REF!</v>
      </c>
      <c r="CH25" s="30" t="e">
        <f t="shared" si="36"/>
        <v>#REF!</v>
      </c>
      <c r="CI25" s="30" t="e">
        <f t="shared" si="36"/>
        <v>#REF!</v>
      </c>
      <c r="CJ25" s="30" t="e">
        <f t="shared" si="36"/>
        <v>#REF!</v>
      </c>
      <c r="CK25" s="30" t="e">
        <f t="shared" si="36"/>
        <v>#REF!</v>
      </c>
      <c r="CL25" s="30" t="e">
        <f t="shared" si="36"/>
        <v>#REF!</v>
      </c>
      <c r="CM25" s="30" t="e">
        <f t="shared" si="36"/>
        <v>#REF!</v>
      </c>
      <c r="CN25" s="30" t="e">
        <f t="shared" si="36"/>
        <v>#REF!</v>
      </c>
      <c r="CO25" s="50" t="e">
        <f t="shared" si="36"/>
        <v>#REF!</v>
      </c>
      <c r="CP25" s="1" t="e">
        <f>SUMIF(#REF!,Overview!$U25,#REF!)</f>
        <v>#REF!</v>
      </c>
      <c r="CQ25" s="1" t="e">
        <f>SUMIF(#REF!,Overview!$U25,#REF!)</f>
        <v>#REF!</v>
      </c>
      <c r="CR25" s="1" t="e">
        <f>SUMIF(#REF!,Overview!$U25,#REF!)</f>
        <v>#REF!</v>
      </c>
      <c r="CS25" s="1" t="e">
        <f>SUMIF(#REF!,Overview!$U25,#REF!)</f>
        <v>#REF!</v>
      </c>
      <c r="CT25" s="1" t="e">
        <f>SUMIF(#REF!,Overview!$U25,#REF!)</f>
        <v>#REF!</v>
      </c>
      <c r="CU25" s="1" t="e">
        <f>SUMIF(#REF!,Overview!$U25,#REF!)</f>
        <v>#REF!</v>
      </c>
      <c r="CV25" s="1" t="e">
        <f>SUMIF(#REF!,Overview!$U25,#REF!)</f>
        <v>#REF!</v>
      </c>
      <c r="CW25" s="1" t="e">
        <f>SUMIF(#REF!,Overview!$U25,#REF!)</f>
        <v>#REF!</v>
      </c>
      <c r="CX25" s="1" t="e">
        <f>SUMIF(#REF!,Overview!$U25,#REF!)</f>
        <v>#REF!</v>
      </c>
      <c r="CY25" s="1" t="e">
        <f>SUMIF(#REF!,Overview!$U25,#REF!)</f>
        <v>#REF!</v>
      </c>
      <c r="CZ25" s="1" t="e">
        <f>SUMIF(#REF!,Overview!$U25,#REF!)</f>
        <v>#REF!</v>
      </c>
      <c r="DA25" s="1" t="e">
        <f>SUMIF(#REF!,Overview!$U25,#REF!)</f>
        <v>#REF!</v>
      </c>
      <c r="DB25" s="1" t="e">
        <f>SUMIF(#REF!,Overview!$U25,#REF!)</f>
        <v>#REF!</v>
      </c>
      <c r="DC25" s="1" t="e">
        <f>SUMIF(#REF!,Overview!$U25,#REF!)</f>
        <v>#REF!</v>
      </c>
      <c r="DD25" s="1" t="e">
        <f>SUMIF(#REF!,Overview!$U25,#REF!)</f>
        <v>#REF!</v>
      </c>
      <c r="DE25" s="5" t="e">
        <f>SUMIF(#REF!,Overview!$U25,#REF!)</f>
        <v>#REF!</v>
      </c>
    </row>
    <row r="26" spans="1:109">
      <c r="A26" s="3" t="s">
        <v>95</v>
      </c>
      <c r="B26" s="14" t="s">
        <v>96</v>
      </c>
      <c r="C26" s="4">
        <v>0.1247697007032198</v>
      </c>
      <c r="D26" s="1">
        <v>1.217375639491908</v>
      </c>
      <c r="E26" s="1">
        <v>0.12476500485866621</v>
      </c>
      <c r="F26">
        <v>2.8286482830531909</v>
      </c>
      <c r="G26" s="4">
        <v>547.98003992663939</v>
      </c>
      <c r="H26" s="1">
        <v>5083.7695198768743</v>
      </c>
      <c r="I26" s="1">
        <v>533.93813749292747</v>
      </c>
      <c r="J26">
        <v>12370.53377518922</v>
      </c>
      <c r="K26" s="4" t="s">
        <v>82</v>
      </c>
      <c r="L26" s="1" t="s">
        <v>24</v>
      </c>
      <c r="M26" s="1" t="s">
        <v>24</v>
      </c>
      <c r="N26" s="11" t="s">
        <v>24</v>
      </c>
      <c r="O26" s="1" t="s">
        <v>97</v>
      </c>
      <c r="P26" s="1" t="s">
        <v>45</v>
      </c>
      <c r="Q26" s="1" t="s">
        <v>98</v>
      </c>
      <c r="R26" s="36" t="s">
        <v>303</v>
      </c>
      <c r="S26" s="24" t="s">
        <v>24</v>
      </c>
      <c r="T26" s="1" t="s">
        <v>196</v>
      </c>
      <c r="U26" s="4" t="s">
        <v>275</v>
      </c>
      <c r="V26" s="1" t="s">
        <v>276</v>
      </c>
      <c r="W26" s="5" t="s">
        <v>51</v>
      </c>
      <c r="X26" s="5" t="s">
        <v>334</v>
      </c>
      <c r="Y26" s="22" t="s">
        <v>277</v>
      </c>
      <c r="Z26" s="38">
        <f>1000</f>
        <v>1000</v>
      </c>
      <c r="AA26" s="29"/>
      <c r="AB26" s="29"/>
      <c r="AC26" s="22"/>
      <c r="AD26" s="25" t="e">
        <f>SUMIF(#REF!,$U26,#REF!)</f>
        <v>#REF!</v>
      </c>
      <c r="AE26" s="27" t="e">
        <f>SUMIF(#REF!,$U26,#REF!)</f>
        <v>#REF!</v>
      </c>
      <c r="AF26" s="1" t="e">
        <f>SUMIF(#REF!,$U26,#REF!)</f>
        <v>#REF!</v>
      </c>
      <c r="AG26" s="1" t="e">
        <f>SUMIF(#REF!,$U26,#REF!)</f>
        <v>#REF!</v>
      </c>
      <c r="AH26" s="1" t="e">
        <f>SUMIF(#REF!,$U26,#REF!)</f>
        <v>#REF!</v>
      </c>
      <c r="AI26" s="1" t="e">
        <f>SUMIF(#REF!,$U26,#REF!)</f>
        <v>#REF!</v>
      </c>
      <c r="AJ26" s="1" t="e">
        <f>SUMIF(#REF!,$U26,#REF!)</f>
        <v>#REF!</v>
      </c>
      <c r="AK26" s="1" t="e">
        <f>SUMIF(#REF!,Overview!U26,#REF!)</f>
        <v>#REF!</v>
      </c>
      <c r="AL26" s="1" t="e">
        <f>SUMIF(#REF!,Overview!U26,#REF!)</f>
        <v>#REF!</v>
      </c>
      <c r="AM26" s="1" t="e">
        <f>SUMIF(#REF!,$U26,#REF!)</f>
        <v>#REF!</v>
      </c>
      <c r="AN26" s="1" t="e">
        <f>SUMIF(#REF!,$U26,#REF!)</f>
        <v>#REF!</v>
      </c>
      <c r="AO26" s="1" t="e">
        <f>SUMIF(#REF!,$U26,#REF!)</f>
        <v>#REF!</v>
      </c>
      <c r="AP26" s="1" t="e">
        <f>SUMIF(#REF!,$U26,#REF!)</f>
        <v>#REF!</v>
      </c>
      <c r="AQ26" s="1" t="e">
        <f>SUMIF(#REF!,$U26,#REF!)</f>
        <v>#REF!</v>
      </c>
      <c r="AR26" s="1" t="e">
        <f>SUMIF(#REF!,$U26,#REF!)</f>
        <v>#REF!</v>
      </c>
      <c r="AS26" s="5" t="e">
        <f>SUMIF(#REF!,$U26,#REF!)</f>
        <v>#REF!</v>
      </c>
      <c r="AT26" s="49" t="e">
        <f t="shared" ref="AT26:BI26" si="37">AD26*$Z26*$C26/7</f>
        <v>#REF!</v>
      </c>
      <c r="AU26" s="30" t="e">
        <f t="shared" si="37"/>
        <v>#REF!</v>
      </c>
      <c r="AV26" s="30" t="e">
        <f t="shared" si="37"/>
        <v>#REF!</v>
      </c>
      <c r="AW26" s="30" t="e">
        <f t="shared" si="37"/>
        <v>#REF!</v>
      </c>
      <c r="AX26" s="30" t="e">
        <f t="shared" si="37"/>
        <v>#REF!</v>
      </c>
      <c r="AY26" s="30" t="e">
        <f t="shared" si="37"/>
        <v>#REF!</v>
      </c>
      <c r="AZ26" s="30" t="e">
        <f t="shared" si="37"/>
        <v>#REF!</v>
      </c>
      <c r="BA26" s="30" t="e">
        <f t="shared" si="37"/>
        <v>#REF!</v>
      </c>
      <c r="BB26" s="30" t="e">
        <f t="shared" si="37"/>
        <v>#REF!</v>
      </c>
      <c r="BC26" s="30" t="e">
        <f t="shared" si="37"/>
        <v>#REF!</v>
      </c>
      <c r="BD26" s="30" t="e">
        <f t="shared" si="37"/>
        <v>#REF!</v>
      </c>
      <c r="BE26" s="30" t="e">
        <f t="shared" si="37"/>
        <v>#REF!</v>
      </c>
      <c r="BF26" s="30" t="e">
        <f t="shared" si="37"/>
        <v>#REF!</v>
      </c>
      <c r="BG26" s="30" t="e">
        <f t="shared" si="37"/>
        <v>#REF!</v>
      </c>
      <c r="BH26" s="30" t="e">
        <f t="shared" si="37"/>
        <v>#REF!</v>
      </c>
      <c r="BI26" s="50" t="e">
        <f t="shared" si="37"/>
        <v>#REF!</v>
      </c>
      <c r="BJ26" s="49" t="e">
        <f t="shared" ref="BJ26:BY26" si="38">AD26*$Z26*$D26/7</f>
        <v>#REF!</v>
      </c>
      <c r="BK26" s="30" t="e">
        <f t="shared" si="38"/>
        <v>#REF!</v>
      </c>
      <c r="BL26" s="30" t="e">
        <f t="shared" si="38"/>
        <v>#REF!</v>
      </c>
      <c r="BM26" s="30" t="e">
        <f t="shared" si="38"/>
        <v>#REF!</v>
      </c>
      <c r="BN26" s="30" t="e">
        <f t="shared" si="38"/>
        <v>#REF!</v>
      </c>
      <c r="BO26" s="30" t="e">
        <f t="shared" si="38"/>
        <v>#REF!</v>
      </c>
      <c r="BP26" s="30" t="e">
        <f t="shared" si="38"/>
        <v>#REF!</v>
      </c>
      <c r="BQ26" s="30" t="e">
        <f t="shared" si="38"/>
        <v>#REF!</v>
      </c>
      <c r="BR26" s="30" t="e">
        <f t="shared" si="38"/>
        <v>#REF!</v>
      </c>
      <c r="BS26" s="30" t="e">
        <f t="shared" si="38"/>
        <v>#REF!</v>
      </c>
      <c r="BT26" s="30" t="e">
        <f t="shared" si="38"/>
        <v>#REF!</v>
      </c>
      <c r="BU26" s="30" t="e">
        <f t="shared" si="38"/>
        <v>#REF!</v>
      </c>
      <c r="BV26" s="30" t="e">
        <f t="shared" si="38"/>
        <v>#REF!</v>
      </c>
      <c r="BW26" s="30" t="e">
        <f t="shared" si="38"/>
        <v>#REF!</v>
      </c>
      <c r="BX26" s="30" t="e">
        <f t="shared" si="38"/>
        <v>#REF!</v>
      </c>
      <c r="BY26" s="50" t="e">
        <f t="shared" si="38"/>
        <v>#REF!</v>
      </c>
      <c r="BZ26" s="49" t="e">
        <f t="shared" ref="BZ26:CO26" si="39">AD26*$Z26*$E26/7</f>
        <v>#REF!</v>
      </c>
      <c r="CA26" s="30" t="e">
        <f t="shared" si="39"/>
        <v>#REF!</v>
      </c>
      <c r="CB26" s="30" t="e">
        <f t="shared" si="39"/>
        <v>#REF!</v>
      </c>
      <c r="CC26" s="30" t="e">
        <f t="shared" si="39"/>
        <v>#REF!</v>
      </c>
      <c r="CD26" s="30" t="e">
        <f t="shared" si="39"/>
        <v>#REF!</v>
      </c>
      <c r="CE26" s="30" t="e">
        <f t="shared" si="39"/>
        <v>#REF!</v>
      </c>
      <c r="CF26" s="30" t="e">
        <f t="shared" si="39"/>
        <v>#REF!</v>
      </c>
      <c r="CG26" s="30" t="e">
        <f t="shared" si="39"/>
        <v>#REF!</v>
      </c>
      <c r="CH26" s="30" t="e">
        <f t="shared" si="39"/>
        <v>#REF!</v>
      </c>
      <c r="CI26" s="30" t="e">
        <f t="shared" si="39"/>
        <v>#REF!</v>
      </c>
      <c r="CJ26" s="30" t="e">
        <f t="shared" si="39"/>
        <v>#REF!</v>
      </c>
      <c r="CK26" s="30" t="e">
        <f t="shared" si="39"/>
        <v>#REF!</v>
      </c>
      <c r="CL26" s="30" t="e">
        <f t="shared" si="39"/>
        <v>#REF!</v>
      </c>
      <c r="CM26" s="30" t="e">
        <f t="shared" si="39"/>
        <v>#REF!</v>
      </c>
      <c r="CN26" s="30" t="e">
        <f t="shared" si="39"/>
        <v>#REF!</v>
      </c>
      <c r="CO26" s="50" t="e">
        <f t="shared" si="39"/>
        <v>#REF!</v>
      </c>
      <c r="CP26" s="1" t="e">
        <f>SUMIF(#REF!,Overview!$U26,#REF!)</f>
        <v>#REF!</v>
      </c>
      <c r="CQ26" s="1" t="e">
        <f>SUMIF(#REF!,Overview!$U26,#REF!)</f>
        <v>#REF!</v>
      </c>
      <c r="CR26" s="1" t="e">
        <f>SUMIF(#REF!,Overview!$U26,#REF!)</f>
        <v>#REF!</v>
      </c>
      <c r="CS26" s="1" t="e">
        <f>SUMIF(#REF!,Overview!$U26,#REF!)</f>
        <v>#REF!</v>
      </c>
      <c r="CT26" s="1" t="e">
        <f>SUMIF(#REF!,Overview!$U26,#REF!)</f>
        <v>#REF!</v>
      </c>
      <c r="CU26" s="1" t="e">
        <f>SUMIF(#REF!,Overview!$U26,#REF!)</f>
        <v>#REF!</v>
      </c>
      <c r="CV26" s="1" t="e">
        <f>SUMIF(#REF!,Overview!$U26,#REF!)</f>
        <v>#REF!</v>
      </c>
      <c r="CW26" s="1" t="e">
        <f>SUMIF(#REF!,Overview!$U26,#REF!)</f>
        <v>#REF!</v>
      </c>
      <c r="CX26" s="1" t="e">
        <f>SUMIF(#REF!,Overview!$U26,#REF!)</f>
        <v>#REF!</v>
      </c>
      <c r="CY26" s="1" t="e">
        <f>SUMIF(#REF!,Overview!$U26,#REF!)</f>
        <v>#REF!</v>
      </c>
      <c r="CZ26" s="1" t="e">
        <f>SUMIF(#REF!,Overview!$U26,#REF!)</f>
        <v>#REF!</v>
      </c>
      <c r="DA26" s="1" t="e">
        <f>SUMIF(#REF!,Overview!$U26,#REF!)</f>
        <v>#REF!</v>
      </c>
      <c r="DB26" s="1" t="e">
        <f>SUMIF(#REF!,Overview!$U26,#REF!)</f>
        <v>#REF!</v>
      </c>
      <c r="DC26" s="1" t="e">
        <f>SUMIF(#REF!,Overview!$U26,#REF!)</f>
        <v>#REF!</v>
      </c>
      <c r="DD26" s="1" t="e">
        <f>SUMIF(#REF!,Overview!$U26,#REF!)</f>
        <v>#REF!</v>
      </c>
      <c r="DE26" s="5" t="e">
        <f>SUMIF(#REF!,Overview!$U26,#REF!)</f>
        <v>#REF!</v>
      </c>
    </row>
    <row r="27" spans="1:109">
      <c r="A27" s="3"/>
      <c r="B27" s="111" t="s">
        <v>450</v>
      </c>
      <c r="E27" s="1"/>
      <c r="F27" s="5"/>
      <c r="G27" s="126">
        <f>764/584</f>
        <v>1.3082191780821917</v>
      </c>
      <c r="H27" s="127">
        <f>744/534</f>
        <v>1.3932584269662922</v>
      </c>
      <c r="I27" s="127">
        <f>7087/5084</f>
        <v>1.3939811172305272</v>
      </c>
      <c r="J27" s="202"/>
      <c r="K27" s="1"/>
      <c r="R27" s="36"/>
      <c r="X27" s="5"/>
      <c r="Y27" s="22"/>
      <c r="Z27" s="38"/>
      <c r="AA27" s="29"/>
      <c r="AB27" s="29"/>
      <c r="AC27" s="22"/>
      <c r="AD27" s="25"/>
      <c r="AE27" s="27"/>
      <c r="AK27" s="1" t="e">
        <f>SUMIF(#REF!,Overview!U27,#REF!)</f>
        <v>#REF!</v>
      </c>
      <c r="AL27" s="1" t="e">
        <f>SUMIF(#REF!,Overview!U27,#REF!)</f>
        <v>#REF!</v>
      </c>
      <c r="AS27" s="5"/>
      <c r="AT27" s="49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50"/>
      <c r="BJ27" s="49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50"/>
      <c r="BZ27" s="49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50"/>
    </row>
    <row r="28" spans="1:109">
      <c r="A28" s="3" t="s">
        <v>431</v>
      </c>
      <c r="B28" s="14" t="s">
        <v>430</v>
      </c>
      <c r="E28" s="1"/>
      <c r="F28" s="5"/>
      <c r="G28" s="4">
        <v>2.7980143217191531E-2</v>
      </c>
      <c r="H28" s="1">
        <v>2.625797695733663E-3</v>
      </c>
      <c r="I28" s="1">
        <v>1.261990855285984E-2</v>
      </c>
      <c r="J28" s="5">
        <v>6.6539240672719505E-2</v>
      </c>
      <c r="K28" s="1"/>
      <c r="R28" s="36"/>
      <c r="X28" s="5"/>
      <c r="Y28" s="22"/>
      <c r="Z28" s="38"/>
      <c r="AA28" s="29"/>
      <c r="AB28" s="29"/>
      <c r="AC28" s="22"/>
      <c r="AD28" s="25"/>
      <c r="AE28" s="27"/>
      <c r="AK28" s="1" t="e">
        <f>SUMIF(#REF!,Overview!U28,#REF!)</f>
        <v>#REF!</v>
      </c>
      <c r="AL28" s="1" t="e">
        <f>SUMIF(#REF!,Overview!U28,#REF!)</f>
        <v>#REF!</v>
      </c>
      <c r="AS28" s="5"/>
      <c r="AT28" s="49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50"/>
      <c r="BJ28" s="49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50"/>
      <c r="BZ28" s="49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50"/>
    </row>
    <row r="29" spans="1:109">
      <c r="A29" s="3" t="s">
        <v>434</v>
      </c>
      <c r="B29" s="14" t="s">
        <v>435</v>
      </c>
      <c r="E29" s="1"/>
      <c r="F29" s="5"/>
      <c r="G29" s="4">
        <v>547.97119487816303</v>
      </c>
      <c r="H29" s="1">
        <v>5083.7655679999998</v>
      </c>
      <c r="I29" s="1">
        <v>533.92420602562504</v>
      </c>
      <c r="J29" s="5">
        <v>18115.627991646899</v>
      </c>
      <c r="K29" s="1"/>
      <c r="R29" s="36"/>
      <c r="X29" s="5"/>
      <c r="Y29" s="22"/>
      <c r="Z29" s="38"/>
      <c r="AA29" s="29"/>
      <c r="AB29" s="29"/>
      <c r="AC29" s="22"/>
      <c r="AD29" s="25"/>
      <c r="AE29" s="27"/>
      <c r="AK29" s="1" t="e">
        <f>SUMIF(#REF!,Overview!U29,#REF!)</f>
        <v>#REF!</v>
      </c>
      <c r="AL29" s="1" t="e">
        <f>SUMIF(#REF!,Overview!U29,#REF!)</f>
        <v>#REF!</v>
      </c>
      <c r="AS29" s="5"/>
      <c r="AT29" s="49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50"/>
      <c r="BJ29" s="49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50"/>
      <c r="BZ29" s="49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50"/>
    </row>
    <row r="30" spans="1:109">
      <c r="A30" s="3" t="s">
        <v>142</v>
      </c>
      <c r="B30" s="14" t="s">
        <v>443</v>
      </c>
      <c r="E30" s="1"/>
      <c r="F30" s="5"/>
      <c r="G30" s="4">
        <v>-3.5435903108877702E-5</v>
      </c>
      <c r="H30" s="1">
        <v>0</v>
      </c>
      <c r="I30" s="1">
        <v>-8.2467924590416582E-3</v>
      </c>
      <c r="K30" s="1"/>
      <c r="R30" s="36"/>
      <c r="U30" s="4" t="s">
        <v>275</v>
      </c>
      <c r="V30" s="1" t="s">
        <v>276</v>
      </c>
      <c r="W30" s="5" t="s">
        <v>51</v>
      </c>
      <c r="X30" s="5" t="s">
        <v>334</v>
      </c>
      <c r="Y30" s="22" t="s">
        <v>277</v>
      </c>
      <c r="Z30" s="38">
        <f>1000</f>
        <v>1000</v>
      </c>
      <c r="AA30" s="29"/>
      <c r="AB30" s="29"/>
      <c r="AC30" s="22"/>
      <c r="AD30" s="25" t="e">
        <f>SUMIF(#REF!,Overview!U30,#REF!)</f>
        <v>#REF!</v>
      </c>
      <c r="AE30" s="27" t="e">
        <f>SUMIF(#REF!,Overview!U30,#REF!)</f>
        <v>#REF!</v>
      </c>
      <c r="AF30" s="1" t="e">
        <f>SUMIF(#REF!,Overview!U30,#REF!)</f>
        <v>#REF!</v>
      </c>
      <c r="AG30" s="1" t="e">
        <f>SUMIF(#REF!,Overview!U30,#REF!)</f>
        <v>#REF!</v>
      </c>
      <c r="AH30" s="1" t="e">
        <f>SUMIF(#REF!,Overview!U30,#REF!)</f>
        <v>#REF!</v>
      </c>
      <c r="AI30" s="1" t="e">
        <f>SUMIF(#REF!,Overview!U30,#REF!)</f>
        <v>#REF!</v>
      </c>
      <c r="AJ30" s="1" t="e">
        <f>SUMIF(#REF!,Overview!U30,#REF!)</f>
        <v>#REF!</v>
      </c>
      <c r="AK30" s="1" t="e">
        <f>SUMIF(#REF!,Overview!U30,#REF!)</f>
        <v>#REF!</v>
      </c>
      <c r="AL30" s="1" t="e">
        <f>SUMIF(#REF!,Overview!U30,#REF!)</f>
        <v>#REF!</v>
      </c>
      <c r="AM30" s="1" t="e">
        <f>SUMIF(#REF!,Overview!U30,#REF!)</f>
        <v>#REF!</v>
      </c>
      <c r="AN30" s="1" t="e">
        <f>SUMIF(#REF!,Overview!U30,#REF!)</f>
        <v>#REF!</v>
      </c>
      <c r="AO30" s="1" t="e">
        <f>SUMIF(#REF!,Overview!U30,#REF!)</f>
        <v>#REF!</v>
      </c>
      <c r="AP30" s="1" t="e">
        <f>SUMIF(#REF!,Overview!U30,#REF!)</f>
        <v>#REF!</v>
      </c>
      <c r="AQ30" s="1" t="e">
        <f>SUMIF(#REF!,Overview!U30,#REF!)</f>
        <v>#REF!</v>
      </c>
      <c r="AR30" s="1" t="e">
        <f>SUMIF(#REF!,Overview!U30,#REF!)</f>
        <v>#REF!</v>
      </c>
      <c r="AS30" s="5" t="e">
        <f>SUMIF(#REF!,Overview!U30,#REF!)</f>
        <v>#REF!</v>
      </c>
      <c r="AT30" s="49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50"/>
      <c r="BJ30" s="49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50"/>
      <c r="BZ30" s="49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50"/>
      <c r="CP30" s="1" t="e">
        <f>SUMIF(#REF!,Overview!$U30,#REF!)</f>
        <v>#REF!</v>
      </c>
      <c r="CQ30" s="1" t="e">
        <f>SUMIF(#REF!,Overview!$U30,#REF!)</f>
        <v>#REF!</v>
      </c>
      <c r="CR30" s="1" t="e">
        <f>SUMIF(#REF!,Overview!$U30,#REF!)</f>
        <v>#REF!</v>
      </c>
      <c r="CS30" s="1" t="e">
        <f>SUMIF(#REF!,Overview!$U30,#REF!)</f>
        <v>#REF!</v>
      </c>
      <c r="CT30" s="1" t="e">
        <f>SUMIF(#REF!,Overview!$U30,#REF!)</f>
        <v>#REF!</v>
      </c>
      <c r="CU30" s="1" t="e">
        <f>SUMIF(#REF!,Overview!$U30,#REF!)</f>
        <v>#REF!</v>
      </c>
      <c r="CV30" s="1" t="e">
        <f>SUMIF(#REF!,Overview!$U30,#REF!)</f>
        <v>#REF!</v>
      </c>
      <c r="CW30" s="1" t="e">
        <f>SUMIF(#REF!,Overview!$U30,#REF!)</f>
        <v>#REF!</v>
      </c>
      <c r="CX30" s="1" t="e">
        <f>SUMIF(#REF!,Overview!$U30,#REF!)</f>
        <v>#REF!</v>
      </c>
      <c r="CY30" s="1" t="e">
        <f>SUMIF(#REF!,Overview!$U30,#REF!)</f>
        <v>#REF!</v>
      </c>
      <c r="CZ30" s="1" t="e">
        <f>SUMIF(#REF!,Overview!$U30,#REF!)</f>
        <v>#REF!</v>
      </c>
      <c r="DA30" s="1" t="e">
        <f>SUMIF(#REF!,Overview!$U30,#REF!)</f>
        <v>#REF!</v>
      </c>
      <c r="DB30" s="1" t="e">
        <f>SUMIF(#REF!,Overview!$U30,#REF!)</f>
        <v>#REF!</v>
      </c>
      <c r="DC30" s="1" t="e">
        <f>SUMIF(#REF!,Overview!$U30,#REF!)</f>
        <v>#REF!</v>
      </c>
      <c r="DD30" s="1" t="e">
        <f>SUMIF(#REF!,Overview!$U30,#REF!)</f>
        <v>#REF!</v>
      </c>
      <c r="DE30" s="5" t="e">
        <f>SUMIF(#REF!,Overview!$U30,#REF!)</f>
        <v>#REF!</v>
      </c>
    </row>
    <row r="31" spans="1:109">
      <c r="A31" s="3" t="s">
        <v>107</v>
      </c>
      <c r="B31" s="14" t="s">
        <v>444</v>
      </c>
      <c r="E31" s="1"/>
      <c r="F31" s="5"/>
      <c r="G31" s="4">
        <v>-2.5952978566805111E-4</v>
      </c>
      <c r="H31" s="1">
        <v>0</v>
      </c>
      <c r="I31" s="1">
        <v>-2.0570676252943801E-2</v>
      </c>
      <c r="K31" s="1"/>
      <c r="R31" s="36"/>
      <c r="U31" s="4" t="s">
        <v>275</v>
      </c>
      <c r="V31" s="1" t="s">
        <v>276</v>
      </c>
      <c r="W31" s="5" t="s">
        <v>51</v>
      </c>
      <c r="X31" s="5" t="s">
        <v>334</v>
      </c>
      <c r="Y31" s="22" t="s">
        <v>277</v>
      </c>
      <c r="Z31" s="38">
        <f>1000</f>
        <v>1000</v>
      </c>
      <c r="AA31" s="29"/>
      <c r="AB31" s="29"/>
      <c r="AC31" s="22"/>
      <c r="AD31" s="25" t="e">
        <f>SUMIF(#REF!,Overview!U31,#REF!)</f>
        <v>#REF!</v>
      </c>
      <c r="AE31" s="27" t="e">
        <f>SUMIF(#REF!,Overview!U31,#REF!)</f>
        <v>#REF!</v>
      </c>
      <c r="AF31" s="1" t="e">
        <f>SUMIF(#REF!,Overview!U31,#REF!)</f>
        <v>#REF!</v>
      </c>
      <c r="AG31" s="1" t="e">
        <f>SUMIF(#REF!,Overview!U31,#REF!)</f>
        <v>#REF!</v>
      </c>
      <c r="AH31" s="1" t="e">
        <f>SUMIF(#REF!,Overview!U31,#REF!)</f>
        <v>#REF!</v>
      </c>
      <c r="AI31" s="1" t="e">
        <f>SUMIF(#REF!,Overview!U31,#REF!)</f>
        <v>#REF!</v>
      </c>
      <c r="AJ31" s="1" t="e">
        <f>SUMIF(#REF!,Overview!U31,#REF!)</f>
        <v>#REF!</v>
      </c>
      <c r="AK31" s="1" t="e">
        <f>SUMIF(#REF!,Overview!U31,#REF!)</f>
        <v>#REF!</v>
      </c>
      <c r="AL31" s="1" t="e">
        <f>SUMIF(#REF!,Overview!U31,#REF!)</f>
        <v>#REF!</v>
      </c>
      <c r="AM31" s="1" t="e">
        <f>SUMIF(#REF!,Overview!U31,#REF!)</f>
        <v>#REF!</v>
      </c>
      <c r="AN31" s="1" t="e">
        <f>SUMIF(#REF!,Overview!U31,#REF!)</f>
        <v>#REF!</v>
      </c>
      <c r="AO31" s="1" t="e">
        <f>SUMIF(#REF!,Overview!U31,#REF!)</f>
        <v>#REF!</v>
      </c>
      <c r="AP31" s="1" t="e">
        <f>SUMIF(#REF!,Overview!U31,#REF!)</f>
        <v>#REF!</v>
      </c>
      <c r="AQ31" s="1" t="e">
        <f>SUMIF(#REF!,Overview!U31,#REF!)</f>
        <v>#REF!</v>
      </c>
      <c r="AR31" s="1" t="e">
        <f>SUMIF(#REF!,Overview!U31,#REF!)</f>
        <v>#REF!</v>
      </c>
      <c r="AS31" s="5" t="e">
        <f>SUMIF(#REF!,Overview!U31,#REF!)</f>
        <v>#REF!</v>
      </c>
      <c r="AT31" s="49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50"/>
      <c r="BJ31" s="49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50"/>
      <c r="BZ31" s="49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50"/>
      <c r="CP31" s="1" t="e">
        <f>SUMIF(#REF!,Overview!$U31,#REF!)</f>
        <v>#REF!</v>
      </c>
      <c r="CQ31" s="1" t="e">
        <f>SUMIF(#REF!,Overview!$U31,#REF!)</f>
        <v>#REF!</v>
      </c>
      <c r="CR31" s="1" t="e">
        <f>SUMIF(#REF!,Overview!$U31,#REF!)</f>
        <v>#REF!</v>
      </c>
      <c r="CS31" s="1" t="e">
        <f>SUMIF(#REF!,Overview!$U31,#REF!)</f>
        <v>#REF!</v>
      </c>
      <c r="CT31" s="1" t="e">
        <f>SUMIF(#REF!,Overview!$U31,#REF!)</f>
        <v>#REF!</v>
      </c>
      <c r="CU31" s="1" t="e">
        <f>SUMIF(#REF!,Overview!$U31,#REF!)</f>
        <v>#REF!</v>
      </c>
      <c r="CV31" s="1" t="e">
        <f>SUMIF(#REF!,Overview!$U31,#REF!)</f>
        <v>#REF!</v>
      </c>
      <c r="CW31" s="1" t="e">
        <f>SUMIF(#REF!,Overview!$U31,#REF!)</f>
        <v>#REF!</v>
      </c>
      <c r="CX31" s="1" t="e">
        <f>SUMIF(#REF!,Overview!$U31,#REF!)</f>
        <v>#REF!</v>
      </c>
      <c r="CY31" s="1" t="e">
        <f>SUMIF(#REF!,Overview!$U31,#REF!)</f>
        <v>#REF!</v>
      </c>
      <c r="CZ31" s="1" t="e">
        <f>SUMIF(#REF!,Overview!$U31,#REF!)</f>
        <v>#REF!</v>
      </c>
      <c r="DA31" s="1" t="e">
        <f>SUMIF(#REF!,Overview!$U31,#REF!)</f>
        <v>#REF!</v>
      </c>
      <c r="DB31" s="1" t="e">
        <f>SUMIF(#REF!,Overview!$U31,#REF!)</f>
        <v>#REF!</v>
      </c>
      <c r="DC31" s="1" t="e">
        <f>SUMIF(#REF!,Overview!$U31,#REF!)</f>
        <v>#REF!</v>
      </c>
      <c r="DD31" s="1" t="e">
        <f>SUMIF(#REF!,Overview!$U31,#REF!)</f>
        <v>#REF!</v>
      </c>
      <c r="DE31" s="5" t="e">
        <f>SUMIF(#REF!,Overview!$U31,#REF!)</f>
        <v>#REF!</v>
      </c>
    </row>
    <row r="32" spans="1:109" ht="29">
      <c r="A32" s="3" t="s">
        <v>99</v>
      </c>
      <c r="B32" s="16" t="s">
        <v>100</v>
      </c>
      <c r="E32" s="1"/>
      <c r="F32">
        <v>5780.3036595816648</v>
      </c>
      <c r="G32" s="4">
        <v>3200.650069873695</v>
      </c>
      <c r="H32" s="1">
        <v>3200.6551173152111</v>
      </c>
      <c r="I32" s="1">
        <v>3200.646519153207</v>
      </c>
      <c r="J32" s="5">
        <v>8.7797005061144442E-5</v>
      </c>
      <c r="K32" s="13" t="s">
        <v>101</v>
      </c>
      <c r="L32" s="1" t="s">
        <v>102</v>
      </c>
      <c r="M32" s="1" t="s">
        <v>103</v>
      </c>
      <c r="N32" s="11" t="s">
        <v>37</v>
      </c>
      <c r="O32" s="1" t="s">
        <v>104</v>
      </c>
      <c r="P32" s="1" t="s">
        <v>30</v>
      </c>
      <c r="Q32" s="1" t="s">
        <v>105</v>
      </c>
      <c r="R32" s="37" t="s">
        <v>295</v>
      </c>
      <c r="S32" s="24" t="s">
        <v>106</v>
      </c>
      <c r="T32" s="255" t="s">
        <v>195</v>
      </c>
      <c r="U32" s="4" t="s">
        <v>516</v>
      </c>
      <c r="V32" s="1" t="s">
        <v>212</v>
      </c>
      <c r="W32" s="5" t="s">
        <v>51</v>
      </c>
      <c r="X32" s="5" t="s">
        <v>334</v>
      </c>
      <c r="Y32" s="22" t="s">
        <v>213</v>
      </c>
      <c r="Z32" s="29"/>
      <c r="AA32" s="17">
        <f>18*1000000</f>
        <v>18000000</v>
      </c>
      <c r="AB32" s="29"/>
      <c r="AC32" s="22"/>
      <c r="AD32" s="25" t="e">
        <f>SUMIF(#REF!,Overview!U32,#REF!)</f>
        <v>#REF!</v>
      </c>
      <c r="AE32" s="193" t="e">
        <f>SUMIF(#REF!,Overview!U32,#REF!)</f>
        <v>#REF!</v>
      </c>
      <c r="AF32" s="1" t="e">
        <f>SUMIF(#REF!,Overview!U32,#REF!)</f>
        <v>#REF!</v>
      </c>
      <c r="AG32" s="1" t="e">
        <f>SUMIF(#REF!,Overview!U32,#REF!)</f>
        <v>#REF!</v>
      </c>
      <c r="AH32" s="1" t="e">
        <f>SUMIF(#REF!,Overview!U32,#REF!)</f>
        <v>#REF!</v>
      </c>
      <c r="AI32" s="1" t="e">
        <f>SUMIF(#REF!,Overview!U32,#REF!)</f>
        <v>#REF!</v>
      </c>
      <c r="AJ32" s="1" t="e">
        <f>SUMIF(#REF!,Overview!U32,#REF!)</f>
        <v>#REF!</v>
      </c>
      <c r="AK32" s="1" t="e">
        <f>SUMIF(#REF!,Overview!U32,#REF!)</f>
        <v>#REF!</v>
      </c>
      <c r="AL32" s="1" t="e">
        <f>SUMIF(#REF!,Overview!U32,#REF!)</f>
        <v>#REF!</v>
      </c>
      <c r="AM32" s="1" t="e">
        <f>SUMIF(#REF!,Overview!U32,#REF!)</f>
        <v>#REF!</v>
      </c>
      <c r="AN32" s="1" t="e">
        <f>SUMIF(#REF!,Overview!U32,#REF!)</f>
        <v>#REF!</v>
      </c>
      <c r="AO32" s="1" t="e">
        <f>SUMIF(#REF!,Overview!U32,#REF!)</f>
        <v>#REF!</v>
      </c>
      <c r="AP32" s="1" t="e">
        <f>SUMIF(#REF!,Overview!U32,#REF!)</f>
        <v>#REF!</v>
      </c>
      <c r="AQ32" s="1" t="e">
        <f>SUMIF(#REF!,Overview!U32,#REF!)</f>
        <v>#REF!</v>
      </c>
      <c r="AR32" s="1" t="e">
        <f>SUMIF(#REF!,Overview!U32,#REF!)</f>
        <v>#REF!</v>
      </c>
      <c r="AS32" s="5" t="e">
        <f>SUMIF(#REF!,Overview!U32,#REF!)</f>
        <v>#REF!</v>
      </c>
      <c r="AT32" s="51" t="e">
        <f t="shared" ref="AT32:BI34" si="40">AD32*$AA32*$G32</f>
        <v>#REF!</v>
      </c>
      <c r="AU32" s="52" t="e">
        <f t="shared" si="40"/>
        <v>#REF!</v>
      </c>
      <c r="AV32" s="52" t="e">
        <f t="shared" si="40"/>
        <v>#REF!</v>
      </c>
      <c r="AW32" s="52" t="e">
        <f t="shared" si="40"/>
        <v>#REF!</v>
      </c>
      <c r="AX32" s="52" t="e">
        <f t="shared" si="40"/>
        <v>#REF!</v>
      </c>
      <c r="AY32" s="52" t="e">
        <f t="shared" si="40"/>
        <v>#REF!</v>
      </c>
      <c r="AZ32" s="52" t="e">
        <f t="shared" si="40"/>
        <v>#REF!</v>
      </c>
      <c r="BA32" s="52" t="e">
        <f t="shared" si="40"/>
        <v>#REF!</v>
      </c>
      <c r="BB32" s="52" t="e">
        <f t="shared" si="40"/>
        <v>#REF!</v>
      </c>
      <c r="BC32" s="52" t="e">
        <f t="shared" si="40"/>
        <v>#REF!</v>
      </c>
      <c r="BD32" s="52" t="e">
        <f t="shared" si="40"/>
        <v>#REF!</v>
      </c>
      <c r="BE32" s="52" t="e">
        <f t="shared" si="40"/>
        <v>#REF!</v>
      </c>
      <c r="BF32" s="52" t="e">
        <f t="shared" si="40"/>
        <v>#REF!</v>
      </c>
      <c r="BG32" s="52" t="e">
        <f t="shared" si="40"/>
        <v>#REF!</v>
      </c>
      <c r="BH32" s="52" t="e">
        <f t="shared" si="40"/>
        <v>#REF!</v>
      </c>
      <c r="BI32" s="53" t="e">
        <f t="shared" si="40"/>
        <v>#REF!</v>
      </c>
      <c r="BJ32" s="51" t="e">
        <f t="shared" ref="BJ32:BY34" si="41">AD32*$AA32*$H32</f>
        <v>#REF!</v>
      </c>
      <c r="BK32" s="52" t="e">
        <f t="shared" si="41"/>
        <v>#REF!</v>
      </c>
      <c r="BL32" s="52" t="e">
        <f t="shared" si="41"/>
        <v>#REF!</v>
      </c>
      <c r="BM32" s="52" t="e">
        <f t="shared" si="41"/>
        <v>#REF!</v>
      </c>
      <c r="BN32" s="52" t="e">
        <f t="shared" si="41"/>
        <v>#REF!</v>
      </c>
      <c r="BO32" s="52" t="e">
        <f t="shared" si="41"/>
        <v>#REF!</v>
      </c>
      <c r="BP32" s="52" t="e">
        <f t="shared" si="41"/>
        <v>#REF!</v>
      </c>
      <c r="BQ32" s="52" t="e">
        <f t="shared" si="41"/>
        <v>#REF!</v>
      </c>
      <c r="BR32" s="52" t="e">
        <f t="shared" si="41"/>
        <v>#REF!</v>
      </c>
      <c r="BS32" s="52" t="e">
        <f t="shared" si="41"/>
        <v>#REF!</v>
      </c>
      <c r="BT32" s="52" t="e">
        <f t="shared" si="41"/>
        <v>#REF!</v>
      </c>
      <c r="BU32" s="52" t="e">
        <f t="shared" si="41"/>
        <v>#REF!</v>
      </c>
      <c r="BV32" s="52" t="e">
        <f t="shared" si="41"/>
        <v>#REF!</v>
      </c>
      <c r="BW32" s="52" t="e">
        <f t="shared" si="41"/>
        <v>#REF!</v>
      </c>
      <c r="BX32" s="52" t="e">
        <f t="shared" si="41"/>
        <v>#REF!</v>
      </c>
      <c r="BY32" s="53" t="e">
        <f t="shared" si="41"/>
        <v>#REF!</v>
      </c>
      <c r="BZ32" s="51" t="e">
        <f t="shared" ref="BZ32:CO32" si="42">AD32*$AA32*$I32</f>
        <v>#REF!</v>
      </c>
      <c r="CA32" s="52" t="e">
        <f t="shared" si="42"/>
        <v>#REF!</v>
      </c>
      <c r="CB32" s="52" t="e">
        <f t="shared" si="42"/>
        <v>#REF!</v>
      </c>
      <c r="CC32" s="52" t="e">
        <f t="shared" si="42"/>
        <v>#REF!</v>
      </c>
      <c r="CD32" s="52" t="e">
        <f t="shared" si="42"/>
        <v>#REF!</v>
      </c>
      <c r="CE32" s="52" t="e">
        <f t="shared" si="42"/>
        <v>#REF!</v>
      </c>
      <c r="CF32" s="52" t="e">
        <f t="shared" si="42"/>
        <v>#REF!</v>
      </c>
      <c r="CG32" s="52" t="e">
        <f t="shared" si="42"/>
        <v>#REF!</v>
      </c>
      <c r="CH32" s="52" t="e">
        <f t="shared" si="42"/>
        <v>#REF!</v>
      </c>
      <c r="CI32" s="52" t="e">
        <f t="shared" si="42"/>
        <v>#REF!</v>
      </c>
      <c r="CJ32" s="52" t="e">
        <f t="shared" si="42"/>
        <v>#REF!</v>
      </c>
      <c r="CK32" s="52" t="e">
        <f t="shared" si="42"/>
        <v>#REF!</v>
      </c>
      <c r="CL32" s="52" t="e">
        <f t="shared" si="42"/>
        <v>#REF!</v>
      </c>
      <c r="CM32" s="52" t="e">
        <f t="shared" si="42"/>
        <v>#REF!</v>
      </c>
      <c r="CN32" s="52" t="e">
        <f t="shared" si="42"/>
        <v>#REF!</v>
      </c>
      <c r="CO32" s="53" t="e">
        <f t="shared" si="42"/>
        <v>#REF!</v>
      </c>
      <c r="CP32" s="1" t="e">
        <f>SUMIF(#REF!,Overview!$U32,#REF!)</f>
        <v>#REF!</v>
      </c>
      <c r="CQ32" s="1" t="e">
        <f>SUMIF(#REF!,Overview!$U32,#REF!)</f>
        <v>#REF!</v>
      </c>
      <c r="CR32" s="1" t="e">
        <f>SUMIF(#REF!,Overview!$U32,#REF!)</f>
        <v>#REF!</v>
      </c>
      <c r="CS32" s="1" t="e">
        <f>SUMIF(#REF!,Overview!$U32,#REF!)</f>
        <v>#REF!</v>
      </c>
      <c r="CT32" s="1" t="e">
        <f>SUMIF(#REF!,Overview!$U32,#REF!)</f>
        <v>#REF!</v>
      </c>
      <c r="CU32" s="1" t="e">
        <f>SUMIF(#REF!,Overview!$U32,#REF!)</f>
        <v>#REF!</v>
      </c>
      <c r="CV32" s="1" t="e">
        <f>SUMIF(#REF!,Overview!$U32,#REF!)</f>
        <v>#REF!</v>
      </c>
      <c r="CW32" s="1" t="e">
        <f>SUMIF(#REF!,Overview!$U32,#REF!)</f>
        <v>#REF!</v>
      </c>
      <c r="CX32" s="1" t="e">
        <f>SUMIF(#REF!,Overview!$U32,#REF!)</f>
        <v>#REF!</v>
      </c>
      <c r="CY32" s="1" t="e">
        <f>SUMIF(#REF!,Overview!$U32,#REF!)</f>
        <v>#REF!</v>
      </c>
      <c r="CZ32" s="1" t="e">
        <f>SUMIF(#REF!,Overview!$U32,#REF!)</f>
        <v>#REF!</v>
      </c>
      <c r="DA32" s="1" t="e">
        <f>SUMIF(#REF!,Overview!$U32,#REF!)</f>
        <v>#REF!</v>
      </c>
      <c r="DB32" s="1" t="e">
        <f>SUMIF(#REF!,Overview!$U32,#REF!)</f>
        <v>#REF!</v>
      </c>
      <c r="DC32" s="1" t="e">
        <f>SUMIF(#REF!,Overview!$U32,#REF!)</f>
        <v>#REF!</v>
      </c>
      <c r="DD32" s="1" t="e">
        <f>SUMIF(#REF!,Overview!$U32,#REF!)</f>
        <v>#REF!</v>
      </c>
      <c r="DE32" s="5" t="e">
        <f>SUMIF(#REF!,Overview!$U32,#REF!)</f>
        <v>#REF!</v>
      </c>
    </row>
    <row r="33" spans="1:109" ht="29">
      <c r="A33" s="3" t="s">
        <v>107</v>
      </c>
      <c r="B33" s="16" t="s">
        <v>108</v>
      </c>
      <c r="E33" s="1"/>
      <c r="F33">
        <v>5780.6617389752737</v>
      </c>
      <c r="G33" s="4">
        <v>1.4573628854929301E-4</v>
      </c>
      <c r="H33" s="1">
        <v>0</v>
      </c>
      <c r="I33" s="1">
        <v>1.6832473153690321E-2</v>
      </c>
      <c r="J33" s="5">
        <v>3200.6688022014669</v>
      </c>
      <c r="K33" s="13" t="s">
        <v>101</v>
      </c>
      <c r="L33" s="1" t="s">
        <v>109</v>
      </c>
      <c r="M33" s="1" t="s">
        <v>110</v>
      </c>
      <c r="N33" s="11" t="s">
        <v>37</v>
      </c>
      <c r="O33" s="1" t="s">
        <v>104</v>
      </c>
      <c r="P33" s="1" t="s">
        <v>30</v>
      </c>
      <c r="Q33" s="1" t="s">
        <v>105</v>
      </c>
      <c r="R33" s="36" t="s">
        <v>296</v>
      </c>
      <c r="S33" s="24" t="s">
        <v>111</v>
      </c>
      <c r="T33" s="255"/>
      <c r="U33" s="4" t="s">
        <v>517</v>
      </c>
      <c r="V33" s="1" t="s">
        <v>214</v>
      </c>
      <c r="W33" s="5" t="s">
        <v>51</v>
      </c>
      <c r="X33" s="5" t="s">
        <v>334</v>
      </c>
      <c r="Y33" s="22" t="s">
        <v>213</v>
      </c>
      <c r="Z33" s="29"/>
      <c r="AA33" s="17">
        <f>18*1000000</f>
        <v>18000000</v>
      </c>
      <c r="AB33" s="29"/>
      <c r="AC33" s="22"/>
      <c r="AD33" s="25" t="e">
        <f>SUMIF(#REF!,Overview!U33,#REF!)</f>
        <v>#REF!</v>
      </c>
      <c r="AE33" s="27" t="e">
        <f>SUMIF(#REF!,Overview!U33,#REF!)</f>
        <v>#REF!</v>
      </c>
      <c r="AF33" s="1" t="e">
        <f>SUMIF(#REF!,Overview!U33,#REF!)</f>
        <v>#REF!</v>
      </c>
      <c r="AG33" s="1" t="e">
        <f>SUMIF(#REF!,Overview!U33,#REF!)</f>
        <v>#REF!</v>
      </c>
      <c r="AH33" s="1" t="e">
        <f>SUMIF(#REF!,Overview!U33,#REF!)</f>
        <v>#REF!</v>
      </c>
      <c r="AI33" s="1" t="e">
        <f>SUMIF(#REF!,Overview!U33,#REF!)</f>
        <v>#REF!</v>
      </c>
      <c r="AJ33" s="1" t="e">
        <f>SUMIF(#REF!,Overview!U33,#REF!)</f>
        <v>#REF!</v>
      </c>
      <c r="AK33" s="1" t="e">
        <f>SUMIF(#REF!,Overview!U33,#REF!)</f>
        <v>#REF!</v>
      </c>
      <c r="AL33" s="1" t="e">
        <f>SUMIF(#REF!,Overview!U33,#REF!)</f>
        <v>#REF!</v>
      </c>
      <c r="AM33" s="1" t="e">
        <f>SUMIF(#REF!,Overview!U33,#REF!)</f>
        <v>#REF!</v>
      </c>
      <c r="AN33" s="1" t="e">
        <f>SUMIF(#REF!,Overview!U33,#REF!)</f>
        <v>#REF!</v>
      </c>
      <c r="AO33" s="1" t="e">
        <f>SUMIF(#REF!,Overview!U33,#REF!)</f>
        <v>#REF!</v>
      </c>
      <c r="AP33" s="1" t="e">
        <f>SUMIF(#REF!,Overview!U33,#REF!)</f>
        <v>#REF!</v>
      </c>
      <c r="AQ33" s="1" t="e">
        <f>SUMIF(#REF!,Overview!U33,#REF!)</f>
        <v>#REF!</v>
      </c>
      <c r="AR33" s="1" t="e">
        <f>SUMIF(#REF!,Overview!U33,#REF!)</f>
        <v>#REF!</v>
      </c>
      <c r="AS33" s="5" t="e">
        <f>SUMIF(#REF!,Overview!U33,#REF!)</f>
        <v>#REF!</v>
      </c>
      <c r="AT33" s="51" t="e">
        <f t="shared" si="40"/>
        <v>#REF!</v>
      </c>
      <c r="AU33" s="52" t="e">
        <f t="shared" si="40"/>
        <v>#REF!</v>
      </c>
      <c r="AV33" s="52" t="e">
        <f t="shared" si="40"/>
        <v>#REF!</v>
      </c>
      <c r="AW33" s="52" t="e">
        <f t="shared" si="40"/>
        <v>#REF!</v>
      </c>
      <c r="AX33" s="52" t="e">
        <f t="shared" si="40"/>
        <v>#REF!</v>
      </c>
      <c r="AY33" s="52" t="e">
        <f t="shared" si="40"/>
        <v>#REF!</v>
      </c>
      <c r="AZ33" s="52" t="e">
        <f t="shared" si="40"/>
        <v>#REF!</v>
      </c>
      <c r="BA33" s="52" t="e">
        <f t="shared" si="40"/>
        <v>#REF!</v>
      </c>
      <c r="BB33" s="52" t="e">
        <f t="shared" si="40"/>
        <v>#REF!</v>
      </c>
      <c r="BC33" s="52" t="e">
        <f t="shared" si="40"/>
        <v>#REF!</v>
      </c>
      <c r="BD33" s="52" t="e">
        <f t="shared" si="40"/>
        <v>#REF!</v>
      </c>
      <c r="BE33" s="52" t="e">
        <f t="shared" si="40"/>
        <v>#REF!</v>
      </c>
      <c r="BF33" s="52" t="e">
        <f t="shared" si="40"/>
        <v>#REF!</v>
      </c>
      <c r="BG33" s="52" t="e">
        <f t="shared" si="40"/>
        <v>#REF!</v>
      </c>
      <c r="BH33" s="52" t="e">
        <f t="shared" si="40"/>
        <v>#REF!</v>
      </c>
      <c r="BI33" s="53" t="e">
        <f t="shared" si="40"/>
        <v>#REF!</v>
      </c>
      <c r="BJ33" s="51" t="e">
        <f t="shared" si="41"/>
        <v>#REF!</v>
      </c>
      <c r="BK33" s="52" t="e">
        <f t="shared" si="41"/>
        <v>#REF!</v>
      </c>
      <c r="BL33" s="52" t="e">
        <f t="shared" si="41"/>
        <v>#REF!</v>
      </c>
      <c r="BM33" s="52" t="e">
        <f t="shared" si="41"/>
        <v>#REF!</v>
      </c>
      <c r="BN33" s="52" t="e">
        <f t="shared" si="41"/>
        <v>#REF!</v>
      </c>
      <c r="BO33" s="52" t="e">
        <f t="shared" si="41"/>
        <v>#REF!</v>
      </c>
      <c r="BP33" s="52" t="e">
        <f t="shared" si="41"/>
        <v>#REF!</v>
      </c>
      <c r="BQ33" s="52" t="e">
        <f t="shared" si="41"/>
        <v>#REF!</v>
      </c>
      <c r="BR33" s="52" t="e">
        <f t="shared" si="41"/>
        <v>#REF!</v>
      </c>
      <c r="BS33" s="52" t="e">
        <f t="shared" si="41"/>
        <v>#REF!</v>
      </c>
      <c r="BT33" s="52" t="e">
        <f t="shared" si="41"/>
        <v>#REF!</v>
      </c>
      <c r="BU33" s="52" t="e">
        <f t="shared" si="41"/>
        <v>#REF!</v>
      </c>
      <c r="BV33" s="52" t="e">
        <f t="shared" si="41"/>
        <v>#REF!</v>
      </c>
      <c r="BW33" s="52" t="e">
        <f t="shared" si="41"/>
        <v>#REF!</v>
      </c>
      <c r="BX33" s="52" t="e">
        <f t="shared" si="41"/>
        <v>#REF!</v>
      </c>
      <c r="BY33" s="53" t="e">
        <f t="shared" si="41"/>
        <v>#REF!</v>
      </c>
      <c r="BZ33" s="51" t="e">
        <f t="shared" ref="BZ33:BZ34" si="43">AD33*$AA33*$I33</f>
        <v>#REF!</v>
      </c>
      <c r="CA33" s="52" t="e">
        <f t="shared" ref="CA33:CO34" si="44">AE33*$AA33*$I33</f>
        <v>#REF!</v>
      </c>
      <c r="CB33" s="52" t="e">
        <f t="shared" si="44"/>
        <v>#REF!</v>
      </c>
      <c r="CC33" s="52" t="e">
        <f t="shared" si="44"/>
        <v>#REF!</v>
      </c>
      <c r="CD33" s="52" t="e">
        <f t="shared" si="44"/>
        <v>#REF!</v>
      </c>
      <c r="CE33" s="52" t="e">
        <f t="shared" si="44"/>
        <v>#REF!</v>
      </c>
      <c r="CF33" s="52" t="e">
        <f t="shared" si="44"/>
        <v>#REF!</v>
      </c>
      <c r="CG33" s="52" t="e">
        <f t="shared" si="44"/>
        <v>#REF!</v>
      </c>
      <c r="CH33" s="52" t="e">
        <f t="shared" si="44"/>
        <v>#REF!</v>
      </c>
      <c r="CI33" s="52" t="e">
        <f t="shared" si="44"/>
        <v>#REF!</v>
      </c>
      <c r="CJ33" s="52" t="e">
        <f t="shared" si="44"/>
        <v>#REF!</v>
      </c>
      <c r="CK33" s="52" t="e">
        <f t="shared" si="44"/>
        <v>#REF!</v>
      </c>
      <c r="CL33" s="52" t="e">
        <f t="shared" si="44"/>
        <v>#REF!</v>
      </c>
      <c r="CM33" s="52" t="e">
        <f t="shared" si="44"/>
        <v>#REF!</v>
      </c>
      <c r="CN33" s="52" t="e">
        <f t="shared" si="44"/>
        <v>#REF!</v>
      </c>
      <c r="CO33" s="53" t="e">
        <f t="shared" si="44"/>
        <v>#REF!</v>
      </c>
      <c r="CP33" s="1" t="e">
        <f>SUMIF(#REF!,Overview!$U33,#REF!)</f>
        <v>#REF!</v>
      </c>
      <c r="CQ33" s="1" t="e">
        <f>SUMIF(#REF!,Overview!$U33,#REF!)</f>
        <v>#REF!</v>
      </c>
      <c r="CR33" s="1" t="e">
        <f>SUMIF(#REF!,Overview!$U33,#REF!)</f>
        <v>#REF!</v>
      </c>
      <c r="CS33" s="1" t="e">
        <f>SUMIF(#REF!,Overview!$U33,#REF!)</f>
        <v>#REF!</v>
      </c>
      <c r="CT33" s="1" t="e">
        <f>SUMIF(#REF!,Overview!$U33,#REF!)</f>
        <v>#REF!</v>
      </c>
      <c r="CU33" s="1" t="e">
        <f>SUMIF(#REF!,Overview!$U33,#REF!)</f>
        <v>#REF!</v>
      </c>
      <c r="CV33" s="1" t="e">
        <f>SUMIF(#REF!,Overview!$U33,#REF!)</f>
        <v>#REF!</v>
      </c>
      <c r="CW33" s="1" t="e">
        <f>SUMIF(#REF!,Overview!$U33,#REF!)</f>
        <v>#REF!</v>
      </c>
      <c r="CX33" s="1" t="e">
        <f>SUMIF(#REF!,Overview!$U33,#REF!)</f>
        <v>#REF!</v>
      </c>
      <c r="CY33" s="1" t="e">
        <f>SUMIF(#REF!,Overview!$U33,#REF!)</f>
        <v>#REF!</v>
      </c>
      <c r="CZ33" s="1" t="e">
        <f>SUMIF(#REF!,Overview!$U33,#REF!)</f>
        <v>#REF!</v>
      </c>
      <c r="DA33" s="1" t="e">
        <f>SUMIF(#REF!,Overview!$U33,#REF!)</f>
        <v>#REF!</v>
      </c>
      <c r="DB33" s="1" t="e">
        <f>SUMIF(#REF!,Overview!$U33,#REF!)</f>
        <v>#REF!</v>
      </c>
      <c r="DC33" s="1" t="e">
        <f>SUMIF(#REF!,Overview!$U33,#REF!)</f>
        <v>#REF!</v>
      </c>
      <c r="DD33" s="1" t="e">
        <f>SUMIF(#REF!,Overview!$U33,#REF!)</f>
        <v>#REF!</v>
      </c>
      <c r="DE33" s="5" t="e">
        <f>SUMIF(#REF!,Overview!$U33,#REF!)</f>
        <v>#REF!</v>
      </c>
    </row>
    <row r="34" spans="1:109" ht="29">
      <c r="A34" s="3" t="s">
        <v>112</v>
      </c>
      <c r="B34" s="16" t="s">
        <v>113</v>
      </c>
      <c r="E34" s="1"/>
      <c r="F34">
        <v>5780.3437191689754</v>
      </c>
      <c r="G34" s="4">
        <v>6.8203360098421286E-3</v>
      </c>
      <c r="H34" s="1">
        <v>0</v>
      </c>
      <c r="I34" s="1">
        <v>0</v>
      </c>
      <c r="J34" s="5">
        <v>0</v>
      </c>
      <c r="K34" s="13" t="s">
        <v>101</v>
      </c>
      <c r="L34" s="1" t="s">
        <v>114</v>
      </c>
      <c r="M34" s="1" t="s">
        <v>115</v>
      </c>
      <c r="N34" s="11" t="s">
        <v>37</v>
      </c>
      <c r="O34" s="1" t="s">
        <v>104</v>
      </c>
      <c r="P34" s="1" t="s">
        <v>30</v>
      </c>
      <c r="Q34" s="1" t="s">
        <v>105</v>
      </c>
      <c r="R34" s="37" t="s">
        <v>295</v>
      </c>
      <c r="S34" s="24" t="s">
        <v>116</v>
      </c>
      <c r="T34" s="255"/>
      <c r="U34" s="1" t="s">
        <v>518</v>
      </c>
      <c r="V34" s="1" t="s">
        <v>215</v>
      </c>
      <c r="W34" s="5" t="s">
        <v>51</v>
      </c>
      <c r="X34" s="5" t="s">
        <v>334</v>
      </c>
      <c r="Y34" s="22" t="s">
        <v>213</v>
      </c>
      <c r="Z34" s="29"/>
      <c r="AA34" s="17">
        <f>18*1000000</f>
        <v>18000000</v>
      </c>
      <c r="AB34" s="29"/>
      <c r="AC34" s="22"/>
      <c r="AD34" s="25" t="e">
        <f>SUMIF(#REF!,Overview!U34,#REF!)</f>
        <v>#REF!</v>
      </c>
      <c r="AE34" s="27" t="e">
        <f>SUMIF(#REF!,Overview!U34,#REF!)</f>
        <v>#REF!</v>
      </c>
      <c r="AF34" s="1" t="e">
        <f>SUMIF(#REF!,Overview!U34,#REF!)</f>
        <v>#REF!</v>
      </c>
      <c r="AG34" s="1" t="e">
        <f>SUMIF(#REF!,Overview!U34,#REF!)</f>
        <v>#REF!</v>
      </c>
      <c r="AH34" s="1" t="e">
        <f>SUMIF(#REF!,Overview!U34,#REF!)</f>
        <v>#REF!</v>
      </c>
      <c r="AI34" s="1" t="e">
        <f>SUMIF(#REF!,Overview!U34,#REF!)</f>
        <v>#REF!</v>
      </c>
      <c r="AJ34" s="1" t="e">
        <f>SUMIF(#REF!,Overview!U34,#REF!)</f>
        <v>#REF!</v>
      </c>
      <c r="AK34" s="1" t="e">
        <f>SUMIF(#REF!,Overview!U34,#REF!)</f>
        <v>#REF!</v>
      </c>
      <c r="AL34" s="1" t="e">
        <f>SUMIF(#REF!,Overview!U34,#REF!)</f>
        <v>#REF!</v>
      </c>
      <c r="AM34" s="1" t="e">
        <f>SUMIF(#REF!,Overview!U34,#REF!)</f>
        <v>#REF!</v>
      </c>
      <c r="AN34" s="1" t="e">
        <f>SUMIF(#REF!,Overview!U34,#REF!)</f>
        <v>#REF!</v>
      </c>
      <c r="AO34" s="1" t="e">
        <f>SUMIF(#REF!,Overview!U34,#REF!)</f>
        <v>#REF!</v>
      </c>
      <c r="AP34" s="1" t="e">
        <f>SUMIF(#REF!,Overview!U34,#REF!)</f>
        <v>#REF!</v>
      </c>
      <c r="AQ34" s="1" t="e">
        <f>SUMIF(#REF!,Overview!U34,#REF!)</f>
        <v>#REF!</v>
      </c>
      <c r="AR34" s="1" t="e">
        <f>SUMIF(#REF!,Overview!U34,#REF!)</f>
        <v>#REF!</v>
      </c>
      <c r="AS34" s="5" t="e">
        <f>SUMIF(#REF!,Overview!U34,#REF!)</f>
        <v>#REF!</v>
      </c>
      <c r="AT34" s="51" t="e">
        <f t="shared" si="40"/>
        <v>#REF!</v>
      </c>
      <c r="AU34" s="52" t="e">
        <f t="shared" si="40"/>
        <v>#REF!</v>
      </c>
      <c r="AV34" s="52" t="e">
        <f t="shared" si="40"/>
        <v>#REF!</v>
      </c>
      <c r="AW34" s="52" t="e">
        <f t="shared" si="40"/>
        <v>#REF!</v>
      </c>
      <c r="AX34" s="52" t="e">
        <f t="shared" si="40"/>
        <v>#REF!</v>
      </c>
      <c r="AY34" s="52" t="e">
        <f t="shared" si="40"/>
        <v>#REF!</v>
      </c>
      <c r="AZ34" s="52" t="e">
        <f t="shared" si="40"/>
        <v>#REF!</v>
      </c>
      <c r="BA34" s="52" t="e">
        <f t="shared" si="40"/>
        <v>#REF!</v>
      </c>
      <c r="BB34" s="52" t="e">
        <f t="shared" si="40"/>
        <v>#REF!</v>
      </c>
      <c r="BC34" s="52" t="e">
        <f t="shared" si="40"/>
        <v>#REF!</v>
      </c>
      <c r="BD34" s="52" t="e">
        <f t="shared" si="40"/>
        <v>#REF!</v>
      </c>
      <c r="BE34" s="52" t="e">
        <f t="shared" si="40"/>
        <v>#REF!</v>
      </c>
      <c r="BF34" s="52" t="e">
        <f t="shared" si="40"/>
        <v>#REF!</v>
      </c>
      <c r="BG34" s="52" t="e">
        <f t="shared" si="40"/>
        <v>#REF!</v>
      </c>
      <c r="BH34" s="52" t="e">
        <f t="shared" si="40"/>
        <v>#REF!</v>
      </c>
      <c r="BI34" s="53" t="e">
        <f t="shared" si="40"/>
        <v>#REF!</v>
      </c>
      <c r="BJ34" s="51" t="e">
        <f t="shared" si="41"/>
        <v>#REF!</v>
      </c>
      <c r="BK34" s="52" t="e">
        <f t="shared" si="41"/>
        <v>#REF!</v>
      </c>
      <c r="BL34" s="52" t="e">
        <f t="shared" si="41"/>
        <v>#REF!</v>
      </c>
      <c r="BM34" s="52" t="e">
        <f t="shared" si="41"/>
        <v>#REF!</v>
      </c>
      <c r="BN34" s="52" t="e">
        <f t="shared" si="41"/>
        <v>#REF!</v>
      </c>
      <c r="BO34" s="52" t="e">
        <f t="shared" si="41"/>
        <v>#REF!</v>
      </c>
      <c r="BP34" s="52" t="e">
        <f t="shared" si="41"/>
        <v>#REF!</v>
      </c>
      <c r="BQ34" s="52" t="e">
        <f t="shared" si="41"/>
        <v>#REF!</v>
      </c>
      <c r="BR34" s="52" t="e">
        <f t="shared" si="41"/>
        <v>#REF!</v>
      </c>
      <c r="BS34" s="52" t="e">
        <f t="shared" si="41"/>
        <v>#REF!</v>
      </c>
      <c r="BT34" s="52" t="e">
        <f t="shared" si="41"/>
        <v>#REF!</v>
      </c>
      <c r="BU34" s="52" t="e">
        <f t="shared" si="41"/>
        <v>#REF!</v>
      </c>
      <c r="BV34" s="52" t="e">
        <f t="shared" si="41"/>
        <v>#REF!</v>
      </c>
      <c r="BW34" s="52" t="e">
        <f t="shared" si="41"/>
        <v>#REF!</v>
      </c>
      <c r="BX34" s="52" t="e">
        <f t="shared" si="41"/>
        <v>#REF!</v>
      </c>
      <c r="BY34" s="53" t="e">
        <f t="shared" si="41"/>
        <v>#REF!</v>
      </c>
      <c r="BZ34" s="51" t="e">
        <f t="shared" si="43"/>
        <v>#REF!</v>
      </c>
      <c r="CA34" s="52" t="e">
        <f t="shared" si="44"/>
        <v>#REF!</v>
      </c>
      <c r="CB34" s="52" t="e">
        <f t="shared" si="44"/>
        <v>#REF!</v>
      </c>
      <c r="CC34" s="52" t="e">
        <f t="shared" si="44"/>
        <v>#REF!</v>
      </c>
      <c r="CD34" s="52" t="e">
        <f t="shared" si="44"/>
        <v>#REF!</v>
      </c>
      <c r="CE34" s="52" t="e">
        <f t="shared" si="44"/>
        <v>#REF!</v>
      </c>
      <c r="CF34" s="52" t="e">
        <f t="shared" si="44"/>
        <v>#REF!</v>
      </c>
      <c r="CG34" s="52" t="e">
        <f t="shared" si="44"/>
        <v>#REF!</v>
      </c>
      <c r="CH34" s="52" t="e">
        <f t="shared" si="44"/>
        <v>#REF!</v>
      </c>
      <c r="CI34" s="52" t="e">
        <f t="shared" si="44"/>
        <v>#REF!</v>
      </c>
      <c r="CJ34" s="52" t="e">
        <f t="shared" si="44"/>
        <v>#REF!</v>
      </c>
      <c r="CK34" s="52" t="e">
        <f t="shared" si="44"/>
        <v>#REF!</v>
      </c>
      <c r="CL34" s="52" t="e">
        <f t="shared" si="44"/>
        <v>#REF!</v>
      </c>
      <c r="CM34" s="52" t="e">
        <f t="shared" si="44"/>
        <v>#REF!</v>
      </c>
      <c r="CN34" s="52" t="e">
        <f t="shared" si="44"/>
        <v>#REF!</v>
      </c>
      <c r="CO34" s="53" t="e">
        <f t="shared" si="44"/>
        <v>#REF!</v>
      </c>
      <c r="CP34" s="1" t="e">
        <f>SUMIF(#REF!,Overview!$U34,#REF!)</f>
        <v>#REF!</v>
      </c>
      <c r="CQ34" s="1" t="e">
        <f>SUMIF(#REF!,Overview!$U34,#REF!)</f>
        <v>#REF!</v>
      </c>
      <c r="CR34" s="1" t="e">
        <f>SUMIF(#REF!,Overview!$U34,#REF!)</f>
        <v>#REF!</v>
      </c>
      <c r="CS34" s="1" t="e">
        <f>SUMIF(#REF!,Overview!$U34,#REF!)</f>
        <v>#REF!</v>
      </c>
      <c r="CT34" s="1" t="e">
        <f>SUMIF(#REF!,Overview!$U34,#REF!)</f>
        <v>#REF!</v>
      </c>
      <c r="CU34" s="1" t="e">
        <f>SUMIF(#REF!,Overview!$U34,#REF!)</f>
        <v>#REF!</v>
      </c>
      <c r="CV34" s="1" t="e">
        <f>SUMIF(#REF!,Overview!$U34,#REF!)</f>
        <v>#REF!</v>
      </c>
      <c r="CW34" s="1" t="e">
        <f>SUMIF(#REF!,Overview!$U34,#REF!)</f>
        <v>#REF!</v>
      </c>
      <c r="CX34" s="1" t="e">
        <f>SUMIF(#REF!,Overview!$U34,#REF!)</f>
        <v>#REF!</v>
      </c>
      <c r="CY34" s="1" t="e">
        <f>SUMIF(#REF!,Overview!$U34,#REF!)</f>
        <v>#REF!</v>
      </c>
      <c r="CZ34" s="1" t="e">
        <f>SUMIF(#REF!,Overview!$U34,#REF!)</f>
        <v>#REF!</v>
      </c>
      <c r="DA34" s="1" t="e">
        <f>SUMIF(#REF!,Overview!$U34,#REF!)</f>
        <v>#REF!</v>
      </c>
      <c r="DB34" s="1" t="e">
        <f>SUMIF(#REF!,Overview!$U34,#REF!)</f>
        <v>#REF!</v>
      </c>
      <c r="DC34" s="1" t="e">
        <f>SUMIF(#REF!,Overview!$U34,#REF!)</f>
        <v>#REF!</v>
      </c>
      <c r="DD34" s="1" t="e">
        <f>SUMIF(#REF!,Overview!$U34,#REF!)</f>
        <v>#REF!</v>
      </c>
      <c r="DE34" s="5" t="e">
        <f>SUMIF(#REF!,Overview!$U34,#REF!)</f>
        <v>#REF!</v>
      </c>
    </row>
    <row r="35" spans="1:109">
      <c r="A35" s="3" t="s">
        <v>117</v>
      </c>
      <c r="B35" s="14" t="s">
        <v>118</v>
      </c>
      <c r="C35" s="4">
        <v>6.1342130198748412</v>
      </c>
      <c r="D35" s="1">
        <v>16.76344939856893</v>
      </c>
      <c r="E35" s="1">
        <v>10.94570110103248</v>
      </c>
      <c r="F35">
        <v>1.3409766373946239</v>
      </c>
      <c r="G35" s="4">
        <v>24388.46227171948</v>
      </c>
      <c r="H35" s="1">
        <v>63819.989378543083</v>
      </c>
      <c r="I35" s="1">
        <v>41269.785857944538</v>
      </c>
      <c r="J35">
        <v>9556.8709397770544</v>
      </c>
      <c r="K35" s="4" t="s">
        <v>17</v>
      </c>
      <c r="L35" s="1" t="s">
        <v>119</v>
      </c>
      <c r="M35" s="1" t="s">
        <v>120</v>
      </c>
      <c r="N35" s="11" t="s">
        <v>51</v>
      </c>
      <c r="O35" s="1" t="s">
        <v>121</v>
      </c>
      <c r="P35" s="1" t="s">
        <v>45</v>
      </c>
      <c r="Q35" s="1" t="s">
        <v>122</v>
      </c>
      <c r="R35" s="36" t="s">
        <v>272</v>
      </c>
      <c r="S35" s="24" t="s">
        <v>24</v>
      </c>
      <c r="T35" s="1" t="s">
        <v>24</v>
      </c>
      <c r="U35" s="4" t="s">
        <v>119</v>
      </c>
      <c r="V35" s="1" t="s">
        <v>120</v>
      </c>
      <c r="W35" s="5" t="s">
        <v>51</v>
      </c>
      <c r="X35" s="5" t="s">
        <v>37</v>
      </c>
      <c r="Y35" s="22" t="s">
        <v>226</v>
      </c>
      <c r="Z35" s="38">
        <f>1000000/30</f>
        <v>33333.333333333336</v>
      </c>
      <c r="AA35" s="29"/>
      <c r="AB35" s="29"/>
      <c r="AC35" s="22"/>
      <c r="AD35" s="25" t="e">
        <f>SUMIF(#REF!,Overview!U35,#REF!)</f>
        <v>#REF!</v>
      </c>
      <c r="AE35" s="27" t="e">
        <f>SUMIF(#REF!,Overview!U35,#REF!)</f>
        <v>#REF!</v>
      </c>
      <c r="AF35" s="1" t="e">
        <f>SUMIF(#REF!,Overview!U35,#REF!)</f>
        <v>#REF!</v>
      </c>
      <c r="AG35" s="1" t="e">
        <f>SUMIF(#REF!,Overview!U35,#REF!)</f>
        <v>#REF!</v>
      </c>
      <c r="AH35" s="1" t="e">
        <f>SUMIF(#REF!,Overview!U35,#REF!)</f>
        <v>#REF!</v>
      </c>
      <c r="AI35" s="1" t="e">
        <f>SUMIF(#REF!,Overview!U35,#REF!)</f>
        <v>#REF!</v>
      </c>
      <c r="AJ35" s="1" t="e">
        <f>SUMIF(#REF!,Overview!U35,#REF!)</f>
        <v>#REF!</v>
      </c>
      <c r="AK35" s="1" t="e">
        <f>SUMIF(#REF!,Overview!U35,#REF!)</f>
        <v>#REF!</v>
      </c>
      <c r="AL35" s="1" t="e">
        <f>SUMIF(#REF!,Overview!U35,#REF!)</f>
        <v>#REF!</v>
      </c>
      <c r="AM35" s="1" t="e">
        <f>SUMIF(#REF!,Overview!U35,#REF!)</f>
        <v>#REF!</v>
      </c>
      <c r="AN35" s="1" t="e">
        <f>SUMIF(#REF!,Overview!U35,#REF!)</f>
        <v>#REF!</v>
      </c>
      <c r="AO35" s="1" t="e">
        <f>SUMIF(#REF!,Overview!U35,#REF!)</f>
        <v>#REF!</v>
      </c>
      <c r="AP35" s="1" t="e">
        <f>SUMIF(#REF!,Overview!U35,#REF!)</f>
        <v>#REF!</v>
      </c>
      <c r="AQ35" s="1" t="e">
        <f>SUMIF(#REF!,Overview!U35,#REF!)</f>
        <v>#REF!</v>
      </c>
      <c r="AR35" s="1" t="e">
        <f>SUMIF(#REF!,Overview!U35,#REF!)</f>
        <v>#REF!</v>
      </c>
      <c r="AS35" s="5" t="e">
        <f>SUMIF(#REF!,Overview!U35,#REF!)</f>
        <v>#REF!</v>
      </c>
      <c r="AT35" s="49" t="e">
        <f t="shared" ref="AT35:BI35" si="45">AD35*$Z35*$C35/20</f>
        <v>#REF!</v>
      </c>
      <c r="AU35" s="30" t="e">
        <f t="shared" si="45"/>
        <v>#REF!</v>
      </c>
      <c r="AV35" s="30" t="e">
        <f t="shared" si="45"/>
        <v>#REF!</v>
      </c>
      <c r="AW35" s="30" t="e">
        <f t="shared" si="45"/>
        <v>#REF!</v>
      </c>
      <c r="AX35" s="30" t="e">
        <f t="shared" si="45"/>
        <v>#REF!</v>
      </c>
      <c r="AY35" s="30" t="e">
        <f t="shared" si="45"/>
        <v>#REF!</v>
      </c>
      <c r="AZ35" s="30" t="e">
        <f t="shared" si="45"/>
        <v>#REF!</v>
      </c>
      <c r="BA35" s="30" t="e">
        <f t="shared" si="45"/>
        <v>#REF!</v>
      </c>
      <c r="BB35" s="30" t="e">
        <f t="shared" si="45"/>
        <v>#REF!</v>
      </c>
      <c r="BC35" s="30" t="e">
        <f t="shared" si="45"/>
        <v>#REF!</v>
      </c>
      <c r="BD35" s="30" t="e">
        <f t="shared" si="45"/>
        <v>#REF!</v>
      </c>
      <c r="BE35" s="30" t="e">
        <f t="shared" si="45"/>
        <v>#REF!</v>
      </c>
      <c r="BF35" s="30" t="e">
        <f t="shared" si="45"/>
        <v>#REF!</v>
      </c>
      <c r="BG35" s="30" t="e">
        <f t="shared" si="45"/>
        <v>#REF!</v>
      </c>
      <c r="BH35" s="30" t="e">
        <f t="shared" si="45"/>
        <v>#REF!</v>
      </c>
      <c r="BI35" s="50" t="e">
        <f t="shared" si="45"/>
        <v>#REF!</v>
      </c>
      <c r="BJ35" s="49" t="e">
        <f t="shared" ref="BJ35:BY35" si="46">AD35*$Z35*$D35/20</f>
        <v>#REF!</v>
      </c>
      <c r="BK35" s="30" t="e">
        <f t="shared" si="46"/>
        <v>#REF!</v>
      </c>
      <c r="BL35" s="30" t="e">
        <f t="shared" si="46"/>
        <v>#REF!</v>
      </c>
      <c r="BM35" s="30" t="e">
        <f t="shared" si="46"/>
        <v>#REF!</v>
      </c>
      <c r="BN35" s="30" t="e">
        <f t="shared" si="46"/>
        <v>#REF!</v>
      </c>
      <c r="BO35" s="30" t="e">
        <f t="shared" si="46"/>
        <v>#REF!</v>
      </c>
      <c r="BP35" s="30" t="e">
        <f t="shared" si="46"/>
        <v>#REF!</v>
      </c>
      <c r="BQ35" s="30" t="e">
        <f t="shared" si="46"/>
        <v>#REF!</v>
      </c>
      <c r="BR35" s="30" t="e">
        <f t="shared" si="46"/>
        <v>#REF!</v>
      </c>
      <c r="BS35" s="30" t="e">
        <f t="shared" si="46"/>
        <v>#REF!</v>
      </c>
      <c r="BT35" s="30" t="e">
        <f t="shared" si="46"/>
        <v>#REF!</v>
      </c>
      <c r="BU35" s="30" t="e">
        <f t="shared" si="46"/>
        <v>#REF!</v>
      </c>
      <c r="BV35" s="30" t="e">
        <f t="shared" si="46"/>
        <v>#REF!</v>
      </c>
      <c r="BW35" s="30" t="e">
        <f t="shared" si="46"/>
        <v>#REF!</v>
      </c>
      <c r="BX35" s="30" t="e">
        <f t="shared" si="46"/>
        <v>#REF!</v>
      </c>
      <c r="BY35" s="50" t="e">
        <f t="shared" si="46"/>
        <v>#REF!</v>
      </c>
      <c r="BZ35" s="49" t="e">
        <f t="shared" ref="BZ35:CO35" si="47">AD35*$Z35*$E35/20</f>
        <v>#REF!</v>
      </c>
      <c r="CA35" s="30" t="e">
        <f t="shared" si="47"/>
        <v>#REF!</v>
      </c>
      <c r="CB35" s="30" t="e">
        <f t="shared" si="47"/>
        <v>#REF!</v>
      </c>
      <c r="CC35" s="30" t="e">
        <f t="shared" si="47"/>
        <v>#REF!</v>
      </c>
      <c r="CD35" s="30" t="e">
        <f t="shared" si="47"/>
        <v>#REF!</v>
      </c>
      <c r="CE35" s="30" t="e">
        <f t="shared" si="47"/>
        <v>#REF!</v>
      </c>
      <c r="CF35" s="30" t="e">
        <f t="shared" si="47"/>
        <v>#REF!</v>
      </c>
      <c r="CG35" s="30" t="e">
        <f t="shared" si="47"/>
        <v>#REF!</v>
      </c>
      <c r="CH35" s="30" t="e">
        <f t="shared" si="47"/>
        <v>#REF!</v>
      </c>
      <c r="CI35" s="30" t="e">
        <f t="shared" si="47"/>
        <v>#REF!</v>
      </c>
      <c r="CJ35" s="30" t="e">
        <f t="shared" si="47"/>
        <v>#REF!</v>
      </c>
      <c r="CK35" s="30" t="e">
        <f t="shared" si="47"/>
        <v>#REF!</v>
      </c>
      <c r="CL35" s="30" t="e">
        <f t="shared" si="47"/>
        <v>#REF!</v>
      </c>
      <c r="CM35" s="30" t="e">
        <f t="shared" si="47"/>
        <v>#REF!</v>
      </c>
      <c r="CN35" s="30" t="e">
        <f t="shared" si="47"/>
        <v>#REF!</v>
      </c>
      <c r="CO35" s="50" t="e">
        <f t="shared" si="47"/>
        <v>#REF!</v>
      </c>
      <c r="CP35" s="1" t="e">
        <f>SUMIF(#REF!,Overview!$U35,#REF!)</f>
        <v>#REF!</v>
      </c>
      <c r="CQ35" s="1" t="e">
        <f>SUMIF(#REF!,Overview!$U35,#REF!)</f>
        <v>#REF!</v>
      </c>
      <c r="CR35" s="1" t="e">
        <f>SUMIF(#REF!,Overview!$U35,#REF!)</f>
        <v>#REF!</v>
      </c>
      <c r="CS35" s="1" t="e">
        <f>SUMIF(#REF!,Overview!$U35,#REF!)</f>
        <v>#REF!</v>
      </c>
      <c r="CT35" s="1" t="e">
        <f>SUMIF(#REF!,Overview!$U35,#REF!)</f>
        <v>#REF!</v>
      </c>
      <c r="CU35" s="1" t="e">
        <f>SUMIF(#REF!,Overview!$U35,#REF!)</f>
        <v>#REF!</v>
      </c>
      <c r="CV35" s="1" t="e">
        <f>SUMIF(#REF!,Overview!$U35,#REF!)</f>
        <v>#REF!</v>
      </c>
      <c r="CW35" s="1" t="e">
        <f>SUMIF(#REF!,Overview!$U35,#REF!)</f>
        <v>#REF!</v>
      </c>
      <c r="CX35" s="1" t="e">
        <f>SUMIF(#REF!,Overview!$U35,#REF!)</f>
        <v>#REF!</v>
      </c>
      <c r="CY35" s="1" t="e">
        <f>SUMIF(#REF!,Overview!$U35,#REF!)</f>
        <v>#REF!</v>
      </c>
      <c r="CZ35" s="1" t="e">
        <f>SUMIF(#REF!,Overview!$U35,#REF!)</f>
        <v>#REF!</v>
      </c>
      <c r="DA35" s="1" t="e">
        <f>SUMIF(#REF!,Overview!$U35,#REF!)</f>
        <v>#REF!</v>
      </c>
      <c r="DB35" s="1" t="e">
        <f>SUMIF(#REF!,Overview!$U35,#REF!)</f>
        <v>#REF!</v>
      </c>
      <c r="DC35" s="1" t="e">
        <f>SUMIF(#REF!,Overview!$U35,#REF!)</f>
        <v>#REF!</v>
      </c>
      <c r="DD35" s="1" t="e">
        <f>SUMIF(#REF!,Overview!$U35,#REF!)</f>
        <v>#REF!</v>
      </c>
      <c r="DE35" s="5" t="e">
        <f>SUMIF(#REF!,Overview!$U35,#REF!)</f>
        <v>#REF!</v>
      </c>
    </row>
    <row r="36" spans="1:109">
      <c r="A36" s="3"/>
      <c r="B36" s="111" t="s">
        <v>381</v>
      </c>
      <c r="E36" s="1"/>
      <c r="F36" s="5"/>
      <c r="G36" s="126">
        <f>43381-36525</f>
        <v>6856</v>
      </c>
      <c r="H36" s="127">
        <f>49821-36687</f>
        <v>13134</v>
      </c>
      <c r="I36" s="127">
        <f>42355-40770</f>
        <v>1585</v>
      </c>
      <c r="J36" s="128">
        <v>14795</v>
      </c>
      <c r="R36" s="36"/>
      <c r="U36" s="4" t="s">
        <v>382</v>
      </c>
      <c r="V36" s="1" t="s">
        <v>383</v>
      </c>
      <c r="W36" s="5" t="s">
        <v>51</v>
      </c>
      <c r="X36" s="5" t="s">
        <v>334</v>
      </c>
      <c r="Y36" s="22" t="s">
        <v>211</v>
      </c>
      <c r="Z36" s="17">
        <v>1000000</v>
      </c>
      <c r="AA36" s="29"/>
      <c r="AB36" s="29"/>
      <c r="AC36" s="22"/>
      <c r="AD36" s="25" t="e">
        <f>SUMIF(#REF!,Overview!U36,#REF!)</f>
        <v>#REF!</v>
      </c>
      <c r="AE36" s="27" t="e">
        <f>SUMIF(#REF!,Overview!U36,#REF!)</f>
        <v>#REF!</v>
      </c>
      <c r="AF36" s="1" t="e">
        <f>SUMIF(#REF!,Overview!U36,#REF!)</f>
        <v>#REF!</v>
      </c>
      <c r="AG36" s="1" t="e">
        <f>SUMIF(#REF!,Overview!U36,#REF!)</f>
        <v>#REF!</v>
      </c>
      <c r="AH36" s="1" t="e">
        <f>SUMIF(#REF!,Overview!U36,#REF!)</f>
        <v>#REF!</v>
      </c>
      <c r="AI36" s="1" t="e">
        <f>SUMIF(#REF!,Overview!U36,#REF!)</f>
        <v>#REF!</v>
      </c>
      <c r="AJ36" s="1" t="e">
        <f>SUMIF(#REF!,Overview!U36,#REF!)</f>
        <v>#REF!</v>
      </c>
      <c r="AK36" s="1" t="e">
        <f>SUMIF(#REF!,Overview!U36,#REF!)</f>
        <v>#REF!</v>
      </c>
      <c r="AL36" s="1" t="e">
        <f>SUMIF(#REF!,Overview!U36,#REF!)</f>
        <v>#REF!</v>
      </c>
      <c r="AM36" s="1" t="e">
        <f>SUMIF(#REF!,Overview!U36,#REF!)</f>
        <v>#REF!</v>
      </c>
      <c r="AN36" s="1" t="e">
        <f>SUMIF(#REF!,Overview!U36,#REF!)</f>
        <v>#REF!</v>
      </c>
      <c r="AO36" s="1" t="e">
        <f>SUMIF(#REF!,Overview!U36,#REF!)</f>
        <v>#REF!</v>
      </c>
      <c r="AP36" s="1" t="e">
        <f>SUMIF(#REF!,Overview!U36,#REF!)</f>
        <v>#REF!</v>
      </c>
      <c r="AQ36" s="1" t="e">
        <f>SUMIF(#REF!,Overview!U36,#REF!)</f>
        <v>#REF!</v>
      </c>
      <c r="AR36" s="1" t="e">
        <f>SUMIF(#REF!,Overview!U36,#REF!)</f>
        <v>#REF!</v>
      </c>
      <c r="AS36" s="5" t="e">
        <f>SUMIF(#REF!,Overview!U36,#REF!)</f>
        <v>#REF!</v>
      </c>
      <c r="AT36" s="49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50"/>
      <c r="BJ36" s="49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50"/>
      <c r="BZ36" s="49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50"/>
      <c r="CP36" s="1" t="e">
        <f>SUMIF(#REF!,Overview!$U36,#REF!)</f>
        <v>#REF!</v>
      </c>
      <c r="CQ36" s="1" t="e">
        <f>SUMIF(#REF!,Overview!$U36,#REF!)</f>
        <v>#REF!</v>
      </c>
      <c r="CR36" s="1" t="e">
        <f>SUMIF(#REF!,Overview!$U36,#REF!)</f>
        <v>#REF!</v>
      </c>
      <c r="CS36" s="1" t="e">
        <f>SUMIF(#REF!,Overview!$U36,#REF!)</f>
        <v>#REF!</v>
      </c>
      <c r="CT36" s="1" t="e">
        <f>SUMIF(#REF!,Overview!$U36,#REF!)</f>
        <v>#REF!</v>
      </c>
      <c r="CU36" s="1" t="e">
        <f>SUMIF(#REF!,Overview!$U36,#REF!)</f>
        <v>#REF!</v>
      </c>
      <c r="CV36" s="1" t="e">
        <f>SUMIF(#REF!,Overview!$U36,#REF!)</f>
        <v>#REF!</v>
      </c>
      <c r="CW36" s="1" t="e">
        <f>SUMIF(#REF!,Overview!$U36,#REF!)</f>
        <v>#REF!</v>
      </c>
      <c r="CX36" s="1" t="e">
        <f>SUMIF(#REF!,Overview!$U36,#REF!)</f>
        <v>#REF!</v>
      </c>
      <c r="CY36" s="1" t="e">
        <f>SUMIF(#REF!,Overview!$U36,#REF!)</f>
        <v>#REF!</v>
      </c>
      <c r="CZ36" s="1" t="e">
        <f>SUMIF(#REF!,Overview!$U36,#REF!)</f>
        <v>#REF!</v>
      </c>
      <c r="DA36" s="1" t="e">
        <f>SUMIF(#REF!,Overview!$U36,#REF!)</f>
        <v>#REF!</v>
      </c>
      <c r="DB36" s="1" t="e">
        <f>SUMIF(#REF!,Overview!$U36,#REF!)</f>
        <v>#REF!</v>
      </c>
      <c r="DC36" s="1" t="e">
        <f>SUMIF(#REF!,Overview!$U36,#REF!)</f>
        <v>#REF!</v>
      </c>
      <c r="DD36" s="1" t="e">
        <f>SUMIF(#REF!,Overview!$U36,#REF!)</f>
        <v>#REF!</v>
      </c>
      <c r="DE36" s="5" t="e">
        <f>SUMIF(#REF!,Overview!$U36,#REF!)</f>
        <v>#REF!</v>
      </c>
    </row>
    <row r="37" spans="1:109" ht="43.5">
      <c r="A37" s="3" t="s">
        <v>123</v>
      </c>
      <c r="B37" s="14" t="s">
        <v>124</v>
      </c>
      <c r="E37" s="1"/>
      <c r="F37" s="5"/>
      <c r="H37" s="1">
        <v>26916.736341578238</v>
      </c>
      <c r="I37" s="1"/>
      <c r="K37" s="4" t="s">
        <v>17</v>
      </c>
      <c r="L37" s="1" t="s">
        <v>125</v>
      </c>
      <c r="M37" s="1" t="s">
        <v>126</v>
      </c>
      <c r="N37" s="11" t="s">
        <v>37</v>
      </c>
      <c r="O37" s="12" t="s">
        <v>38</v>
      </c>
      <c r="P37" s="1" t="s">
        <v>30</v>
      </c>
      <c r="Q37" s="1" t="s">
        <v>127</v>
      </c>
      <c r="R37" s="34" t="s">
        <v>128</v>
      </c>
      <c r="S37" s="24" t="s">
        <v>129</v>
      </c>
      <c r="T37" s="1" t="s">
        <v>24</v>
      </c>
      <c r="U37" s="4" t="s">
        <v>245</v>
      </c>
      <c r="V37" s="1" t="s">
        <v>126</v>
      </c>
      <c r="W37" s="5" t="s">
        <v>37</v>
      </c>
      <c r="X37" s="5" t="s">
        <v>334</v>
      </c>
      <c r="Y37" s="22" t="s">
        <v>210</v>
      </c>
      <c r="Z37" s="17">
        <f>3.6*1000000/34.4</f>
        <v>104651.16279069768</v>
      </c>
      <c r="AA37" s="29"/>
      <c r="AB37" s="29"/>
      <c r="AC37" s="22" t="s">
        <v>300</v>
      </c>
      <c r="AD37" s="25" t="e">
        <f>SUMIF(#REF!,Overview!U37,#REF!)</f>
        <v>#REF!</v>
      </c>
      <c r="AE37" s="27" t="e">
        <f>SUMIF(#REF!,Overview!U37,#REF!)</f>
        <v>#REF!</v>
      </c>
      <c r="AF37" s="1" t="e">
        <f>SUMIF(#REF!,Overview!U37,#REF!)</f>
        <v>#REF!</v>
      </c>
      <c r="AG37" s="1" t="e">
        <f>SUMIF(#REF!,Overview!U37,#REF!)</f>
        <v>#REF!</v>
      </c>
      <c r="AH37" s="1" t="e">
        <f>SUMIF(#REF!,Overview!U37,#REF!)</f>
        <v>#REF!</v>
      </c>
      <c r="AI37" s="1" t="e">
        <f>SUMIF(#REF!,Overview!U37,#REF!)</f>
        <v>#REF!</v>
      </c>
      <c r="AJ37" s="1" t="e">
        <f>SUMIF(#REF!,Overview!U37,#REF!)</f>
        <v>#REF!</v>
      </c>
      <c r="AK37" s="1" t="e">
        <f>SUMIF(#REF!,Overview!U37,#REF!)</f>
        <v>#REF!</v>
      </c>
      <c r="AL37" s="1" t="e">
        <f>SUMIF(#REF!,Overview!U37,#REF!)</f>
        <v>#REF!</v>
      </c>
      <c r="AM37" s="1" t="e">
        <f>SUMIF(#REF!,Overview!U37,#REF!)</f>
        <v>#REF!</v>
      </c>
      <c r="AN37" s="1" t="e">
        <f>SUMIF(#REF!,Overview!U37,#REF!)</f>
        <v>#REF!</v>
      </c>
      <c r="AO37" s="1" t="e">
        <f>SUMIF(#REF!,Overview!U37,#REF!)</f>
        <v>#REF!</v>
      </c>
      <c r="AP37" s="1" t="e">
        <f>SUMIF(#REF!,Overview!U37,#REF!)</f>
        <v>#REF!</v>
      </c>
      <c r="AQ37" s="1" t="e">
        <f>SUMIF(#REF!,Overview!U37,#REF!)</f>
        <v>#REF!</v>
      </c>
      <c r="AR37" s="1" t="e">
        <f>SUMIF(#REF!,Overview!U37,#REF!)</f>
        <v>#REF!</v>
      </c>
      <c r="AS37" s="5" t="e">
        <f>SUMIF(#REF!,Overview!U37,#REF!)</f>
        <v>#REF!</v>
      </c>
      <c r="AT37" s="51" t="e">
        <f t="shared" ref="AT37:BI37" si="48">AD37*$Z37*$G37</f>
        <v>#REF!</v>
      </c>
      <c r="AU37" s="52" t="e">
        <f t="shared" si="48"/>
        <v>#REF!</v>
      </c>
      <c r="AV37" s="52" t="e">
        <f t="shared" si="48"/>
        <v>#REF!</v>
      </c>
      <c r="AW37" s="52" t="e">
        <f t="shared" si="48"/>
        <v>#REF!</v>
      </c>
      <c r="AX37" s="52" t="e">
        <f t="shared" si="48"/>
        <v>#REF!</v>
      </c>
      <c r="AY37" s="52" t="e">
        <f t="shared" si="48"/>
        <v>#REF!</v>
      </c>
      <c r="AZ37" s="52" t="e">
        <f t="shared" si="48"/>
        <v>#REF!</v>
      </c>
      <c r="BA37" s="52" t="e">
        <f t="shared" si="48"/>
        <v>#REF!</v>
      </c>
      <c r="BB37" s="52" t="e">
        <f t="shared" si="48"/>
        <v>#REF!</v>
      </c>
      <c r="BC37" s="52" t="e">
        <f t="shared" si="48"/>
        <v>#REF!</v>
      </c>
      <c r="BD37" s="52" t="e">
        <f t="shared" si="48"/>
        <v>#REF!</v>
      </c>
      <c r="BE37" s="52" t="e">
        <f t="shared" si="48"/>
        <v>#REF!</v>
      </c>
      <c r="BF37" s="52" t="e">
        <f t="shared" si="48"/>
        <v>#REF!</v>
      </c>
      <c r="BG37" s="52" t="e">
        <f t="shared" si="48"/>
        <v>#REF!</v>
      </c>
      <c r="BH37" s="52" t="e">
        <f t="shared" si="48"/>
        <v>#REF!</v>
      </c>
      <c r="BI37" s="53" t="e">
        <f t="shared" si="48"/>
        <v>#REF!</v>
      </c>
      <c r="BJ37" s="51" t="e">
        <f t="shared" ref="BJ37:BY37" si="49">AD37*$Z37*$H37</f>
        <v>#REF!</v>
      </c>
      <c r="BK37" s="52" t="e">
        <f t="shared" si="49"/>
        <v>#REF!</v>
      </c>
      <c r="BL37" s="52" t="e">
        <f t="shared" si="49"/>
        <v>#REF!</v>
      </c>
      <c r="BM37" s="52" t="e">
        <f t="shared" si="49"/>
        <v>#REF!</v>
      </c>
      <c r="BN37" s="52" t="e">
        <f t="shared" si="49"/>
        <v>#REF!</v>
      </c>
      <c r="BO37" s="52" t="e">
        <f t="shared" si="49"/>
        <v>#REF!</v>
      </c>
      <c r="BP37" s="52" t="e">
        <f t="shared" si="49"/>
        <v>#REF!</v>
      </c>
      <c r="BQ37" s="52" t="e">
        <f t="shared" si="49"/>
        <v>#REF!</v>
      </c>
      <c r="BR37" s="52" t="e">
        <f t="shared" si="49"/>
        <v>#REF!</v>
      </c>
      <c r="BS37" s="52" t="e">
        <f t="shared" si="49"/>
        <v>#REF!</v>
      </c>
      <c r="BT37" s="52" t="e">
        <f t="shared" si="49"/>
        <v>#REF!</v>
      </c>
      <c r="BU37" s="52" t="e">
        <f t="shared" si="49"/>
        <v>#REF!</v>
      </c>
      <c r="BV37" s="52" t="e">
        <f t="shared" si="49"/>
        <v>#REF!</v>
      </c>
      <c r="BW37" s="52" t="e">
        <f t="shared" si="49"/>
        <v>#REF!</v>
      </c>
      <c r="BX37" s="52" t="e">
        <f t="shared" si="49"/>
        <v>#REF!</v>
      </c>
      <c r="BY37" s="53" t="e">
        <f t="shared" si="49"/>
        <v>#REF!</v>
      </c>
      <c r="BZ37" s="51" t="e">
        <f t="shared" si="5"/>
        <v>#REF!</v>
      </c>
      <c r="CA37" s="52" t="e">
        <f t="shared" ref="CA37" si="50">AE37*$Z37*$I37</f>
        <v>#REF!</v>
      </c>
      <c r="CB37" s="52" t="e">
        <f t="shared" ref="CB37" si="51">AF37*$Z37*$I37</f>
        <v>#REF!</v>
      </c>
      <c r="CC37" s="52" t="e">
        <f t="shared" ref="CC37" si="52">AG37*$Z37*$I37</f>
        <v>#REF!</v>
      </c>
      <c r="CD37" s="52" t="e">
        <f t="shared" ref="CD37" si="53">AH37*$Z37*$I37</f>
        <v>#REF!</v>
      </c>
      <c r="CE37" s="52" t="e">
        <f t="shared" ref="CE37" si="54">AI37*$Z37*$I37</f>
        <v>#REF!</v>
      </c>
      <c r="CF37" s="52" t="e">
        <f t="shared" ref="CF37" si="55">AJ37*$Z37*$I37</f>
        <v>#REF!</v>
      </c>
      <c r="CG37" s="52" t="e">
        <f t="shared" ref="CG37" si="56">AK37*$Z37*$I37</f>
        <v>#REF!</v>
      </c>
      <c r="CH37" s="52" t="e">
        <f t="shared" ref="CH37" si="57">AL37*$Z37*$I37</f>
        <v>#REF!</v>
      </c>
      <c r="CI37" s="52" t="e">
        <f t="shared" ref="CI37" si="58">AM37*$Z37*$I37</f>
        <v>#REF!</v>
      </c>
      <c r="CJ37" s="52" t="e">
        <f t="shared" ref="CJ37" si="59">AN37*$Z37*$I37</f>
        <v>#REF!</v>
      </c>
      <c r="CK37" s="52" t="e">
        <f t="shared" ref="CK37" si="60">AO37*$Z37*$I37</f>
        <v>#REF!</v>
      </c>
      <c r="CL37" s="52" t="e">
        <f t="shared" ref="CL37" si="61">AP37*$Z37*$I37</f>
        <v>#REF!</v>
      </c>
      <c r="CM37" s="52" t="e">
        <f t="shared" ref="CM37" si="62">AQ37*$Z37*$I37</f>
        <v>#REF!</v>
      </c>
      <c r="CN37" s="52" t="e">
        <f t="shared" ref="CN37" si="63">AR37*$Z37*$I37</f>
        <v>#REF!</v>
      </c>
      <c r="CO37" s="53" t="e">
        <f t="shared" ref="CO37" si="64">AS37*$Z37*$I37</f>
        <v>#REF!</v>
      </c>
      <c r="CP37" s="1" t="e">
        <f>SUMIF(#REF!,Overview!$U37,#REF!)</f>
        <v>#REF!</v>
      </c>
      <c r="CQ37" s="1" t="e">
        <f>SUMIF(#REF!,Overview!$U37,#REF!)</f>
        <v>#REF!</v>
      </c>
      <c r="CR37" s="1" t="e">
        <f>SUMIF(#REF!,Overview!$U37,#REF!)</f>
        <v>#REF!</v>
      </c>
      <c r="CS37" s="1" t="e">
        <f>SUMIF(#REF!,Overview!$U37,#REF!)</f>
        <v>#REF!</v>
      </c>
      <c r="CT37" s="1" t="e">
        <f>SUMIF(#REF!,Overview!$U37,#REF!)</f>
        <v>#REF!</v>
      </c>
      <c r="CU37" s="1" t="e">
        <f>SUMIF(#REF!,Overview!$U37,#REF!)</f>
        <v>#REF!</v>
      </c>
      <c r="CV37" s="1" t="e">
        <f>SUMIF(#REF!,Overview!$U37,#REF!)</f>
        <v>#REF!</v>
      </c>
      <c r="CW37" s="1" t="e">
        <f>SUMIF(#REF!,Overview!$U37,#REF!)</f>
        <v>#REF!</v>
      </c>
      <c r="CX37" s="1" t="e">
        <f>SUMIF(#REF!,Overview!$U37,#REF!)</f>
        <v>#REF!</v>
      </c>
      <c r="CY37" s="1" t="e">
        <f>SUMIF(#REF!,Overview!$U37,#REF!)</f>
        <v>#REF!</v>
      </c>
      <c r="CZ37" s="1" t="e">
        <f>SUMIF(#REF!,Overview!$U37,#REF!)</f>
        <v>#REF!</v>
      </c>
      <c r="DA37" s="1" t="e">
        <f>SUMIF(#REF!,Overview!$U37,#REF!)</f>
        <v>#REF!</v>
      </c>
      <c r="DB37" s="1" t="e">
        <f>SUMIF(#REF!,Overview!$U37,#REF!)</f>
        <v>#REF!</v>
      </c>
      <c r="DC37" s="1" t="e">
        <f>SUMIF(#REF!,Overview!$U37,#REF!)</f>
        <v>#REF!</v>
      </c>
      <c r="DD37" s="1" t="e">
        <f>SUMIF(#REF!,Overview!$U37,#REF!)</f>
        <v>#REF!</v>
      </c>
      <c r="DE37" s="5" t="e">
        <f>SUMIF(#REF!,Overview!$U37,#REF!)</f>
        <v>#REF!</v>
      </c>
    </row>
    <row r="38" spans="1:109">
      <c r="A38" s="3" t="s">
        <v>428</v>
      </c>
      <c r="B38" s="14" t="s">
        <v>429</v>
      </c>
      <c r="E38" s="1"/>
      <c r="F38" s="5"/>
      <c r="G38" s="4">
        <v>0</v>
      </c>
      <c r="H38" s="1">
        <v>0</v>
      </c>
      <c r="I38" s="1">
        <v>0</v>
      </c>
      <c r="J38" s="5">
        <v>0</v>
      </c>
      <c r="O38" s="12"/>
      <c r="R38" s="34"/>
      <c r="X38" s="5"/>
      <c r="Y38" s="22"/>
      <c r="Z38" s="17"/>
      <c r="AA38" s="29"/>
      <c r="AB38" s="29"/>
      <c r="AC38" s="22"/>
      <c r="AD38" s="25"/>
      <c r="AE38" s="27"/>
      <c r="AK38" s="1" t="e">
        <f>SUMIF(#REF!,Overview!U38,#REF!)</f>
        <v>#REF!</v>
      </c>
      <c r="AL38" s="1" t="e">
        <f>SUMIF(#REF!,Overview!U38,#REF!)</f>
        <v>#REF!</v>
      </c>
      <c r="AS38" s="5"/>
      <c r="AT38" s="51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3"/>
      <c r="BJ38" s="51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3"/>
      <c r="BZ38" s="51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3"/>
    </row>
    <row r="39" spans="1:109">
      <c r="A39" s="3" t="s">
        <v>432</v>
      </c>
      <c r="B39" s="14" t="s">
        <v>433</v>
      </c>
      <c r="E39" s="1"/>
      <c r="F39" s="5"/>
      <c r="G39">
        <v>0</v>
      </c>
      <c r="H39">
        <v>0</v>
      </c>
      <c r="I39">
        <v>1.658698082699581E-2</v>
      </c>
      <c r="J39" s="5">
        <v>11111.1186418303</v>
      </c>
      <c r="O39" s="12"/>
      <c r="R39" s="110" t="s">
        <v>447</v>
      </c>
      <c r="U39" s="4" t="s">
        <v>445</v>
      </c>
      <c r="V39" s="1" t="s">
        <v>446</v>
      </c>
      <c r="W39" s="5" t="s">
        <v>344</v>
      </c>
      <c r="X39" s="5" t="s">
        <v>334</v>
      </c>
      <c r="Y39" s="22" t="s">
        <v>209</v>
      </c>
      <c r="Z39" s="17">
        <f>3.6*1000000/120</f>
        <v>30000</v>
      </c>
      <c r="AA39" s="29"/>
      <c r="AB39" s="29"/>
      <c r="AC39" s="22" t="s">
        <v>448</v>
      </c>
      <c r="AD39" s="25" t="e">
        <f>SUMIF(#REF!,Overview!U39,#REF!)</f>
        <v>#REF!</v>
      </c>
      <c r="AE39" s="27" t="e">
        <f>SUMIF(#REF!,Overview!U39,#REF!)</f>
        <v>#REF!</v>
      </c>
      <c r="AF39" s="1" t="e">
        <f>SUMIF(#REF!,Overview!U39,#REF!)</f>
        <v>#REF!</v>
      </c>
      <c r="AG39" s="1" t="e">
        <f>SUMIF(#REF!,Overview!U39,#REF!)</f>
        <v>#REF!</v>
      </c>
      <c r="AH39" s="1" t="e">
        <f>SUMIF(#REF!,Overview!U39,#REF!)</f>
        <v>#REF!</v>
      </c>
      <c r="AI39" s="1" t="e">
        <f>SUMIF(#REF!,Overview!U39,#REF!)</f>
        <v>#REF!</v>
      </c>
      <c r="AJ39" s="1" t="e">
        <f>SUMIF(#REF!,Overview!U39,#REF!)</f>
        <v>#REF!</v>
      </c>
      <c r="AK39" s="1" t="e">
        <f>SUMIF(#REF!,Overview!U39,#REF!)</f>
        <v>#REF!</v>
      </c>
      <c r="AL39" s="1" t="e">
        <f>SUMIF(#REF!,Overview!U39,#REF!)</f>
        <v>#REF!</v>
      </c>
      <c r="AM39" s="1" t="e">
        <f>SUMIF(#REF!,Overview!U39,#REF!)</f>
        <v>#REF!</v>
      </c>
      <c r="AN39" s="1" t="e">
        <f>SUMIF(#REF!,Overview!U39,#REF!)</f>
        <v>#REF!</v>
      </c>
      <c r="AO39" s="1" t="e">
        <f>SUMIF(#REF!,Overview!U39,#REF!)</f>
        <v>#REF!</v>
      </c>
      <c r="AP39" s="1" t="e">
        <f>SUMIF(#REF!,Overview!U39,#REF!)</f>
        <v>#REF!</v>
      </c>
      <c r="AQ39" s="1" t="e">
        <f>SUMIF(#REF!,Overview!U39,#REF!)</f>
        <v>#REF!</v>
      </c>
      <c r="AR39" s="1" t="e">
        <f>SUMIF(#REF!,Overview!U39,#REF!)</f>
        <v>#REF!</v>
      </c>
      <c r="AS39" s="5" t="e">
        <f>SUMIF(#REF!,Overview!U39,#REF!)</f>
        <v>#REF!</v>
      </c>
      <c r="AT39" s="51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3"/>
      <c r="BJ39" s="51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3"/>
      <c r="BZ39" s="51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3"/>
      <c r="CP39" s="1" t="e">
        <f>SUMIF(#REF!,Overview!$U39,#REF!)</f>
        <v>#REF!</v>
      </c>
      <c r="CQ39" s="1" t="e">
        <f>SUMIF(#REF!,Overview!$U39,#REF!)</f>
        <v>#REF!</v>
      </c>
      <c r="CR39" s="1" t="e">
        <f>SUMIF(#REF!,Overview!$U39,#REF!)</f>
        <v>#REF!</v>
      </c>
      <c r="CS39" s="1" t="e">
        <f>SUMIF(#REF!,Overview!$U39,#REF!)</f>
        <v>#REF!</v>
      </c>
      <c r="CT39" s="1" t="e">
        <f>SUMIF(#REF!,Overview!$U39,#REF!)</f>
        <v>#REF!</v>
      </c>
      <c r="CU39" s="1" t="e">
        <f>SUMIF(#REF!,Overview!$U39,#REF!)</f>
        <v>#REF!</v>
      </c>
      <c r="CV39" s="1" t="e">
        <f>SUMIF(#REF!,Overview!$U39,#REF!)</f>
        <v>#REF!</v>
      </c>
      <c r="CW39" s="1" t="e">
        <f>SUMIF(#REF!,Overview!$U39,#REF!)</f>
        <v>#REF!</v>
      </c>
      <c r="CX39" s="1" t="e">
        <f>SUMIF(#REF!,Overview!$U39,#REF!)</f>
        <v>#REF!</v>
      </c>
      <c r="CY39" s="1" t="e">
        <f>SUMIF(#REF!,Overview!$U39,#REF!)</f>
        <v>#REF!</v>
      </c>
      <c r="CZ39" s="1" t="e">
        <f>SUMIF(#REF!,Overview!$U39,#REF!)</f>
        <v>#REF!</v>
      </c>
      <c r="DA39" s="1" t="e">
        <f>SUMIF(#REF!,Overview!$U39,#REF!)</f>
        <v>#REF!</v>
      </c>
      <c r="DB39" s="1" t="e">
        <f>SUMIF(#REF!,Overview!$U39,#REF!)</f>
        <v>#REF!</v>
      </c>
      <c r="DC39" s="1" t="e">
        <f>SUMIF(#REF!,Overview!$U39,#REF!)</f>
        <v>#REF!</v>
      </c>
      <c r="DD39" s="1" t="e">
        <f>SUMIF(#REF!,Overview!$U39,#REF!)</f>
        <v>#REF!</v>
      </c>
      <c r="DE39" s="5" t="e">
        <f>SUMIF(#REF!,Overview!$U39,#REF!)</f>
        <v>#REF!</v>
      </c>
    </row>
    <row r="40" spans="1:109" ht="130.5">
      <c r="A40" s="3" t="s">
        <v>130</v>
      </c>
      <c r="B40" s="14" t="s">
        <v>131</v>
      </c>
      <c r="E40" s="1"/>
      <c r="F40">
        <v>5781.1611981512779</v>
      </c>
      <c r="G40" s="4">
        <v>9129.2301208358294</v>
      </c>
      <c r="H40" s="1">
        <v>0</v>
      </c>
      <c r="I40" s="1">
        <v>0</v>
      </c>
      <c r="J40">
        <v>7598.0081874911839</v>
      </c>
      <c r="K40" s="4" t="s">
        <v>132</v>
      </c>
      <c r="L40" s="1" t="s">
        <v>24</v>
      </c>
      <c r="M40" s="1" t="s">
        <v>24</v>
      </c>
      <c r="N40" s="11" t="s">
        <v>24</v>
      </c>
      <c r="O40" s="1" t="s">
        <v>24</v>
      </c>
      <c r="P40" s="1" t="s">
        <v>30</v>
      </c>
      <c r="Q40" s="1" t="s">
        <v>39</v>
      </c>
      <c r="R40" s="34" t="s">
        <v>302</v>
      </c>
      <c r="S40" s="24" t="s">
        <v>24</v>
      </c>
      <c r="T40" s="1" t="s">
        <v>85</v>
      </c>
      <c r="U40" s="4" t="s">
        <v>540</v>
      </c>
      <c r="V40" s="1" t="s">
        <v>541</v>
      </c>
      <c r="W40" s="5" t="s">
        <v>51</v>
      </c>
      <c r="X40" s="5" t="s">
        <v>334</v>
      </c>
      <c r="Y40" s="22" t="s">
        <v>209</v>
      </c>
      <c r="Z40" s="17">
        <f>3.6*1000000/50</f>
        <v>72000</v>
      </c>
      <c r="AA40" s="29"/>
      <c r="AB40" s="29"/>
      <c r="AC40" s="22" t="s">
        <v>281</v>
      </c>
      <c r="AD40" s="39" t="e">
        <f>SUMIF(#REF!,Overview!U40,#REF!)-2.75034867503486</f>
        <v>#REF!</v>
      </c>
      <c r="AE40" s="27" t="e">
        <f>SUMIF(#REF!,Overview!U40,#REF!)</f>
        <v>#REF!</v>
      </c>
      <c r="AF40" s="1" t="e">
        <f>SUMIF(#REF!,Overview!U40,#REF!)</f>
        <v>#REF!</v>
      </c>
      <c r="AG40" s="1" t="e">
        <f>SUMIF(#REF!,Overview!U40,#REF!)</f>
        <v>#REF!</v>
      </c>
      <c r="AH40" s="1" t="e">
        <f>SUMIF(#REF!,Overview!U40,#REF!)</f>
        <v>#REF!</v>
      </c>
      <c r="AI40" s="1" t="e">
        <f>SUMIF(#REF!,Overview!U40,#REF!)</f>
        <v>#REF!</v>
      </c>
      <c r="AJ40" s="1" t="e">
        <f>SUMIF(#REF!,Overview!U40,#REF!)</f>
        <v>#REF!</v>
      </c>
      <c r="AK40" s="1" t="e">
        <f>SUMIF(#REF!,Overview!U40,#REF!)</f>
        <v>#REF!</v>
      </c>
      <c r="AL40" s="1" t="e">
        <f>SUMIF(#REF!,Overview!U40,#REF!)</f>
        <v>#REF!</v>
      </c>
      <c r="AM40" s="1" t="e">
        <f>SUMIF(#REF!,Overview!U40,#REF!)</f>
        <v>#REF!</v>
      </c>
      <c r="AN40" s="1" t="e">
        <f>SUMIF(#REF!,Overview!U40,#REF!)</f>
        <v>#REF!</v>
      </c>
      <c r="AO40" s="1" t="e">
        <f>SUMIF(#REF!,Overview!U40,#REF!)</f>
        <v>#REF!</v>
      </c>
      <c r="AP40" s="1" t="e">
        <f>SUMIF(#REF!,Overview!U40,#REF!)</f>
        <v>#REF!</v>
      </c>
      <c r="AQ40" s="1" t="e">
        <f>SUMIF(#REF!,Overview!U40,#REF!)</f>
        <v>#REF!</v>
      </c>
      <c r="AR40" s="1" t="e">
        <f>SUMIF(#REF!,Overview!U40,#REF!)</f>
        <v>#REF!</v>
      </c>
      <c r="AS40" s="5" t="e">
        <f>SUMIF(#REF!,Overview!U40,#REF!)</f>
        <v>#REF!</v>
      </c>
      <c r="AT40" s="51" t="e">
        <f t="shared" ref="AT40:BI40" si="65">AD40*$Z40*$G40</f>
        <v>#REF!</v>
      </c>
      <c r="AU40" s="52" t="e">
        <f t="shared" si="65"/>
        <v>#REF!</v>
      </c>
      <c r="AV40" s="52" t="e">
        <f t="shared" si="65"/>
        <v>#REF!</v>
      </c>
      <c r="AW40" s="52" t="e">
        <f t="shared" si="65"/>
        <v>#REF!</v>
      </c>
      <c r="AX40" s="52" t="e">
        <f t="shared" si="65"/>
        <v>#REF!</v>
      </c>
      <c r="AY40" s="52" t="e">
        <f t="shared" si="65"/>
        <v>#REF!</v>
      </c>
      <c r="AZ40" s="52" t="e">
        <f t="shared" si="65"/>
        <v>#REF!</v>
      </c>
      <c r="BA40" s="52" t="e">
        <f t="shared" si="65"/>
        <v>#REF!</v>
      </c>
      <c r="BB40" s="52" t="e">
        <f t="shared" si="65"/>
        <v>#REF!</v>
      </c>
      <c r="BC40" s="52" t="e">
        <f t="shared" si="65"/>
        <v>#REF!</v>
      </c>
      <c r="BD40" s="52" t="e">
        <f t="shared" si="65"/>
        <v>#REF!</v>
      </c>
      <c r="BE40" s="52" t="e">
        <f t="shared" si="65"/>
        <v>#REF!</v>
      </c>
      <c r="BF40" s="52" t="e">
        <f t="shared" si="65"/>
        <v>#REF!</v>
      </c>
      <c r="BG40" s="52" t="e">
        <f t="shared" si="65"/>
        <v>#REF!</v>
      </c>
      <c r="BH40" s="52" t="e">
        <f t="shared" si="65"/>
        <v>#REF!</v>
      </c>
      <c r="BI40" s="53" t="e">
        <f t="shared" si="65"/>
        <v>#REF!</v>
      </c>
      <c r="BJ40" s="51" t="e">
        <f t="shared" ref="BJ40:BY40" si="66">AD40*$Z40*$H40</f>
        <v>#REF!</v>
      </c>
      <c r="BK40" s="52" t="e">
        <f t="shared" si="66"/>
        <v>#REF!</v>
      </c>
      <c r="BL40" s="52" t="e">
        <f t="shared" si="66"/>
        <v>#REF!</v>
      </c>
      <c r="BM40" s="52" t="e">
        <f t="shared" si="66"/>
        <v>#REF!</v>
      </c>
      <c r="BN40" s="52" t="e">
        <f t="shared" si="66"/>
        <v>#REF!</v>
      </c>
      <c r="BO40" s="52" t="e">
        <f t="shared" si="66"/>
        <v>#REF!</v>
      </c>
      <c r="BP40" s="52" t="e">
        <f t="shared" si="66"/>
        <v>#REF!</v>
      </c>
      <c r="BQ40" s="52" t="e">
        <f t="shared" si="66"/>
        <v>#REF!</v>
      </c>
      <c r="BR40" s="52" t="e">
        <f t="shared" si="66"/>
        <v>#REF!</v>
      </c>
      <c r="BS40" s="52" t="e">
        <f t="shared" si="66"/>
        <v>#REF!</v>
      </c>
      <c r="BT40" s="52" t="e">
        <f t="shared" si="66"/>
        <v>#REF!</v>
      </c>
      <c r="BU40" s="52" t="e">
        <f t="shared" si="66"/>
        <v>#REF!</v>
      </c>
      <c r="BV40" s="52" t="e">
        <f t="shared" si="66"/>
        <v>#REF!</v>
      </c>
      <c r="BW40" s="52" t="e">
        <f t="shared" si="66"/>
        <v>#REF!</v>
      </c>
      <c r="BX40" s="52" t="e">
        <f t="shared" si="66"/>
        <v>#REF!</v>
      </c>
      <c r="BY40" s="53" t="e">
        <f t="shared" si="66"/>
        <v>#REF!</v>
      </c>
      <c r="BZ40" s="51" t="e">
        <f t="shared" ref="BZ40:CO40" si="67">AD40*$Z40*$I40</f>
        <v>#REF!</v>
      </c>
      <c r="CA40" s="52" t="e">
        <f t="shared" si="67"/>
        <v>#REF!</v>
      </c>
      <c r="CB40" s="52" t="e">
        <f t="shared" si="67"/>
        <v>#REF!</v>
      </c>
      <c r="CC40" s="52" t="e">
        <f t="shared" si="67"/>
        <v>#REF!</v>
      </c>
      <c r="CD40" s="52" t="e">
        <f t="shared" si="67"/>
        <v>#REF!</v>
      </c>
      <c r="CE40" s="52" t="e">
        <f t="shared" si="67"/>
        <v>#REF!</v>
      </c>
      <c r="CF40" s="52" t="e">
        <f t="shared" si="67"/>
        <v>#REF!</v>
      </c>
      <c r="CG40" s="52" t="e">
        <f t="shared" si="67"/>
        <v>#REF!</v>
      </c>
      <c r="CH40" s="52" t="e">
        <f t="shared" si="67"/>
        <v>#REF!</v>
      </c>
      <c r="CI40" s="52" t="e">
        <f t="shared" si="67"/>
        <v>#REF!</v>
      </c>
      <c r="CJ40" s="52" t="e">
        <f t="shared" si="67"/>
        <v>#REF!</v>
      </c>
      <c r="CK40" s="52" t="e">
        <f t="shared" si="67"/>
        <v>#REF!</v>
      </c>
      <c r="CL40" s="52" t="e">
        <f t="shared" si="67"/>
        <v>#REF!</v>
      </c>
      <c r="CM40" s="52" t="e">
        <f t="shared" si="67"/>
        <v>#REF!</v>
      </c>
      <c r="CN40" s="52" t="e">
        <f t="shared" si="67"/>
        <v>#REF!</v>
      </c>
      <c r="CO40" s="53" t="e">
        <f t="shared" si="67"/>
        <v>#REF!</v>
      </c>
      <c r="CP40" s="139" t="e">
        <f>SUMIF(#REF!,Overview!$U40,#REF!)-2.75034867503486</f>
        <v>#REF!</v>
      </c>
      <c r="CQ40" s="1" t="e">
        <f>SUMIF(#REF!,Overview!$U40,#REF!)</f>
        <v>#REF!</v>
      </c>
      <c r="CR40" s="1" t="e">
        <f>SUMIF(#REF!,Overview!$U40,#REF!)</f>
        <v>#REF!</v>
      </c>
      <c r="CS40" s="1" t="e">
        <f>SUMIF(#REF!,Overview!$U40,#REF!)</f>
        <v>#REF!</v>
      </c>
      <c r="CT40" s="1" t="e">
        <f>SUMIF(#REF!,Overview!$U40,#REF!)</f>
        <v>#REF!</v>
      </c>
      <c r="CU40" s="1" t="e">
        <f>SUMIF(#REF!,Overview!$U40,#REF!)</f>
        <v>#REF!</v>
      </c>
      <c r="CV40" s="1" t="e">
        <f>SUMIF(#REF!,Overview!$U40,#REF!)</f>
        <v>#REF!</v>
      </c>
      <c r="CW40" s="1" t="e">
        <f>SUMIF(#REF!,Overview!$U40,#REF!)</f>
        <v>#REF!</v>
      </c>
      <c r="CX40" s="1" t="e">
        <f>SUMIF(#REF!,Overview!$U40,#REF!)</f>
        <v>#REF!</v>
      </c>
      <c r="CY40" s="1" t="e">
        <f>SUMIF(#REF!,Overview!$U40,#REF!)</f>
        <v>#REF!</v>
      </c>
      <c r="CZ40" s="1" t="e">
        <f>SUMIF(#REF!,Overview!$U40,#REF!)</f>
        <v>#REF!</v>
      </c>
      <c r="DA40" s="1" t="e">
        <f>SUMIF(#REF!,Overview!$U40,#REF!)</f>
        <v>#REF!</v>
      </c>
      <c r="DB40" s="1" t="e">
        <f>SUMIF(#REF!,Overview!$U40,#REF!)</f>
        <v>#REF!</v>
      </c>
      <c r="DC40" s="1" t="e">
        <f>SUMIF(#REF!,Overview!$U40,#REF!)</f>
        <v>#REF!</v>
      </c>
      <c r="DD40" s="1" t="e">
        <f>SUMIF(#REF!,Overview!$U40,#REF!)</f>
        <v>#REF!</v>
      </c>
      <c r="DE40" s="5" t="e">
        <f>SUMIF(#REF!,Overview!$U40,#REF!)</f>
        <v>#REF!</v>
      </c>
    </row>
    <row r="41" spans="1:109">
      <c r="A41" s="3" t="s">
        <v>133</v>
      </c>
      <c r="B41" s="14" t="s">
        <v>134</v>
      </c>
      <c r="C41" s="4">
        <v>8.9813166944325354E-3</v>
      </c>
      <c r="D41" s="1">
        <v>8.7495404026357963E-3</v>
      </c>
      <c r="E41" s="1">
        <v>1.9485715826029911E-5</v>
      </c>
      <c r="F41">
        <v>8.5733421020875309E-5</v>
      </c>
      <c r="G41" s="4">
        <v>76.701647189850576</v>
      </c>
      <c r="H41" s="1">
        <v>76.813197071981421</v>
      </c>
      <c r="I41" s="1">
        <v>6.5750216551889965E-2</v>
      </c>
      <c r="J41">
        <v>7.2338669432340616E-2</v>
      </c>
      <c r="K41" s="4" t="s">
        <v>17</v>
      </c>
      <c r="L41" s="1" t="s">
        <v>42</v>
      </c>
      <c r="M41" s="1" t="s">
        <v>43</v>
      </c>
      <c r="N41" s="11" t="s">
        <v>37</v>
      </c>
      <c r="O41" s="1" t="s">
        <v>44</v>
      </c>
      <c r="P41" s="1" t="s">
        <v>45</v>
      </c>
      <c r="Q41" s="1" t="s">
        <v>135</v>
      </c>
      <c r="R41" s="36" t="s">
        <v>286</v>
      </c>
      <c r="S41" s="24" t="s">
        <v>24</v>
      </c>
      <c r="T41" s="1" t="s">
        <v>24</v>
      </c>
      <c r="U41" s="4" t="s">
        <v>42</v>
      </c>
      <c r="V41" s="1" t="s">
        <v>43</v>
      </c>
      <c r="W41" s="5" t="s">
        <v>37</v>
      </c>
      <c r="X41" s="5" t="s">
        <v>37</v>
      </c>
      <c r="Y41" s="22" t="s">
        <v>217</v>
      </c>
      <c r="Z41" s="38">
        <f>1000000/50</f>
        <v>20000</v>
      </c>
      <c r="AA41" s="29"/>
      <c r="AB41" s="29"/>
      <c r="AC41" s="22"/>
      <c r="AD41" s="25" t="e">
        <f>SUMIF(#REF!,Overview!U41,#REF!)</f>
        <v>#REF!</v>
      </c>
      <c r="AE41" s="27" t="e">
        <f>SUMIF(#REF!,Overview!U41,#REF!)</f>
        <v>#REF!</v>
      </c>
      <c r="AF41" s="1" t="e">
        <f>SUMIF(#REF!,Overview!U41,#REF!)</f>
        <v>#REF!</v>
      </c>
      <c r="AG41" s="1" t="e">
        <f>SUMIF(#REF!,Overview!U41,#REF!)</f>
        <v>#REF!</v>
      </c>
      <c r="AH41" s="1" t="e">
        <f>SUMIF(#REF!,Overview!U41,#REF!)</f>
        <v>#REF!</v>
      </c>
      <c r="AI41" s="1" t="e">
        <f>SUMIF(#REF!,Overview!U41,#REF!)</f>
        <v>#REF!</v>
      </c>
      <c r="AJ41" s="1" t="e">
        <f>SUMIF(#REF!,Overview!U41,#REF!)</f>
        <v>#REF!</v>
      </c>
      <c r="AK41" s="1" t="e">
        <f>SUMIF(#REF!,Overview!U41,#REF!)</f>
        <v>#REF!</v>
      </c>
      <c r="AL41" s="1" t="e">
        <f>SUMIF(#REF!,Overview!U41,#REF!)</f>
        <v>#REF!</v>
      </c>
      <c r="AM41" s="1" t="e">
        <f>SUMIF(#REF!,Overview!U41,#REF!)</f>
        <v>#REF!</v>
      </c>
      <c r="AN41" s="1" t="e">
        <f>SUMIF(#REF!,Overview!U41,#REF!)</f>
        <v>#REF!</v>
      </c>
      <c r="AO41" s="1" t="e">
        <f>SUMIF(#REF!,Overview!U41,#REF!)</f>
        <v>#REF!</v>
      </c>
      <c r="AP41" s="1" t="e">
        <f>SUMIF(#REF!,Overview!U41,#REF!)</f>
        <v>#REF!</v>
      </c>
      <c r="AQ41" s="1" t="e">
        <f>SUMIF(#REF!,Overview!U41,#REF!)</f>
        <v>#REF!</v>
      </c>
      <c r="AR41" s="1" t="e">
        <f>SUMIF(#REF!,Overview!U41,#REF!)</f>
        <v>#REF!</v>
      </c>
      <c r="AS41" s="5" t="e">
        <f>SUMIF(#REF!,Overview!U41,#REF!)</f>
        <v>#REF!</v>
      </c>
      <c r="AT41" s="49" t="e">
        <f t="shared" ref="AT41:BI41" si="68">AD41*$Z41*$C41/17</f>
        <v>#REF!</v>
      </c>
      <c r="AU41" s="30" t="e">
        <f t="shared" si="68"/>
        <v>#REF!</v>
      </c>
      <c r="AV41" s="30" t="e">
        <f t="shared" si="68"/>
        <v>#REF!</v>
      </c>
      <c r="AW41" s="30" t="e">
        <f t="shared" si="68"/>
        <v>#REF!</v>
      </c>
      <c r="AX41" s="30" t="e">
        <f t="shared" si="68"/>
        <v>#REF!</v>
      </c>
      <c r="AY41" s="30" t="e">
        <f t="shared" si="68"/>
        <v>#REF!</v>
      </c>
      <c r="AZ41" s="30" t="e">
        <f t="shared" si="68"/>
        <v>#REF!</v>
      </c>
      <c r="BA41" s="30" t="e">
        <f t="shared" si="68"/>
        <v>#REF!</v>
      </c>
      <c r="BB41" s="30" t="e">
        <f t="shared" si="68"/>
        <v>#REF!</v>
      </c>
      <c r="BC41" s="30" t="e">
        <f t="shared" si="68"/>
        <v>#REF!</v>
      </c>
      <c r="BD41" s="30" t="e">
        <f t="shared" si="68"/>
        <v>#REF!</v>
      </c>
      <c r="BE41" s="30" t="e">
        <f t="shared" si="68"/>
        <v>#REF!</v>
      </c>
      <c r="BF41" s="30" t="e">
        <f t="shared" si="68"/>
        <v>#REF!</v>
      </c>
      <c r="BG41" s="30" t="e">
        <f t="shared" si="68"/>
        <v>#REF!</v>
      </c>
      <c r="BH41" s="30" t="e">
        <f t="shared" si="68"/>
        <v>#REF!</v>
      </c>
      <c r="BI41" s="50" t="e">
        <f t="shared" si="68"/>
        <v>#REF!</v>
      </c>
      <c r="BJ41" s="49" t="e">
        <f t="shared" ref="BJ41:BY41" si="69">AD41*$Z41*$D41/17</f>
        <v>#REF!</v>
      </c>
      <c r="BK41" s="30" t="e">
        <f t="shared" si="69"/>
        <v>#REF!</v>
      </c>
      <c r="BL41" s="30" t="e">
        <f t="shared" si="69"/>
        <v>#REF!</v>
      </c>
      <c r="BM41" s="30" t="e">
        <f t="shared" si="69"/>
        <v>#REF!</v>
      </c>
      <c r="BN41" s="30" t="e">
        <f t="shared" si="69"/>
        <v>#REF!</v>
      </c>
      <c r="BO41" s="30" t="e">
        <f t="shared" si="69"/>
        <v>#REF!</v>
      </c>
      <c r="BP41" s="30" t="e">
        <f t="shared" si="69"/>
        <v>#REF!</v>
      </c>
      <c r="BQ41" s="30" t="e">
        <f t="shared" si="69"/>
        <v>#REF!</v>
      </c>
      <c r="BR41" s="30" t="e">
        <f t="shared" si="69"/>
        <v>#REF!</v>
      </c>
      <c r="BS41" s="30" t="e">
        <f t="shared" si="69"/>
        <v>#REF!</v>
      </c>
      <c r="BT41" s="30" t="e">
        <f t="shared" si="69"/>
        <v>#REF!</v>
      </c>
      <c r="BU41" s="30" t="e">
        <f t="shared" si="69"/>
        <v>#REF!</v>
      </c>
      <c r="BV41" s="30" t="e">
        <f t="shared" si="69"/>
        <v>#REF!</v>
      </c>
      <c r="BW41" s="30" t="e">
        <f t="shared" si="69"/>
        <v>#REF!</v>
      </c>
      <c r="BX41" s="30" t="e">
        <f t="shared" si="69"/>
        <v>#REF!</v>
      </c>
      <c r="BY41" s="50" t="e">
        <f t="shared" si="69"/>
        <v>#REF!</v>
      </c>
      <c r="BZ41" s="49" t="e">
        <f t="shared" ref="BZ41:CO41" si="70">AD41*$Z41*$E41/17</f>
        <v>#REF!</v>
      </c>
      <c r="CA41" s="30" t="e">
        <f t="shared" si="70"/>
        <v>#REF!</v>
      </c>
      <c r="CB41" s="30" t="e">
        <f t="shared" si="70"/>
        <v>#REF!</v>
      </c>
      <c r="CC41" s="30" t="e">
        <f t="shared" si="70"/>
        <v>#REF!</v>
      </c>
      <c r="CD41" s="30" t="e">
        <f t="shared" si="70"/>
        <v>#REF!</v>
      </c>
      <c r="CE41" s="30" t="e">
        <f t="shared" si="70"/>
        <v>#REF!</v>
      </c>
      <c r="CF41" s="30" t="e">
        <f t="shared" si="70"/>
        <v>#REF!</v>
      </c>
      <c r="CG41" s="30" t="e">
        <f t="shared" si="70"/>
        <v>#REF!</v>
      </c>
      <c r="CH41" s="30" t="e">
        <f t="shared" si="70"/>
        <v>#REF!</v>
      </c>
      <c r="CI41" s="30" t="e">
        <f t="shared" si="70"/>
        <v>#REF!</v>
      </c>
      <c r="CJ41" s="30" t="e">
        <f t="shared" si="70"/>
        <v>#REF!</v>
      </c>
      <c r="CK41" s="30" t="e">
        <f t="shared" si="70"/>
        <v>#REF!</v>
      </c>
      <c r="CL41" s="30" t="e">
        <f t="shared" si="70"/>
        <v>#REF!</v>
      </c>
      <c r="CM41" s="30" t="e">
        <f t="shared" si="70"/>
        <v>#REF!</v>
      </c>
      <c r="CN41" s="30" t="e">
        <f t="shared" si="70"/>
        <v>#REF!</v>
      </c>
      <c r="CO41" s="50" t="e">
        <f t="shared" si="70"/>
        <v>#REF!</v>
      </c>
      <c r="CP41" s="1" t="e">
        <f>SUMIF(#REF!,Overview!$U41,#REF!)</f>
        <v>#REF!</v>
      </c>
      <c r="CQ41" s="1" t="e">
        <f>SUMIF(#REF!,Overview!$U41,#REF!)</f>
        <v>#REF!</v>
      </c>
      <c r="CR41" s="1" t="e">
        <f>SUMIF(#REF!,Overview!$U41,#REF!)</f>
        <v>#REF!</v>
      </c>
      <c r="CS41" s="1" t="e">
        <f>SUMIF(#REF!,Overview!$U41,#REF!)</f>
        <v>#REF!</v>
      </c>
      <c r="CT41" s="1" t="e">
        <f>SUMIF(#REF!,Overview!$U41,#REF!)</f>
        <v>#REF!</v>
      </c>
      <c r="CU41" s="1" t="e">
        <f>SUMIF(#REF!,Overview!$U41,#REF!)</f>
        <v>#REF!</v>
      </c>
      <c r="CV41" s="1" t="e">
        <f>SUMIF(#REF!,Overview!$U41,#REF!)</f>
        <v>#REF!</v>
      </c>
      <c r="CW41" s="1" t="e">
        <f>SUMIF(#REF!,Overview!$U41,#REF!)</f>
        <v>#REF!</v>
      </c>
      <c r="CX41" s="1" t="e">
        <f>SUMIF(#REF!,Overview!$U41,#REF!)</f>
        <v>#REF!</v>
      </c>
      <c r="CY41" s="1" t="e">
        <f>SUMIF(#REF!,Overview!$U41,#REF!)</f>
        <v>#REF!</v>
      </c>
      <c r="CZ41" s="1" t="e">
        <f>SUMIF(#REF!,Overview!$U41,#REF!)</f>
        <v>#REF!</v>
      </c>
      <c r="DA41" s="1" t="e">
        <f>SUMIF(#REF!,Overview!$U41,#REF!)</f>
        <v>#REF!</v>
      </c>
      <c r="DB41" s="1" t="e">
        <f>SUMIF(#REF!,Overview!$U41,#REF!)</f>
        <v>#REF!</v>
      </c>
      <c r="DC41" s="1" t="e">
        <f>SUMIF(#REF!,Overview!$U41,#REF!)</f>
        <v>#REF!</v>
      </c>
      <c r="DD41" s="1" t="e">
        <f>SUMIF(#REF!,Overview!$U41,#REF!)</f>
        <v>#REF!</v>
      </c>
      <c r="DE41" s="5" t="e">
        <f>SUMIF(#REF!,Overview!$U41,#REF!)</f>
        <v>#REF!</v>
      </c>
    </row>
    <row r="42" spans="1:109" ht="29">
      <c r="A42" s="3" t="s">
        <v>136</v>
      </c>
      <c r="B42" s="16" t="s">
        <v>137</v>
      </c>
      <c r="E42" s="1"/>
      <c r="F42">
        <v>1520.1701360388511</v>
      </c>
      <c r="G42" s="4">
        <v>74786.34215941804</v>
      </c>
      <c r="H42" s="1">
        <v>74786.353087723095</v>
      </c>
      <c r="I42" s="1">
        <v>74786.338867594837</v>
      </c>
      <c r="J42">
        <v>69215.551851732525</v>
      </c>
      <c r="K42" s="4" t="s">
        <v>138</v>
      </c>
      <c r="L42" s="1" t="s">
        <v>139</v>
      </c>
      <c r="M42" s="1" t="s">
        <v>140</v>
      </c>
      <c r="N42" s="11" t="s">
        <v>37</v>
      </c>
      <c r="O42" s="1" t="s">
        <v>104</v>
      </c>
      <c r="P42" s="1" t="s">
        <v>30</v>
      </c>
      <c r="Q42" s="1" t="s">
        <v>141</v>
      </c>
      <c r="R42" s="36" t="s">
        <v>298</v>
      </c>
      <c r="S42" s="24" t="s">
        <v>106</v>
      </c>
      <c r="T42" s="255" t="s">
        <v>195</v>
      </c>
      <c r="U42" s="4" t="s">
        <v>246</v>
      </c>
      <c r="V42" s="1" t="s">
        <v>200</v>
      </c>
      <c r="W42" s="5" t="s">
        <v>51</v>
      </c>
      <c r="X42" s="5" t="s">
        <v>334</v>
      </c>
      <c r="Y42" s="22" t="s">
        <v>216</v>
      </c>
      <c r="Z42" s="29"/>
      <c r="AA42" s="17">
        <v>1000000</v>
      </c>
      <c r="AB42" s="29"/>
      <c r="AC42" s="22"/>
      <c r="AD42" s="25" t="e">
        <f>SUMIF(#REF!,Overview!U42,#REF!)</f>
        <v>#REF!</v>
      </c>
      <c r="AE42" s="193" t="e">
        <f>SUMIF(#REF!,Overview!U42,#REF!)</f>
        <v>#REF!</v>
      </c>
      <c r="AF42" s="1" t="e">
        <f>SUMIF(#REF!,Overview!U42,#REF!)</f>
        <v>#REF!</v>
      </c>
      <c r="AG42" s="1" t="e">
        <f>SUMIF(#REF!,Overview!U42,#REF!)</f>
        <v>#REF!</v>
      </c>
      <c r="AH42" s="1" t="e">
        <f>SUMIF(#REF!,Overview!U42,#REF!)</f>
        <v>#REF!</v>
      </c>
      <c r="AI42" s="1" t="e">
        <f>SUMIF(#REF!,Overview!U42,#REF!)</f>
        <v>#REF!</v>
      </c>
      <c r="AJ42" s="1" t="e">
        <f>SUMIF(#REF!,Overview!U42,#REF!)</f>
        <v>#REF!</v>
      </c>
      <c r="AK42" s="1" t="e">
        <f>SUMIF(#REF!,Overview!U42,#REF!)</f>
        <v>#REF!</v>
      </c>
      <c r="AL42" s="1" t="e">
        <f>SUMIF(#REF!,Overview!U42,#REF!)</f>
        <v>#REF!</v>
      </c>
      <c r="AM42" s="1" t="e">
        <f>SUMIF(#REF!,Overview!U42,#REF!)</f>
        <v>#REF!</v>
      </c>
      <c r="AN42" s="1" t="e">
        <f>SUMIF(#REF!,Overview!U42,#REF!)</f>
        <v>#REF!</v>
      </c>
      <c r="AO42" s="1" t="e">
        <f>SUMIF(#REF!,Overview!U42,#REF!)</f>
        <v>#REF!</v>
      </c>
      <c r="AP42" s="1" t="e">
        <f>SUMIF(#REF!,Overview!U42,#REF!)</f>
        <v>#REF!</v>
      </c>
      <c r="AQ42" s="1" t="e">
        <f>SUMIF(#REF!,Overview!U42,#REF!)</f>
        <v>#REF!</v>
      </c>
      <c r="AR42" s="1" t="e">
        <f>SUMIF(#REF!,Overview!U42,#REF!)</f>
        <v>#REF!</v>
      </c>
      <c r="AS42" s="5" t="e">
        <f>SUMIF(#REF!,Overview!U42,#REF!)</f>
        <v>#REF!</v>
      </c>
      <c r="AT42" s="51" t="e">
        <f t="shared" ref="AT42:BI44" si="71">AD42*$AA42*$G42</f>
        <v>#REF!</v>
      </c>
      <c r="AU42" s="52" t="e">
        <f t="shared" si="71"/>
        <v>#REF!</v>
      </c>
      <c r="AV42" s="52" t="e">
        <f t="shared" si="71"/>
        <v>#REF!</v>
      </c>
      <c r="AW42" s="52" t="e">
        <f t="shared" si="71"/>
        <v>#REF!</v>
      </c>
      <c r="AX42" s="52" t="e">
        <f t="shared" si="71"/>
        <v>#REF!</v>
      </c>
      <c r="AY42" s="52" t="e">
        <f t="shared" si="71"/>
        <v>#REF!</v>
      </c>
      <c r="AZ42" s="52" t="e">
        <f t="shared" si="71"/>
        <v>#REF!</v>
      </c>
      <c r="BA42" s="52" t="e">
        <f t="shared" si="71"/>
        <v>#REF!</v>
      </c>
      <c r="BB42" s="52" t="e">
        <f t="shared" si="71"/>
        <v>#REF!</v>
      </c>
      <c r="BC42" s="52" t="e">
        <f t="shared" si="71"/>
        <v>#REF!</v>
      </c>
      <c r="BD42" s="52" t="e">
        <f t="shared" si="71"/>
        <v>#REF!</v>
      </c>
      <c r="BE42" s="52" t="e">
        <f t="shared" si="71"/>
        <v>#REF!</v>
      </c>
      <c r="BF42" s="52" t="e">
        <f t="shared" si="71"/>
        <v>#REF!</v>
      </c>
      <c r="BG42" s="52" t="e">
        <f t="shared" si="71"/>
        <v>#REF!</v>
      </c>
      <c r="BH42" s="52" t="e">
        <f t="shared" si="71"/>
        <v>#REF!</v>
      </c>
      <c r="BI42" s="53" t="e">
        <f t="shared" si="71"/>
        <v>#REF!</v>
      </c>
      <c r="BJ42" s="51" t="e">
        <f t="shared" ref="BJ42:BY44" si="72">AD42*$AA42*$H42</f>
        <v>#REF!</v>
      </c>
      <c r="BK42" s="52" t="e">
        <f t="shared" si="72"/>
        <v>#REF!</v>
      </c>
      <c r="BL42" s="52" t="e">
        <f t="shared" si="72"/>
        <v>#REF!</v>
      </c>
      <c r="BM42" s="52" t="e">
        <f t="shared" si="72"/>
        <v>#REF!</v>
      </c>
      <c r="BN42" s="52" t="e">
        <f t="shared" si="72"/>
        <v>#REF!</v>
      </c>
      <c r="BO42" s="52" t="e">
        <f t="shared" si="72"/>
        <v>#REF!</v>
      </c>
      <c r="BP42" s="52" t="e">
        <f t="shared" si="72"/>
        <v>#REF!</v>
      </c>
      <c r="BQ42" s="52" t="e">
        <f t="shared" si="72"/>
        <v>#REF!</v>
      </c>
      <c r="BR42" s="52" t="e">
        <f t="shared" si="72"/>
        <v>#REF!</v>
      </c>
      <c r="BS42" s="52" t="e">
        <f t="shared" si="72"/>
        <v>#REF!</v>
      </c>
      <c r="BT42" s="52" t="e">
        <f t="shared" si="72"/>
        <v>#REF!</v>
      </c>
      <c r="BU42" s="52" t="e">
        <f t="shared" si="72"/>
        <v>#REF!</v>
      </c>
      <c r="BV42" s="52" t="e">
        <f t="shared" si="72"/>
        <v>#REF!</v>
      </c>
      <c r="BW42" s="52" t="e">
        <f t="shared" si="72"/>
        <v>#REF!</v>
      </c>
      <c r="BX42" s="52" t="e">
        <f t="shared" si="72"/>
        <v>#REF!</v>
      </c>
      <c r="BY42" s="53" t="e">
        <f t="shared" si="72"/>
        <v>#REF!</v>
      </c>
      <c r="BZ42" s="51" t="e">
        <f t="shared" ref="BZ42:CO42" si="73">AD42*$AA42*$I42</f>
        <v>#REF!</v>
      </c>
      <c r="CA42" s="52" t="e">
        <f t="shared" si="73"/>
        <v>#REF!</v>
      </c>
      <c r="CB42" s="52" t="e">
        <f t="shared" si="73"/>
        <v>#REF!</v>
      </c>
      <c r="CC42" s="52" t="e">
        <f t="shared" si="73"/>
        <v>#REF!</v>
      </c>
      <c r="CD42" s="52" t="e">
        <f t="shared" si="73"/>
        <v>#REF!</v>
      </c>
      <c r="CE42" s="52" t="e">
        <f t="shared" si="73"/>
        <v>#REF!</v>
      </c>
      <c r="CF42" s="52" t="e">
        <f t="shared" si="73"/>
        <v>#REF!</v>
      </c>
      <c r="CG42" s="52" t="e">
        <f t="shared" si="73"/>
        <v>#REF!</v>
      </c>
      <c r="CH42" s="52" t="e">
        <f t="shared" si="73"/>
        <v>#REF!</v>
      </c>
      <c r="CI42" s="52" t="e">
        <f t="shared" si="73"/>
        <v>#REF!</v>
      </c>
      <c r="CJ42" s="52" t="e">
        <f t="shared" si="73"/>
        <v>#REF!</v>
      </c>
      <c r="CK42" s="52" t="e">
        <f t="shared" si="73"/>
        <v>#REF!</v>
      </c>
      <c r="CL42" s="52" t="e">
        <f t="shared" si="73"/>
        <v>#REF!</v>
      </c>
      <c r="CM42" s="52" t="e">
        <f t="shared" si="73"/>
        <v>#REF!</v>
      </c>
      <c r="CN42" s="52" t="e">
        <f t="shared" si="73"/>
        <v>#REF!</v>
      </c>
      <c r="CO42" s="53" t="e">
        <f t="shared" si="73"/>
        <v>#REF!</v>
      </c>
      <c r="CP42" s="1" t="e">
        <f>SUMIF(#REF!,Overview!$U42,#REF!)</f>
        <v>#REF!</v>
      </c>
      <c r="CQ42" s="1" t="e">
        <f>SUMIF(#REF!,Overview!$U42,#REF!)</f>
        <v>#REF!</v>
      </c>
      <c r="CR42" s="1" t="e">
        <f>SUMIF(#REF!,Overview!$U42,#REF!)</f>
        <v>#REF!</v>
      </c>
      <c r="CS42" s="1" t="e">
        <f>SUMIF(#REF!,Overview!$U42,#REF!)</f>
        <v>#REF!</v>
      </c>
      <c r="CT42" s="1" t="e">
        <f>SUMIF(#REF!,Overview!$U42,#REF!)</f>
        <v>#REF!</v>
      </c>
      <c r="CU42" s="1" t="e">
        <f>SUMIF(#REF!,Overview!$U42,#REF!)</f>
        <v>#REF!</v>
      </c>
      <c r="CV42" s="1" t="e">
        <f>SUMIF(#REF!,Overview!$U42,#REF!)</f>
        <v>#REF!</v>
      </c>
      <c r="CW42" s="1" t="e">
        <f>SUMIF(#REF!,Overview!$U42,#REF!)</f>
        <v>#REF!</v>
      </c>
      <c r="CX42" s="1" t="e">
        <f>SUMIF(#REF!,Overview!$U42,#REF!)</f>
        <v>#REF!</v>
      </c>
      <c r="CY42" s="1" t="e">
        <f>SUMIF(#REF!,Overview!$U42,#REF!)</f>
        <v>#REF!</v>
      </c>
      <c r="CZ42" s="1" t="e">
        <f>SUMIF(#REF!,Overview!$U42,#REF!)</f>
        <v>#REF!</v>
      </c>
      <c r="DA42" s="1" t="e">
        <f>SUMIF(#REF!,Overview!$U42,#REF!)</f>
        <v>#REF!</v>
      </c>
      <c r="DB42" s="1" t="e">
        <f>SUMIF(#REF!,Overview!$U42,#REF!)</f>
        <v>#REF!</v>
      </c>
      <c r="DC42" s="1" t="e">
        <f>SUMIF(#REF!,Overview!$U42,#REF!)</f>
        <v>#REF!</v>
      </c>
      <c r="DD42" s="1" t="e">
        <f>SUMIF(#REF!,Overview!$U42,#REF!)</f>
        <v>#REF!</v>
      </c>
      <c r="DE42" s="5" t="e">
        <f>SUMIF(#REF!,Overview!$U42,#REF!)</f>
        <v>#REF!</v>
      </c>
    </row>
    <row r="43" spans="1:109" ht="29">
      <c r="A43" s="3" t="s">
        <v>142</v>
      </c>
      <c r="B43" s="16" t="s">
        <v>143</v>
      </c>
      <c r="E43" s="1"/>
      <c r="F43">
        <v>5780.9639871276258</v>
      </c>
      <c r="G43" s="4">
        <v>1.0870242761755119E-2</v>
      </c>
      <c r="H43" s="1">
        <v>7.1315167768049104E-3</v>
      </c>
      <c r="I43" s="1">
        <v>3.1692762170420899E-2</v>
      </c>
      <c r="J43">
        <v>5570.0063560579492</v>
      </c>
      <c r="K43" s="4" t="s">
        <v>138</v>
      </c>
      <c r="L43" s="1" t="s">
        <v>144</v>
      </c>
      <c r="M43" s="1" t="s">
        <v>145</v>
      </c>
      <c r="N43" s="11" t="s">
        <v>37</v>
      </c>
      <c r="O43" s="1" t="s">
        <v>104</v>
      </c>
      <c r="P43" s="1" t="s">
        <v>30</v>
      </c>
      <c r="Q43" s="1" t="s">
        <v>141</v>
      </c>
      <c r="R43" s="36" t="s">
        <v>297</v>
      </c>
      <c r="S43" s="24" t="s">
        <v>111</v>
      </c>
      <c r="T43" s="255"/>
      <c r="U43" s="4" t="s">
        <v>247</v>
      </c>
      <c r="V43" s="1" t="s">
        <v>201</v>
      </c>
      <c r="W43" s="5" t="s">
        <v>51</v>
      </c>
      <c r="X43" s="5" t="s">
        <v>334</v>
      </c>
      <c r="Y43" s="22" t="s">
        <v>216</v>
      </c>
      <c r="Z43" s="29"/>
      <c r="AA43" s="17">
        <v>1000000</v>
      </c>
      <c r="AB43" s="29"/>
      <c r="AC43" s="22"/>
      <c r="AD43" s="25" t="e">
        <f>SUMIF(#REF!,Overview!U43,#REF!)</f>
        <v>#REF!</v>
      </c>
      <c r="AE43" s="193" t="e">
        <f>SUMIF(#REF!,Overview!U43,#REF!)</f>
        <v>#REF!</v>
      </c>
      <c r="AF43" s="1" t="e">
        <f>SUMIF(#REF!,Overview!U43,#REF!)</f>
        <v>#REF!</v>
      </c>
      <c r="AG43" s="1" t="e">
        <f>SUMIF(#REF!,Overview!U43,#REF!)</f>
        <v>#REF!</v>
      </c>
      <c r="AH43" s="1" t="e">
        <f>SUMIF(#REF!,Overview!U43,#REF!)</f>
        <v>#REF!</v>
      </c>
      <c r="AI43" s="1" t="e">
        <f>SUMIF(#REF!,Overview!U43,#REF!)</f>
        <v>#REF!</v>
      </c>
      <c r="AJ43" s="1" t="e">
        <f>SUMIF(#REF!,Overview!U43,#REF!)</f>
        <v>#REF!</v>
      </c>
      <c r="AK43" s="1" t="e">
        <f>SUMIF(#REF!,Overview!U43,#REF!)</f>
        <v>#REF!</v>
      </c>
      <c r="AL43" s="1" t="e">
        <f>SUMIF(#REF!,Overview!U43,#REF!)</f>
        <v>#REF!</v>
      </c>
      <c r="AM43" s="1" t="e">
        <f>SUMIF(#REF!,Overview!U43,#REF!)</f>
        <v>#REF!</v>
      </c>
      <c r="AN43" s="1" t="e">
        <f>SUMIF(#REF!,Overview!U43,#REF!)</f>
        <v>#REF!</v>
      </c>
      <c r="AO43" s="1" t="e">
        <f>SUMIF(#REF!,Overview!U43,#REF!)</f>
        <v>#REF!</v>
      </c>
      <c r="AP43" s="1" t="e">
        <f>SUMIF(#REF!,Overview!U43,#REF!)</f>
        <v>#REF!</v>
      </c>
      <c r="AQ43" s="1" t="e">
        <f>SUMIF(#REF!,Overview!U43,#REF!)</f>
        <v>#REF!</v>
      </c>
      <c r="AR43" s="1" t="e">
        <f>SUMIF(#REF!,Overview!U43,#REF!)</f>
        <v>#REF!</v>
      </c>
      <c r="AS43" s="5" t="e">
        <f>SUMIF(#REF!,Overview!U43,#REF!)</f>
        <v>#REF!</v>
      </c>
      <c r="AT43" s="51" t="e">
        <f t="shared" si="71"/>
        <v>#REF!</v>
      </c>
      <c r="AU43" s="52" t="e">
        <f t="shared" si="71"/>
        <v>#REF!</v>
      </c>
      <c r="AV43" s="52" t="e">
        <f t="shared" si="71"/>
        <v>#REF!</v>
      </c>
      <c r="AW43" s="52" t="e">
        <f t="shared" si="71"/>
        <v>#REF!</v>
      </c>
      <c r="AX43" s="52" t="e">
        <f t="shared" si="71"/>
        <v>#REF!</v>
      </c>
      <c r="AY43" s="52" t="e">
        <f t="shared" si="71"/>
        <v>#REF!</v>
      </c>
      <c r="AZ43" s="52" t="e">
        <f t="shared" si="71"/>
        <v>#REF!</v>
      </c>
      <c r="BA43" s="52" t="e">
        <f t="shared" si="71"/>
        <v>#REF!</v>
      </c>
      <c r="BB43" s="52" t="e">
        <f t="shared" si="71"/>
        <v>#REF!</v>
      </c>
      <c r="BC43" s="52" t="e">
        <f t="shared" si="71"/>
        <v>#REF!</v>
      </c>
      <c r="BD43" s="52" t="e">
        <f t="shared" si="71"/>
        <v>#REF!</v>
      </c>
      <c r="BE43" s="52" t="e">
        <f t="shared" si="71"/>
        <v>#REF!</v>
      </c>
      <c r="BF43" s="52" t="e">
        <f t="shared" si="71"/>
        <v>#REF!</v>
      </c>
      <c r="BG43" s="52" t="e">
        <f t="shared" si="71"/>
        <v>#REF!</v>
      </c>
      <c r="BH43" s="52" t="e">
        <f t="shared" si="71"/>
        <v>#REF!</v>
      </c>
      <c r="BI43" s="53" t="e">
        <f t="shared" si="71"/>
        <v>#REF!</v>
      </c>
      <c r="BJ43" s="51" t="e">
        <f t="shared" si="72"/>
        <v>#REF!</v>
      </c>
      <c r="BK43" s="52" t="e">
        <f t="shared" si="72"/>
        <v>#REF!</v>
      </c>
      <c r="BL43" s="52" t="e">
        <f t="shared" si="72"/>
        <v>#REF!</v>
      </c>
      <c r="BM43" s="52" t="e">
        <f t="shared" si="72"/>
        <v>#REF!</v>
      </c>
      <c r="BN43" s="52" t="e">
        <f t="shared" si="72"/>
        <v>#REF!</v>
      </c>
      <c r="BO43" s="52" t="e">
        <f t="shared" si="72"/>
        <v>#REF!</v>
      </c>
      <c r="BP43" s="52" t="e">
        <f t="shared" si="72"/>
        <v>#REF!</v>
      </c>
      <c r="BQ43" s="52" t="e">
        <f t="shared" si="72"/>
        <v>#REF!</v>
      </c>
      <c r="BR43" s="52" t="e">
        <f t="shared" si="72"/>
        <v>#REF!</v>
      </c>
      <c r="BS43" s="52" t="e">
        <f t="shared" si="72"/>
        <v>#REF!</v>
      </c>
      <c r="BT43" s="52" t="e">
        <f t="shared" si="72"/>
        <v>#REF!</v>
      </c>
      <c r="BU43" s="52" t="e">
        <f t="shared" si="72"/>
        <v>#REF!</v>
      </c>
      <c r="BV43" s="52" t="e">
        <f t="shared" si="72"/>
        <v>#REF!</v>
      </c>
      <c r="BW43" s="52" t="e">
        <f t="shared" si="72"/>
        <v>#REF!</v>
      </c>
      <c r="BX43" s="52" t="e">
        <f t="shared" si="72"/>
        <v>#REF!</v>
      </c>
      <c r="BY43" s="53" t="e">
        <f t="shared" si="72"/>
        <v>#REF!</v>
      </c>
      <c r="BZ43" s="51" t="e">
        <f t="shared" ref="BZ43:BZ44" si="74">AD43*$AA43*$I43</f>
        <v>#REF!</v>
      </c>
      <c r="CA43" s="52" t="e">
        <f t="shared" ref="CA43:CO44" si="75">AE43*$AA43*$I43</f>
        <v>#REF!</v>
      </c>
      <c r="CB43" s="52" t="e">
        <f t="shared" si="75"/>
        <v>#REF!</v>
      </c>
      <c r="CC43" s="52" t="e">
        <f t="shared" si="75"/>
        <v>#REF!</v>
      </c>
      <c r="CD43" s="52" t="e">
        <f t="shared" si="75"/>
        <v>#REF!</v>
      </c>
      <c r="CE43" s="52" t="e">
        <f t="shared" si="75"/>
        <v>#REF!</v>
      </c>
      <c r="CF43" s="52" t="e">
        <f t="shared" si="75"/>
        <v>#REF!</v>
      </c>
      <c r="CG43" s="52" t="e">
        <f t="shared" si="75"/>
        <v>#REF!</v>
      </c>
      <c r="CH43" s="52" t="e">
        <f t="shared" si="75"/>
        <v>#REF!</v>
      </c>
      <c r="CI43" s="52" t="e">
        <f t="shared" si="75"/>
        <v>#REF!</v>
      </c>
      <c r="CJ43" s="52" t="e">
        <f t="shared" si="75"/>
        <v>#REF!</v>
      </c>
      <c r="CK43" s="52" t="e">
        <f t="shared" si="75"/>
        <v>#REF!</v>
      </c>
      <c r="CL43" s="52" t="e">
        <f t="shared" si="75"/>
        <v>#REF!</v>
      </c>
      <c r="CM43" s="52" t="e">
        <f t="shared" si="75"/>
        <v>#REF!</v>
      </c>
      <c r="CN43" s="52" t="e">
        <f t="shared" si="75"/>
        <v>#REF!</v>
      </c>
      <c r="CO43" s="53" t="e">
        <f t="shared" si="75"/>
        <v>#REF!</v>
      </c>
      <c r="CP43" s="1" t="e">
        <f>SUMIF(#REF!,Overview!$U43,#REF!)</f>
        <v>#REF!</v>
      </c>
      <c r="CQ43" s="1" t="e">
        <f>SUMIF(#REF!,Overview!$U43,#REF!)</f>
        <v>#REF!</v>
      </c>
      <c r="CR43" s="1" t="e">
        <f>SUMIF(#REF!,Overview!$U43,#REF!)</f>
        <v>#REF!</v>
      </c>
      <c r="CS43" s="1" t="e">
        <f>SUMIF(#REF!,Overview!$U43,#REF!)</f>
        <v>#REF!</v>
      </c>
      <c r="CT43" s="1" t="e">
        <f>SUMIF(#REF!,Overview!$U43,#REF!)</f>
        <v>#REF!</v>
      </c>
      <c r="CU43" s="1" t="e">
        <f>SUMIF(#REF!,Overview!$U43,#REF!)</f>
        <v>#REF!</v>
      </c>
      <c r="CV43" s="1" t="e">
        <f>SUMIF(#REF!,Overview!$U43,#REF!)</f>
        <v>#REF!</v>
      </c>
      <c r="CW43" s="1" t="e">
        <f>SUMIF(#REF!,Overview!$U43,#REF!)</f>
        <v>#REF!</v>
      </c>
      <c r="CX43" s="1" t="e">
        <f>SUMIF(#REF!,Overview!$U43,#REF!)</f>
        <v>#REF!</v>
      </c>
      <c r="CY43" s="1" t="e">
        <f>SUMIF(#REF!,Overview!$U43,#REF!)</f>
        <v>#REF!</v>
      </c>
      <c r="CZ43" s="1" t="e">
        <f>SUMIF(#REF!,Overview!$U43,#REF!)</f>
        <v>#REF!</v>
      </c>
      <c r="DA43" s="1" t="e">
        <f>SUMIF(#REF!,Overview!$U43,#REF!)</f>
        <v>#REF!</v>
      </c>
      <c r="DB43" s="1" t="e">
        <f>SUMIF(#REF!,Overview!$U43,#REF!)</f>
        <v>#REF!</v>
      </c>
      <c r="DC43" s="1" t="e">
        <f>SUMIF(#REF!,Overview!$U43,#REF!)</f>
        <v>#REF!</v>
      </c>
      <c r="DD43" s="1" t="e">
        <f>SUMIF(#REF!,Overview!$U43,#REF!)</f>
        <v>#REF!</v>
      </c>
      <c r="DE43" s="5" t="e">
        <f>SUMIF(#REF!,Overview!$U43,#REF!)</f>
        <v>#REF!</v>
      </c>
    </row>
    <row r="44" spans="1:109" ht="29">
      <c r="A44" s="3" t="s">
        <v>146</v>
      </c>
      <c r="B44" s="16" t="s">
        <v>147</v>
      </c>
      <c r="E44" s="1"/>
      <c r="F44">
        <v>11560.576564124491</v>
      </c>
      <c r="G44" s="4">
        <v>2.8139014523322351E-2</v>
      </c>
      <c r="H44" s="1">
        <v>1.7447866476106841E-2</v>
      </c>
      <c r="I44" s="1">
        <v>2.1608223735463641E-2</v>
      </c>
      <c r="J44">
        <v>0.87597228382693593</v>
      </c>
      <c r="K44" s="4" t="s">
        <v>138</v>
      </c>
      <c r="L44" s="1" t="s">
        <v>148</v>
      </c>
      <c r="M44" s="1" t="s">
        <v>149</v>
      </c>
      <c r="N44" s="11" t="s">
        <v>37</v>
      </c>
      <c r="O44" s="1" t="s">
        <v>104</v>
      </c>
      <c r="P44" s="1" t="s">
        <v>30</v>
      </c>
      <c r="Q44" s="1" t="s">
        <v>141</v>
      </c>
      <c r="R44" s="36" t="s">
        <v>298</v>
      </c>
      <c r="S44" s="24" t="s">
        <v>116</v>
      </c>
      <c r="T44" s="255"/>
      <c r="U44" s="4" t="s">
        <v>248</v>
      </c>
      <c r="V44" s="1" t="s">
        <v>199</v>
      </c>
      <c r="W44" s="5" t="s">
        <v>51</v>
      </c>
      <c r="X44" s="5" t="s">
        <v>334</v>
      </c>
      <c r="Y44" s="22" t="s">
        <v>216</v>
      </c>
      <c r="Z44" s="29"/>
      <c r="AA44" s="17">
        <v>1000000</v>
      </c>
      <c r="AB44" s="29"/>
      <c r="AC44" s="22"/>
      <c r="AD44" s="25" t="e">
        <f>SUMIF(#REF!,Overview!U44,#REF!)</f>
        <v>#REF!</v>
      </c>
      <c r="AE44" s="27" t="e">
        <f>SUMIF(#REF!,Overview!U44,#REF!)</f>
        <v>#REF!</v>
      </c>
      <c r="AF44" s="1" t="e">
        <f>SUMIF(#REF!,Overview!U44,#REF!)</f>
        <v>#REF!</v>
      </c>
      <c r="AG44" s="1" t="e">
        <f>SUMIF(#REF!,Overview!U44,#REF!)</f>
        <v>#REF!</v>
      </c>
      <c r="AH44" s="1" t="e">
        <f>SUMIF(#REF!,Overview!U44,#REF!)</f>
        <v>#REF!</v>
      </c>
      <c r="AI44" s="1" t="e">
        <f>SUMIF(#REF!,Overview!U44,#REF!)</f>
        <v>#REF!</v>
      </c>
      <c r="AJ44" s="1" t="e">
        <f>SUMIF(#REF!,Overview!U44,#REF!)</f>
        <v>#REF!</v>
      </c>
      <c r="AK44" s="1" t="e">
        <f>SUMIF(#REF!,Overview!U44,#REF!)</f>
        <v>#REF!</v>
      </c>
      <c r="AL44" s="1" t="e">
        <f>SUMIF(#REF!,Overview!U44,#REF!)</f>
        <v>#REF!</v>
      </c>
      <c r="AM44" s="1" t="e">
        <f>SUMIF(#REF!,Overview!U44,#REF!)</f>
        <v>#REF!</v>
      </c>
      <c r="AN44" s="1" t="e">
        <f>SUMIF(#REF!,Overview!U44,#REF!)</f>
        <v>#REF!</v>
      </c>
      <c r="AO44" s="1" t="e">
        <f>SUMIF(#REF!,Overview!U44,#REF!)</f>
        <v>#REF!</v>
      </c>
      <c r="AP44" s="1" t="e">
        <f>SUMIF(#REF!,Overview!U44,#REF!)</f>
        <v>#REF!</v>
      </c>
      <c r="AQ44" s="1" t="e">
        <f>SUMIF(#REF!,Overview!U44,#REF!)</f>
        <v>#REF!</v>
      </c>
      <c r="AR44" s="1" t="e">
        <f>SUMIF(#REF!,Overview!U44,#REF!)</f>
        <v>#REF!</v>
      </c>
      <c r="AS44" s="5" t="e">
        <f>SUMIF(#REF!,Overview!U44,#REF!)</f>
        <v>#REF!</v>
      </c>
      <c r="AT44" s="51" t="e">
        <f t="shared" si="71"/>
        <v>#REF!</v>
      </c>
      <c r="AU44" s="52" t="e">
        <f t="shared" si="71"/>
        <v>#REF!</v>
      </c>
      <c r="AV44" s="52" t="e">
        <f t="shared" si="71"/>
        <v>#REF!</v>
      </c>
      <c r="AW44" s="52" t="e">
        <f t="shared" si="71"/>
        <v>#REF!</v>
      </c>
      <c r="AX44" s="52" t="e">
        <f t="shared" si="71"/>
        <v>#REF!</v>
      </c>
      <c r="AY44" s="52" t="e">
        <f t="shared" si="71"/>
        <v>#REF!</v>
      </c>
      <c r="AZ44" s="52" t="e">
        <f t="shared" si="71"/>
        <v>#REF!</v>
      </c>
      <c r="BA44" s="52" t="e">
        <f t="shared" si="71"/>
        <v>#REF!</v>
      </c>
      <c r="BB44" s="52" t="e">
        <f t="shared" si="71"/>
        <v>#REF!</v>
      </c>
      <c r="BC44" s="52" t="e">
        <f t="shared" si="71"/>
        <v>#REF!</v>
      </c>
      <c r="BD44" s="52" t="e">
        <f t="shared" si="71"/>
        <v>#REF!</v>
      </c>
      <c r="BE44" s="52" t="e">
        <f t="shared" si="71"/>
        <v>#REF!</v>
      </c>
      <c r="BF44" s="52" t="e">
        <f t="shared" si="71"/>
        <v>#REF!</v>
      </c>
      <c r="BG44" s="52" t="e">
        <f t="shared" si="71"/>
        <v>#REF!</v>
      </c>
      <c r="BH44" s="52" t="e">
        <f t="shared" si="71"/>
        <v>#REF!</v>
      </c>
      <c r="BI44" s="53" t="e">
        <f t="shared" si="71"/>
        <v>#REF!</v>
      </c>
      <c r="BJ44" s="51" t="e">
        <f t="shared" si="72"/>
        <v>#REF!</v>
      </c>
      <c r="BK44" s="52" t="e">
        <f t="shared" si="72"/>
        <v>#REF!</v>
      </c>
      <c r="BL44" s="52" t="e">
        <f t="shared" si="72"/>
        <v>#REF!</v>
      </c>
      <c r="BM44" s="52" t="e">
        <f t="shared" si="72"/>
        <v>#REF!</v>
      </c>
      <c r="BN44" s="52" t="e">
        <f t="shared" si="72"/>
        <v>#REF!</v>
      </c>
      <c r="BO44" s="52" t="e">
        <f t="shared" si="72"/>
        <v>#REF!</v>
      </c>
      <c r="BP44" s="52" t="e">
        <f t="shared" si="72"/>
        <v>#REF!</v>
      </c>
      <c r="BQ44" s="52" t="e">
        <f t="shared" si="72"/>
        <v>#REF!</v>
      </c>
      <c r="BR44" s="52" t="e">
        <f t="shared" si="72"/>
        <v>#REF!</v>
      </c>
      <c r="BS44" s="52" t="e">
        <f t="shared" si="72"/>
        <v>#REF!</v>
      </c>
      <c r="BT44" s="52" t="e">
        <f t="shared" si="72"/>
        <v>#REF!</v>
      </c>
      <c r="BU44" s="52" t="e">
        <f t="shared" si="72"/>
        <v>#REF!</v>
      </c>
      <c r="BV44" s="52" t="e">
        <f t="shared" si="72"/>
        <v>#REF!</v>
      </c>
      <c r="BW44" s="52" t="e">
        <f t="shared" si="72"/>
        <v>#REF!</v>
      </c>
      <c r="BX44" s="52" t="e">
        <f t="shared" si="72"/>
        <v>#REF!</v>
      </c>
      <c r="BY44" s="53" t="e">
        <f t="shared" si="72"/>
        <v>#REF!</v>
      </c>
      <c r="BZ44" s="51" t="e">
        <f t="shared" si="74"/>
        <v>#REF!</v>
      </c>
      <c r="CA44" s="52" t="e">
        <f t="shared" si="75"/>
        <v>#REF!</v>
      </c>
      <c r="CB44" s="52" t="e">
        <f t="shared" si="75"/>
        <v>#REF!</v>
      </c>
      <c r="CC44" s="52" t="e">
        <f t="shared" si="75"/>
        <v>#REF!</v>
      </c>
      <c r="CD44" s="52" t="e">
        <f t="shared" si="75"/>
        <v>#REF!</v>
      </c>
      <c r="CE44" s="52" t="e">
        <f t="shared" si="75"/>
        <v>#REF!</v>
      </c>
      <c r="CF44" s="52" t="e">
        <f t="shared" si="75"/>
        <v>#REF!</v>
      </c>
      <c r="CG44" s="52" t="e">
        <f t="shared" si="75"/>
        <v>#REF!</v>
      </c>
      <c r="CH44" s="52" t="e">
        <f t="shared" si="75"/>
        <v>#REF!</v>
      </c>
      <c r="CI44" s="52" t="e">
        <f t="shared" si="75"/>
        <v>#REF!</v>
      </c>
      <c r="CJ44" s="52" t="e">
        <f t="shared" si="75"/>
        <v>#REF!</v>
      </c>
      <c r="CK44" s="52" t="e">
        <f t="shared" si="75"/>
        <v>#REF!</v>
      </c>
      <c r="CL44" s="52" t="e">
        <f t="shared" si="75"/>
        <v>#REF!</v>
      </c>
      <c r="CM44" s="52" t="e">
        <f t="shared" si="75"/>
        <v>#REF!</v>
      </c>
      <c r="CN44" s="52" t="e">
        <f t="shared" si="75"/>
        <v>#REF!</v>
      </c>
      <c r="CO44" s="53" t="e">
        <f t="shared" si="75"/>
        <v>#REF!</v>
      </c>
      <c r="CP44" s="1" t="e">
        <f>SUMIF(#REF!,Overview!$U44,#REF!)</f>
        <v>#REF!</v>
      </c>
      <c r="CQ44" s="1" t="e">
        <f>SUMIF(#REF!,Overview!$U44,#REF!)</f>
        <v>#REF!</v>
      </c>
      <c r="CR44" s="1" t="e">
        <f>SUMIF(#REF!,Overview!$U44,#REF!)</f>
        <v>#REF!</v>
      </c>
      <c r="CS44" s="1" t="e">
        <f>SUMIF(#REF!,Overview!$U44,#REF!)</f>
        <v>#REF!</v>
      </c>
      <c r="CT44" s="1" t="e">
        <f>SUMIF(#REF!,Overview!$U44,#REF!)</f>
        <v>#REF!</v>
      </c>
      <c r="CU44" s="1" t="e">
        <f>SUMIF(#REF!,Overview!$U44,#REF!)</f>
        <v>#REF!</v>
      </c>
      <c r="CV44" s="1" t="e">
        <f>SUMIF(#REF!,Overview!$U44,#REF!)</f>
        <v>#REF!</v>
      </c>
      <c r="CW44" s="1" t="e">
        <f>SUMIF(#REF!,Overview!$U44,#REF!)</f>
        <v>#REF!</v>
      </c>
      <c r="CX44" s="1" t="e">
        <f>SUMIF(#REF!,Overview!$U44,#REF!)</f>
        <v>#REF!</v>
      </c>
      <c r="CY44" s="1" t="e">
        <f>SUMIF(#REF!,Overview!$U44,#REF!)</f>
        <v>#REF!</v>
      </c>
      <c r="CZ44" s="1" t="e">
        <f>SUMIF(#REF!,Overview!$U44,#REF!)</f>
        <v>#REF!</v>
      </c>
      <c r="DA44" s="1" t="e">
        <f>SUMIF(#REF!,Overview!$U44,#REF!)</f>
        <v>#REF!</v>
      </c>
      <c r="DB44" s="1" t="e">
        <f>SUMIF(#REF!,Overview!$U44,#REF!)</f>
        <v>#REF!</v>
      </c>
      <c r="DC44" s="1" t="e">
        <f>SUMIF(#REF!,Overview!$U44,#REF!)</f>
        <v>#REF!</v>
      </c>
      <c r="DD44" s="1" t="e">
        <f>SUMIF(#REF!,Overview!$U44,#REF!)</f>
        <v>#REF!</v>
      </c>
      <c r="DE44" s="5" t="e">
        <f>SUMIF(#REF!,Overview!$U44,#REF!)</f>
        <v>#REF!</v>
      </c>
    </row>
    <row r="45" spans="1:109" ht="29">
      <c r="A45" s="3" t="s">
        <v>150</v>
      </c>
      <c r="B45" s="14" t="s">
        <v>151</v>
      </c>
      <c r="C45" s="4">
        <v>0</v>
      </c>
      <c r="D45" s="1">
        <v>0</v>
      </c>
      <c r="E45" s="1">
        <v>0</v>
      </c>
      <c r="F45">
        <v>0</v>
      </c>
      <c r="G45" s="4">
        <v>0</v>
      </c>
      <c r="H45" s="1">
        <v>0</v>
      </c>
      <c r="I45" s="1">
        <v>0</v>
      </c>
      <c r="J45">
        <v>0</v>
      </c>
      <c r="K45" s="4" t="s">
        <v>17</v>
      </c>
      <c r="L45" s="1" t="s">
        <v>152</v>
      </c>
      <c r="M45" s="1" t="s">
        <v>153</v>
      </c>
      <c r="N45" s="11" t="s">
        <v>71</v>
      </c>
      <c r="O45" s="1" t="s">
        <v>154</v>
      </c>
      <c r="P45" s="1" t="s">
        <v>45</v>
      </c>
      <c r="Q45" s="1" t="s">
        <v>23</v>
      </c>
      <c r="R45" s="36" t="s">
        <v>290</v>
      </c>
      <c r="S45" s="24" t="s">
        <v>24</v>
      </c>
      <c r="T45" s="1" t="s">
        <v>24</v>
      </c>
      <c r="U45" s="4" t="s">
        <v>152</v>
      </c>
      <c r="V45" s="1" t="s">
        <v>153</v>
      </c>
      <c r="W45" s="5" t="s">
        <v>71</v>
      </c>
      <c r="X45" s="5" t="s">
        <v>334</v>
      </c>
      <c r="Y45" s="22" t="s">
        <v>225</v>
      </c>
      <c r="Z45" s="38">
        <f>1000000/570</f>
        <v>1754.3859649122808</v>
      </c>
      <c r="AA45" s="29"/>
      <c r="AB45" s="29"/>
      <c r="AC45" s="22"/>
      <c r="AD45" s="25" t="e">
        <f>SUMIF(#REF!,Overview!U45,#REF!)</f>
        <v>#REF!</v>
      </c>
      <c r="AE45" s="27" t="e">
        <f>SUMIF(#REF!,Overview!U45,#REF!)</f>
        <v>#REF!</v>
      </c>
      <c r="AF45" s="1" t="e">
        <f>SUMIF(#REF!,Overview!U45,#REF!)</f>
        <v>#REF!</v>
      </c>
      <c r="AG45" s="1" t="e">
        <f>SUMIF(#REF!,Overview!U45,#REF!)</f>
        <v>#REF!</v>
      </c>
      <c r="AH45" s="1" t="e">
        <f>SUMIF(#REF!,Overview!U45,#REF!)</f>
        <v>#REF!</v>
      </c>
      <c r="AI45" s="1" t="e">
        <f>SUMIF(#REF!,Overview!U45,#REF!)</f>
        <v>#REF!</v>
      </c>
      <c r="AJ45" s="1" t="e">
        <f>SUMIF(#REF!,Overview!U45,#REF!)</f>
        <v>#REF!</v>
      </c>
      <c r="AK45" s="1" t="e">
        <f>SUMIF(#REF!,Overview!U45,#REF!)</f>
        <v>#REF!</v>
      </c>
      <c r="AL45" s="1" t="e">
        <f>SUMIF(#REF!,Overview!U45,#REF!)</f>
        <v>#REF!</v>
      </c>
      <c r="AM45" s="1" t="e">
        <f>SUMIF(#REF!,Overview!U45,#REF!)</f>
        <v>#REF!</v>
      </c>
      <c r="AN45" s="1" t="e">
        <f>SUMIF(#REF!,Overview!U45,#REF!)</f>
        <v>#REF!</v>
      </c>
      <c r="AO45" s="1" t="e">
        <f>SUMIF(#REF!,Overview!U45,#REF!)</f>
        <v>#REF!</v>
      </c>
      <c r="AP45" s="1" t="e">
        <f>SUMIF(#REF!,Overview!U45,#REF!)</f>
        <v>#REF!</v>
      </c>
      <c r="AQ45" s="1" t="e">
        <f>SUMIF(#REF!,Overview!U45,#REF!)</f>
        <v>#REF!</v>
      </c>
      <c r="AR45" s="1" t="e">
        <f>SUMIF(#REF!,Overview!U45,#REF!)</f>
        <v>#REF!</v>
      </c>
      <c r="AS45" s="5" t="e">
        <f>SUMIF(#REF!,Overview!U45,#REF!)</f>
        <v>#REF!</v>
      </c>
      <c r="AT45" s="49" t="e">
        <f t="shared" ref="AT45:BI45" si="76">AD45*$Z45*$C45/30</f>
        <v>#REF!</v>
      </c>
      <c r="AU45" s="30" t="e">
        <f t="shared" si="76"/>
        <v>#REF!</v>
      </c>
      <c r="AV45" s="30" t="e">
        <f t="shared" si="76"/>
        <v>#REF!</v>
      </c>
      <c r="AW45" s="30" t="e">
        <f t="shared" si="76"/>
        <v>#REF!</v>
      </c>
      <c r="AX45" s="30" t="e">
        <f t="shared" si="76"/>
        <v>#REF!</v>
      </c>
      <c r="AY45" s="30" t="e">
        <f t="shared" si="76"/>
        <v>#REF!</v>
      </c>
      <c r="AZ45" s="30" t="e">
        <f t="shared" si="76"/>
        <v>#REF!</v>
      </c>
      <c r="BA45" s="30" t="e">
        <f t="shared" si="76"/>
        <v>#REF!</v>
      </c>
      <c r="BB45" s="30" t="e">
        <f t="shared" si="76"/>
        <v>#REF!</v>
      </c>
      <c r="BC45" s="30" t="e">
        <f t="shared" si="76"/>
        <v>#REF!</v>
      </c>
      <c r="BD45" s="30" t="e">
        <f t="shared" si="76"/>
        <v>#REF!</v>
      </c>
      <c r="BE45" s="30" t="e">
        <f t="shared" si="76"/>
        <v>#REF!</v>
      </c>
      <c r="BF45" s="30" t="e">
        <f t="shared" si="76"/>
        <v>#REF!</v>
      </c>
      <c r="BG45" s="30" t="e">
        <f t="shared" si="76"/>
        <v>#REF!</v>
      </c>
      <c r="BH45" s="30" t="e">
        <f t="shared" si="76"/>
        <v>#REF!</v>
      </c>
      <c r="BI45" s="50" t="e">
        <f t="shared" si="76"/>
        <v>#REF!</v>
      </c>
      <c r="BJ45" s="49" t="e">
        <f t="shared" ref="BJ45:BY45" si="77">AD45*$Z45*$D45/30</f>
        <v>#REF!</v>
      </c>
      <c r="BK45" s="30" t="e">
        <f t="shared" si="77"/>
        <v>#REF!</v>
      </c>
      <c r="BL45" s="30" t="e">
        <f t="shared" si="77"/>
        <v>#REF!</v>
      </c>
      <c r="BM45" s="30" t="e">
        <f t="shared" si="77"/>
        <v>#REF!</v>
      </c>
      <c r="BN45" s="30" t="e">
        <f t="shared" si="77"/>
        <v>#REF!</v>
      </c>
      <c r="BO45" s="30" t="e">
        <f t="shared" si="77"/>
        <v>#REF!</v>
      </c>
      <c r="BP45" s="30" t="e">
        <f t="shared" si="77"/>
        <v>#REF!</v>
      </c>
      <c r="BQ45" s="30" t="e">
        <f t="shared" si="77"/>
        <v>#REF!</v>
      </c>
      <c r="BR45" s="30" t="e">
        <f t="shared" si="77"/>
        <v>#REF!</v>
      </c>
      <c r="BS45" s="30" t="e">
        <f t="shared" si="77"/>
        <v>#REF!</v>
      </c>
      <c r="BT45" s="30" t="e">
        <f t="shared" si="77"/>
        <v>#REF!</v>
      </c>
      <c r="BU45" s="30" t="e">
        <f t="shared" si="77"/>
        <v>#REF!</v>
      </c>
      <c r="BV45" s="30" t="e">
        <f t="shared" si="77"/>
        <v>#REF!</v>
      </c>
      <c r="BW45" s="30" t="e">
        <f t="shared" si="77"/>
        <v>#REF!</v>
      </c>
      <c r="BX45" s="30" t="e">
        <f t="shared" si="77"/>
        <v>#REF!</v>
      </c>
      <c r="BY45" s="50" t="e">
        <f t="shared" si="77"/>
        <v>#REF!</v>
      </c>
      <c r="BZ45" s="49" t="e">
        <f t="shared" ref="BZ45:CO45" si="78">AD45*$Z45*$E45/30</f>
        <v>#REF!</v>
      </c>
      <c r="CA45" s="30" t="e">
        <f t="shared" si="78"/>
        <v>#REF!</v>
      </c>
      <c r="CB45" s="30" t="e">
        <f t="shared" si="78"/>
        <v>#REF!</v>
      </c>
      <c r="CC45" s="30" t="e">
        <f t="shared" si="78"/>
        <v>#REF!</v>
      </c>
      <c r="CD45" s="30" t="e">
        <f t="shared" si="78"/>
        <v>#REF!</v>
      </c>
      <c r="CE45" s="30" t="e">
        <f t="shared" si="78"/>
        <v>#REF!</v>
      </c>
      <c r="CF45" s="30" t="e">
        <f t="shared" si="78"/>
        <v>#REF!</v>
      </c>
      <c r="CG45" s="30" t="e">
        <f t="shared" si="78"/>
        <v>#REF!</v>
      </c>
      <c r="CH45" s="30" t="e">
        <f t="shared" si="78"/>
        <v>#REF!</v>
      </c>
      <c r="CI45" s="30" t="e">
        <f t="shared" si="78"/>
        <v>#REF!</v>
      </c>
      <c r="CJ45" s="30" t="e">
        <f t="shared" si="78"/>
        <v>#REF!</v>
      </c>
      <c r="CK45" s="30" t="e">
        <f t="shared" si="78"/>
        <v>#REF!</v>
      </c>
      <c r="CL45" s="30" t="e">
        <f t="shared" si="78"/>
        <v>#REF!</v>
      </c>
      <c r="CM45" s="30" t="e">
        <f t="shared" si="78"/>
        <v>#REF!</v>
      </c>
      <c r="CN45" s="30" t="e">
        <f t="shared" si="78"/>
        <v>#REF!</v>
      </c>
      <c r="CO45" s="50" t="e">
        <f t="shared" si="78"/>
        <v>#REF!</v>
      </c>
      <c r="CP45" s="1" t="e">
        <f>SUMIF(#REF!,Overview!$U45,#REF!)</f>
        <v>#REF!</v>
      </c>
      <c r="CQ45" s="1" t="e">
        <f>SUMIF(#REF!,Overview!$U45,#REF!)</f>
        <v>#REF!</v>
      </c>
      <c r="CR45" s="1" t="e">
        <f>SUMIF(#REF!,Overview!$U45,#REF!)</f>
        <v>#REF!</v>
      </c>
      <c r="CS45" s="1" t="e">
        <f>SUMIF(#REF!,Overview!$U45,#REF!)</f>
        <v>#REF!</v>
      </c>
      <c r="CT45" s="1" t="e">
        <f>SUMIF(#REF!,Overview!$U45,#REF!)</f>
        <v>#REF!</v>
      </c>
      <c r="CU45" s="1" t="e">
        <f>SUMIF(#REF!,Overview!$U45,#REF!)</f>
        <v>#REF!</v>
      </c>
      <c r="CV45" s="1" t="e">
        <f>SUMIF(#REF!,Overview!$U45,#REF!)</f>
        <v>#REF!</v>
      </c>
      <c r="CW45" s="1" t="e">
        <f>SUMIF(#REF!,Overview!$U45,#REF!)</f>
        <v>#REF!</v>
      </c>
      <c r="CX45" s="1" t="e">
        <f>SUMIF(#REF!,Overview!$U45,#REF!)</f>
        <v>#REF!</v>
      </c>
      <c r="CY45" s="1" t="e">
        <f>SUMIF(#REF!,Overview!$U45,#REF!)</f>
        <v>#REF!</v>
      </c>
      <c r="CZ45" s="1" t="e">
        <f>SUMIF(#REF!,Overview!$U45,#REF!)</f>
        <v>#REF!</v>
      </c>
      <c r="DA45" s="1" t="e">
        <f>SUMIF(#REF!,Overview!$U45,#REF!)</f>
        <v>#REF!</v>
      </c>
      <c r="DB45" s="1" t="e">
        <f>SUMIF(#REF!,Overview!$U45,#REF!)</f>
        <v>#REF!</v>
      </c>
      <c r="DC45" s="1" t="e">
        <f>SUMIF(#REF!,Overview!$U45,#REF!)</f>
        <v>#REF!</v>
      </c>
      <c r="DD45" s="1" t="e">
        <f>SUMIF(#REF!,Overview!$U45,#REF!)</f>
        <v>#REF!</v>
      </c>
      <c r="DE45" s="5" t="e">
        <f>SUMIF(#REF!,Overview!$U45,#REF!)</f>
        <v>#REF!</v>
      </c>
    </row>
    <row r="46" spans="1:109" ht="72.5">
      <c r="A46" s="3" t="s">
        <v>155</v>
      </c>
      <c r="B46" s="14" t="s">
        <v>156</v>
      </c>
      <c r="C46" s="4">
        <v>5.1220499999999998</v>
      </c>
      <c r="D46" s="1">
        <v>5.1220499999999998</v>
      </c>
      <c r="E46" s="1">
        <v>5.1220499999999998</v>
      </c>
      <c r="F46">
        <v>5.1220499999999998</v>
      </c>
      <c r="G46" s="4">
        <v>5666.0328684373926</v>
      </c>
      <c r="H46" s="1">
        <v>7919.3833873121866</v>
      </c>
      <c r="I46" s="1">
        <v>6721.6759783031357</v>
      </c>
      <c r="J46">
        <v>6087.087226811369</v>
      </c>
      <c r="K46" s="4" t="s">
        <v>17</v>
      </c>
      <c r="L46" s="1" t="s">
        <v>157</v>
      </c>
      <c r="M46" s="1" t="s">
        <v>158</v>
      </c>
      <c r="N46" s="11" t="s">
        <v>37</v>
      </c>
      <c r="O46" s="1" t="s">
        <v>58</v>
      </c>
      <c r="P46" s="1" t="s">
        <v>30</v>
      </c>
      <c r="Q46" s="1" t="s">
        <v>23</v>
      </c>
      <c r="R46" s="36" t="s">
        <v>293</v>
      </c>
      <c r="S46" s="24" t="s">
        <v>159</v>
      </c>
      <c r="T46" s="1" t="s">
        <v>24</v>
      </c>
      <c r="U46" s="4" t="s">
        <v>249</v>
      </c>
      <c r="V46" s="1" t="s">
        <v>158</v>
      </c>
      <c r="W46" s="5" t="s">
        <v>37</v>
      </c>
      <c r="X46" s="5" t="s">
        <v>37</v>
      </c>
      <c r="Y46" s="22" t="s">
        <v>211</v>
      </c>
      <c r="Z46" s="17">
        <v>1000000</v>
      </c>
      <c r="AA46" s="29"/>
      <c r="AB46" s="29"/>
      <c r="AC46" s="22"/>
      <c r="AD46" s="25" t="e">
        <f>SUMIF(#REF!,Overview!U46,#REF!)</f>
        <v>#REF!</v>
      </c>
      <c r="AE46" s="27" t="e">
        <f>SUMIF(#REF!,Overview!U46,#REF!)</f>
        <v>#REF!</v>
      </c>
      <c r="AF46" s="1" t="e">
        <f>SUMIF(#REF!,Overview!U46,#REF!)</f>
        <v>#REF!</v>
      </c>
      <c r="AG46" s="1" t="e">
        <f>SUMIF(#REF!,Overview!U46,#REF!)</f>
        <v>#REF!</v>
      </c>
      <c r="AH46" s="1" t="e">
        <f>SUMIF(#REF!,Overview!U46,#REF!)</f>
        <v>#REF!</v>
      </c>
      <c r="AI46" s="1" t="e">
        <f>SUMIF(#REF!,Overview!U46,#REF!)</f>
        <v>#REF!</v>
      </c>
      <c r="AJ46" s="1" t="e">
        <f>SUMIF(#REF!,Overview!U46,#REF!)</f>
        <v>#REF!</v>
      </c>
      <c r="AK46" s="1" t="e">
        <f>SUMIF(#REF!,Overview!U46,#REF!)</f>
        <v>#REF!</v>
      </c>
      <c r="AL46" s="1" t="e">
        <f>SUMIF(#REF!,Overview!U46,#REF!)</f>
        <v>#REF!</v>
      </c>
      <c r="AM46" s="1" t="e">
        <f>SUMIF(#REF!,Overview!U46,#REF!)</f>
        <v>#REF!</v>
      </c>
      <c r="AN46" s="1" t="e">
        <f>SUMIF(#REF!,Overview!U46,#REF!)</f>
        <v>#REF!</v>
      </c>
      <c r="AO46" s="1" t="e">
        <f>SUMIF(#REF!,Overview!U46,#REF!)</f>
        <v>#REF!</v>
      </c>
      <c r="AP46" s="1" t="e">
        <f>SUMIF(#REF!,Overview!U46,#REF!)</f>
        <v>#REF!</v>
      </c>
      <c r="AQ46" s="1" t="e">
        <f>SUMIF(#REF!,Overview!U46,#REF!)</f>
        <v>#REF!</v>
      </c>
      <c r="AR46" s="1" t="e">
        <f>SUMIF(#REF!,Overview!U46,#REF!)</f>
        <v>#REF!</v>
      </c>
      <c r="AS46" s="5" t="e">
        <f>SUMIF(#REF!,Overview!U46,#REF!)</f>
        <v>#REF!</v>
      </c>
      <c r="AT46" s="51" t="e">
        <f t="shared" ref="AT46:BI46" si="79">AD46*$Z46*$G46</f>
        <v>#REF!</v>
      </c>
      <c r="AU46" s="52" t="e">
        <f t="shared" si="79"/>
        <v>#REF!</v>
      </c>
      <c r="AV46" s="52" t="e">
        <f t="shared" si="79"/>
        <v>#REF!</v>
      </c>
      <c r="AW46" s="52" t="e">
        <f t="shared" si="79"/>
        <v>#REF!</v>
      </c>
      <c r="AX46" s="52" t="e">
        <f t="shared" si="79"/>
        <v>#REF!</v>
      </c>
      <c r="AY46" s="52" t="e">
        <f t="shared" si="79"/>
        <v>#REF!</v>
      </c>
      <c r="AZ46" s="52" t="e">
        <f t="shared" si="79"/>
        <v>#REF!</v>
      </c>
      <c r="BA46" s="52" t="e">
        <f t="shared" si="79"/>
        <v>#REF!</v>
      </c>
      <c r="BB46" s="52" t="e">
        <f t="shared" si="79"/>
        <v>#REF!</v>
      </c>
      <c r="BC46" s="52" t="e">
        <f t="shared" si="79"/>
        <v>#REF!</v>
      </c>
      <c r="BD46" s="52" t="e">
        <f t="shared" si="79"/>
        <v>#REF!</v>
      </c>
      <c r="BE46" s="52" t="e">
        <f t="shared" si="79"/>
        <v>#REF!</v>
      </c>
      <c r="BF46" s="52" t="e">
        <f t="shared" si="79"/>
        <v>#REF!</v>
      </c>
      <c r="BG46" s="52" t="e">
        <f t="shared" si="79"/>
        <v>#REF!</v>
      </c>
      <c r="BH46" s="52" t="e">
        <f t="shared" si="79"/>
        <v>#REF!</v>
      </c>
      <c r="BI46" s="53" t="e">
        <f t="shared" si="79"/>
        <v>#REF!</v>
      </c>
      <c r="BJ46" s="51" t="e">
        <f t="shared" ref="BJ46:BY46" si="80">AD46*$Z46*$H46</f>
        <v>#REF!</v>
      </c>
      <c r="BK46" s="52" t="e">
        <f t="shared" si="80"/>
        <v>#REF!</v>
      </c>
      <c r="BL46" s="52" t="e">
        <f t="shared" si="80"/>
        <v>#REF!</v>
      </c>
      <c r="BM46" s="52" t="e">
        <f t="shared" si="80"/>
        <v>#REF!</v>
      </c>
      <c r="BN46" s="52" t="e">
        <f t="shared" si="80"/>
        <v>#REF!</v>
      </c>
      <c r="BO46" s="52" t="e">
        <f t="shared" si="80"/>
        <v>#REF!</v>
      </c>
      <c r="BP46" s="52" t="e">
        <f t="shared" si="80"/>
        <v>#REF!</v>
      </c>
      <c r="BQ46" s="52" t="e">
        <f t="shared" si="80"/>
        <v>#REF!</v>
      </c>
      <c r="BR46" s="52" t="e">
        <f t="shared" si="80"/>
        <v>#REF!</v>
      </c>
      <c r="BS46" s="52" t="e">
        <f t="shared" si="80"/>
        <v>#REF!</v>
      </c>
      <c r="BT46" s="52" t="e">
        <f t="shared" si="80"/>
        <v>#REF!</v>
      </c>
      <c r="BU46" s="52" t="e">
        <f t="shared" si="80"/>
        <v>#REF!</v>
      </c>
      <c r="BV46" s="52" t="e">
        <f t="shared" si="80"/>
        <v>#REF!</v>
      </c>
      <c r="BW46" s="52" t="e">
        <f t="shared" si="80"/>
        <v>#REF!</v>
      </c>
      <c r="BX46" s="52" t="e">
        <f t="shared" si="80"/>
        <v>#REF!</v>
      </c>
      <c r="BY46" s="53" t="e">
        <f t="shared" si="80"/>
        <v>#REF!</v>
      </c>
      <c r="BZ46" s="51" t="e">
        <f t="shared" si="5"/>
        <v>#REF!</v>
      </c>
      <c r="CA46" s="52" t="e">
        <f t="shared" ref="CA46:CA55" si="81">AE46*$Z46*$I46</f>
        <v>#REF!</v>
      </c>
      <c r="CB46" s="52" t="e">
        <f t="shared" ref="CB46:CB55" si="82">AF46*$Z46*$I46</f>
        <v>#REF!</v>
      </c>
      <c r="CC46" s="52" t="e">
        <f t="shared" ref="CC46:CC55" si="83">AG46*$Z46*$I46</f>
        <v>#REF!</v>
      </c>
      <c r="CD46" s="52" t="e">
        <f t="shared" ref="CD46:CD55" si="84">AH46*$Z46*$I46</f>
        <v>#REF!</v>
      </c>
      <c r="CE46" s="52" t="e">
        <f t="shared" ref="CE46:CE55" si="85">AI46*$Z46*$I46</f>
        <v>#REF!</v>
      </c>
      <c r="CF46" s="52" t="e">
        <f t="shared" ref="CF46:CF55" si="86">AJ46*$Z46*$I46</f>
        <v>#REF!</v>
      </c>
      <c r="CG46" s="52" t="e">
        <f t="shared" ref="CG46:CG55" si="87">AK46*$Z46*$I46</f>
        <v>#REF!</v>
      </c>
      <c r="CH46" s="52" t="e">
        <f t="shared" ref="CH46:CH55" si="88">AL46*$Z46*$I46</f>
        <v>#REF!</v>
      </c>
      <c r="CI46" s="52" t="e">
        <f t="shared" ref="CI46:CI55" si="89">AM46*$Z46*$I46</f>
        <v>#REF!</v>
      </c>
      <c r="CJ46" s="52" t="e">
        <f t="shared" ref="CJ46:CJ55" si="90">AN46*$Z46*$I46</f>
        <v>#REF!</v>
      </c>
      <c r="CK46" s="52" t="e">
        <f t="shared" ref="CK46:CK55" si="91">AO46*$Z46*$I46</f>
        <v>#REF!</v>
      </c>
      <c r="CL46" s="52" t="e">
        <f t="shared" ref="CL46:CL55" si="92">AP46*$Z46*$I46</f>
        <v>#REF!</v>
      </c>
      <c r="CM46" s="52" t="e">
        <f t="shared" ref="CM46:CM55" si="93">AQ46*$Z46*$I46</f>
        <v>#REF!</v>
      </c>
      <c r="CN46" s="52" t="e">
        <f t="shared" ref="CN46:CN55" si="94">AR46*$Z46*$I46</f>
        <v>#REF!</v>
      </c>
      <c r="CO46" s="53" t="e">
        <f t="shared" ref="CO46:CO55" si="95">AS46*$Z46*$I46</f>
        <v>#REF!</v>
      </c>
      <c r="CP46" s="1" t="e">
        <f>SUMIF(#REF!,Overview!$U46,#REF!)</f>
        <v>#REF!</v>
      </c>
      <c r="CQ46" s="1" t="e">
        <f>SUMIF(#REF!,Overview!$U46,#REF!)</f>
        <v>#REF!</v>
      </c>
      <c r="CR46" s="1" t="e">
        <f>SUMIF(#REF!,Overview!$U46,#REF!)</f>
        <v>#REF!</v>
      </c>
      <c r="CS46" s="1" t="e">
        <f>SUMIF(#REF!,Overview!$U46,#REF!)</f>
        <v>#REF!</v>
      </c>
      <c r="CT46" s="1" t="e">
        <f>SUMIF(#REF!,Overview!$U46,#REF!)</f>
        <v>#REF!</v>
      </c>
      <c r="CU46" s="1" t="e">
        <f>SUMIF(#REF!,Overview!$U46,#REF!)</f>
        <v>#REF!</v>
      </c>
      <c r="CV46" s="1" t="e">
        <f>SUMIF(#REF!,Overview!$U46,#REF!)</f>
        <v>#REF!</v>
      </c>
      <c r="CW46" s="1" t="e">
        <f>SUMIF(#REF!,Overview!$U46,#REF!)</f>
        <v>#REF!</v>
      </c>
      <c r="CX46" s="1" t="e">
        <f>SUMIF(#REF!,Overview!$U46,#REF!)</f>
        <v>#REF!</v>
      </c>
      <c r="CY46" s="1" t="e">
        <f>SUMIF(#REF!,Overview!$U46,#REF!)</f>
        <v>#REF!</v>
      </c>
      <c r="CZ46" s="1" t="e">
        <f>SUMIF(#REF!,Overview!$U46,#REF!)</f>
        <v>#REF!</v>
      </c>
      <c r="DA46" s="1" t="e">
        <f>SUMIF(#REF!,Overview!$U46,#REF!)</f>
        <v>#REF!</v>
      </c>
      <c r="DB46" s="1" t="e">
        <f>SUMIF(#REF!,Overview!$U46,#REF!)</f>
        <v>#REF!</v>
      </c>
      <c r="DC46" s="1" t="e">
        <f>SUMIF(#REF!,Overview!$U46,#REF!)</f>
        <v>#REF!</v>
      </c>
      <c r="DD46" s="1" t="e">
        <f>SUMIF(#REF!,Overview!$U46,#REF!)</f>
        <v>#REF!</v>
      </c>
      <c r="DE46" s="5" t="e">
        <f>SUMIF(#REF!,Overview!$U46,#REF!)</f>
        <v>#REF!</v>
      </c>
    </row>
    <row r="47" spans="1:109">
      <c r="A47" s="3" t="s">
        <v>160</v>
      </c>
      <c r="B47" s="14" t="s">
        <v>161</v>
      </c>
      <c r="C47" s="4">
        <v>37.511652858034992</v>
      </c>
      <c r="D47" s="1">
        <v>33.760485645676667</v>
      </c>
      <c r="E47" s="1">
        <v>33.760486338428279</v>
      </c>
      <c r="F47">
        <v>37.511650510928789</v>
      </c>
      <c r="G47" s="4">
        <v>33609.653938303549</v>
      </c>
      <c r="H47" s="1">
        <v>30218.789023838239</v>
      </c>
      <c r="I47" s="1">
        <v>30248.62267588557</v>
      </c>
      <c r="J47">
        <v>33609.104071709182</v>
      </c>
      <c r="K47" s="4" t="s">
        <v>17</v>
      </c>
      <c r="L47" s="1" t="s">
        <v>162</v>
      </c>
      <c r="M47" s="1" t="s">
        <v>163</v>
      </c>
      <c r="N47" s="11" t="s">
        <v>37</v>
      </c>
      <c r="O47" s="1" t="s">
        <v>164</v>
      </c>
      <c r="P47" s="1" t="s">
        <v>45</v>
      </c>
      <c r="Q47" s="1" t="s">
        <v>23</v>
      </c>
      <c r="R47" s="36" t="s">
        <v>273</v>
      </c>
      <c r="S47" s="24" t="s">
        <v>24</v>
      </c>
      <c r="T47" s="1" t="s">
        <v>24</v>
      </c>
      <c r="U47" s="4" t="s">
        <v>162</v>
      </c>
      <c r="V47" s="1" t="s">
        <v>163</v>
      </c>
      <c r="W47" s="5" t="s">
        <v>37</v>
      </c>
      <c r="X47" s="5" t="s">
        <v>334</v>
      </c>
      <c r="Y47" s="22" t="s">
        <v>222</v>
      </c>
      <c r="Z47" s="38">
        <f>1000000/3</f>
        <v>333333.33333333331</v>
      </c>
      <c r="AA47" s="29"/>
      <c r="AB47" s="29"/>
      <c r="AC47" s="22"/>
      <c r="AD47" s="25" t="e">
        <f>SUMIF(#REF!,Overview!U47,#REF!)</f>
        <v>#REF!</v>
      </c>
      <c r="AE47" s="27" t="e">
        <f>SUMIF(#REF!,Overview!U47,#REF!)</f>
        <v>#REF!</v>
      </c>
      <c r="AF47" s="1" t="e">
        <f>SUMIF(#REF!,Overview!U47,#REF!)</f>
        <v>#REF!</v>
      </c>
      <c r="AG47" s="1" t="e">
        <f>SUMIF(#REF!,Overview!U47,#REF!)</f>
        <v>#REF!</v>
      </c>
      <c r="AH47" s="1" t="e">
        <f>SUMIF(#REF!,Overview!U47,#REF!)</f>
        <v>#REF!</v>
      </c>
      <c r="AI47" s="1" t="e">
        <f>SUMIF(#REF!,Overview!U47,#REF!)</f>
        <v>#REF!</v>
      </c>
      <c r="AJ47" s="1" t="e">
        <f>SUMIF(#REF!,Overview!U47,#REF!)</f>
        <v>#REF!</v>
      </c>
      <c r="AK47" s="1" t="e">
        <f>SUMIF(#REF!,Overview!U47,#REF!)</f>
        <v>#REF!</v>
      </c>
      <c r="AL47" s="1" t="e">
        <f>SUMIF(#REF!,Overview!U47,#REF!)</f>
        <v>#REF!</v>
      </c>
      <c r="AM47" s="1" t="e">
        <f>SUMIF(#REF!,Overview!U47,#REF!)</f>
        <v>#REF!</v>
      </c>
      <c r="AN47" s="1" t="e">
        <f>SUMIF(#REF!,Overview!U47,#REF!)</f>
        <v>#REF!</v>
      </c>
      <c r="AO47" s="1" t="e">
        <f>SUMIF(#REF!,Overview!U47,#REF!)</f>
        <v>#REF!</v>
      </c>
      <c r="AP47" s="1" t="e">
        <f>SUMIF(#REF!,Overview!U47,#REF!)</f>
        <v>#REF!</v>
      </c>
      <c r="AQ47" s="1" t="e">
        <f>SUMIF(#REF!,Overview!U47,#REF!)</f>
        <v>#REF!</v>
      </c>
      <c r="AR47" s="1" t="e">
        <f>SUMIF(#REF!,Overview!U47,#REF!)</f>
        <v>#REF!</v>
      </c>
      <c r="AS47" s="5" t="e">
        <f>SUMIF(#REF!,Overview!U47,#REF!)</f>
        <v>#REF!</v>
      </c>
      <c r="AT47" s="54" t="e">
        <f t="shared" ref="AT47:BI47" si="96">AD47*$Z47*$C47/30</f>
        <v>#REF!</v>
      </c>
      <c r="AU47" s="55" t="e">
        <f t="shared" si="96"/>
        <v>#REF!</v>
      </c>
      <c r="AV47" s="55" t="e">
        <f t="shared" si="96"/>
        <v>#REF!</v>
      </c>
      <c r="AW47" s="55" t="e">
        <f t="shared" si="96"/>
        <v>#REF!</v>
      </c>
      <c r="AX47" s="55" t="e">
        <f t="shared" si="96"/>
        <v>#REF!</v>
      </c>
      <c r="AY47" s="55" t="e">
        <f t="shared" si="96"/>
        <v>#REF!</v>
      </c>
      <c r="AZ47" s="55" t="e">
        <f t="shared" si="96"/>
        <v>#REF!</v>
      </c>
      <c r="BA47" s="55" t="e">
        <f t="shared" si="96"/>
        <v>#REF!</v>
      </c>
      <c r="BB47" s="55" t="e">
        <f t="shared" si="96"/>
        <v>#REF!</v>
      </c>
      <c r="BC47" s="55" t="e">
        <f t="shared" si="96"/>
        <v>#REF!</v>
      </c>
      <c r="BD47" s="55" t="e">
        <f t="shared" si="96"/>
        <v>#REF!</v>
      </c>
      <c r="BE47" s="55" t="e">
        <f t="shared" si="96"/>
        <v>#REF!</v>
      </c>
      <c r="BF47" s="55" t="e">
        <f t="shared" si="96"/>
        <v>#REF!</v>
      </c>
      <c r="BG47" s="55" t="e">
        <f t="shared" si="96"/>
        <v>#REF!</v>
      </c>
      <c r="BH47" s="55" t="e">
        <f t="shared" si="96"/>
        <v>#REF!</v>
      </c>
      <c r="BI47" s="56" t="e">
        <f t="shared" si="96"/>
        <v>#REF!</v>
      </c>
      <c r="BJ47" s="49" t="e">
        <f t="shared" ref="BJ47:BY47" si="97">AD47*$Z47*$D47/30</f>
        <v>#REF!</v>
      </c>
      <c r="BK47" s="30" t="e">
        <f t="shared" si="97"/>
        <v>#REF!</v>
      </c>
      <c r="BL47" s="30" t="e">
        <f t="shared" si="97"/>
        <v>#REF!</v>
      </c>
      <c r="BM47" s="30" t="e">
        <f t="shared" si="97"/>
        <v>#REF!</v>
      </c>
      <c r="BN47" s="30" t="e">
        <f t="shared" si="97"/>
        <v>#REF!</v>
      </c>
      <c r="BO47" s="30" t="e">
        <f t="shared" si="97"/>
        <v>#REF!</v>
      </c>
      <c r="BP47" s="30" t="e">
        <f t="shared" si="97"/>
        <v>#REF!</v>
      </c>
      <c r="BQ47" s="30" t="e">
        <f t="shared" si="97"/>
        <v>#REF!</v>
      </c>
      <c r="BR47" s="30" t="e">
        <f t="shared" si="97"/>
        <v>#REF!</v>
      </c>
      <c r="BS47" s="30" t="e">
        <f t="shared" si="97"/>
        <v>#REF!</v>
      </c>
      <c r="BT47" s="30" t="e">
        <f t="shared" si="97"/>
        <v>#REF!</v>
      </c>
      <c r="BU47" s="30" t="e">
        <f t="shared" si="97"/>
        <v>#REF!</v>
      </c>
      <c r="BV47" s="30" t="e">
        <f t="shared" si="97"/>
        <v>#REF!</v>
      </c>
      <c r="BW47" s="30" t="e">
        <f t="shared" si="97"/>
        <v>#REF!</v>
      </c>
      <c r="BX47" s="30" t="e">
        <f t="shared" si="97"/>
        <v>#REF!</v>
      </c>
      <c r="BY47" s="50" t="e">
        <f t="shared" si="97"/>
        <v>#REF!</v>
      </c>
      <c r="BZ47" s="49" t="e">
        <f t="shared" ref="BZ47:CO47" si="98">AD47*$Z47*$E47/30</f>
        <v>#REF!</v>
      </c>
      <c r="CA47" s="30" t="e">
        <f t="shared" si="98"/>
        <v>#REF!</v>
      </c>
      <c r="CB47" s="30" t="e">
        <f t="shared" si="98"/>
        <v>#REF!</v>
      </c>
      <c r="CC47" s="30" t="e">
        <f t="shared" si="98"/>
        <v>#REF!</v>
      </c>
      <c r="CD47" s="30" t="e">
        <f t="shared" si="98"/>
        <v>#REF!</v>
      </c>
      <c r="CE47" s="30" t="e">
        <f t="shared" si="98"/>
        <v>#REF!</v>
      </c>
      <c r="CF47" s="30" t="e">
        <f t="shared" si="98"/>
        <v>#REF!</v>
      </c>
      <c r="CG47" s="30" t="e">
        <f t="shared" si="98"/>
        <v>#REF!</v>
      </c>
      <c r="CH47" s="30" t="e">
        <f t="shared" si="98"/>
        <v>#REF!</v>
      </c>
      <c r="CI47" s="30" t="e">
        <f t="shared" si="98"/>
        <v>#REF!</v>
      </c>
      <c r="CJ47" s="30" t="e">
        <f t="shared" si="98"/>
        <v>#REF!</v>
      </c>
      <c r="CK47" s="30" t="e">
        <f t="shared" si="98"/>
        <v>#REF!</v>
      </c>
      <c r="CL47" s="30" t="e">
        <f t="shared" si="98"/>
        <v>#REF!</v>
      </c>
      <c r="CM47" s="30" t="e">
        <f t="shared" si="98"/>
        <v>#REF!</v>
      </c>
      <c r="CN47" s="30" t="e">
        <f t="shared" si="98"/>
        <v>#REF!</v>
      </c>
      <c r="CO47" s="50" t="e">
        <f t="shared" si="98"/>
        <v>#REF!</v>
      </c>
      <c r="CP47" s="1" t="e">
        <f>SUMIF(#REF!,Overview!$U47,#REF!)</f>
        <v>#REF!</v>
      </c>
      <c r="CQ47" s="1" t="e">
        <f>SUMIF(#REF!,Overview!$U47,#REF!)</f>
        <v>#REF!</v>
      </c>
      <c r="CR47" s="1" t="e">
        <f>SUMIF(#REF!,Overview!$U47,#REF!)</f>
        <v>#REF!</v>
      </c>
      <c r="CS47" s="1" t="e">
        <f>SUMIF(#REF!,Overview!$U47,#REF!)</f>
        <v>#REF!</v>
      </c>
      <c r="CT47" s="1" t="e">
        <f>SUMIF(#REF!,Overview!$U47,#REF!)</f>
        <v>#REF!</v>
      </c>
      <c r="CU47" s="1" t="e">
        <f>SUMIF(#REF!,Overview!$U47,#REF!)</f>
        <v>#REF!</v>
      </c>
      <c r="CV47" s="1" t="e">
        <f>SUMIF(#REF!,Overview!$U47,#REF!)</f>
        <v>#REF!</v>
      </c>
      <c r="CW47" s="1" t="e">
        <f>SUMIF(#REF!,Overview!$U47,#REF!)</f>
        <v>#REF!</v>
      </c>
      <c r="CX47" s="1" t="e">
        <f>SUMIF(#REF!,Overview!$U47,#REF!)</f>
        <v>#REF!</v>
      </c>
      <c r="CY47" s="1" t="e">
        <f>SUMIF(#REF!,Overview!$U47,#REF!)</f>
        <v>#REF!</v>
      </c>
      <c r="CZ47" s="1" t="e">
        <f>SUMIF(#REF!,Overview!$U47,#REF!)</f>
        <v>#REF!</v>
      </c>
      <c r="DA47" s="1" t="e">
        <f>SUMIF(#REF!,Overview!$U47,#REF!)</f>
        <v>#REF!</v>
      </c>
      <c r="DB47" s="1" t="e">
        <f>SUMIF(#REF!,Overview!$U47,#REF!)</f>
        <v>#REF!</v>
      </c>
      <c r="DC47" s="1" t="e">
        <f>SUMIF(#REF!,Overview!$U47,#REF!)</f>
        <v>#REF!</v>
      </c>
      <c r="DD47" s="1" t="e">
        <f>SUMIF(#REF!,Overview!$U47,#REF!)</f>
        <v>#REF!</v>
      </c>
      <c r="DE47" s="5" t="e">
        <f>SUMIF(#REF!,Overview!$U47,#REF!)</f>
        <v>#REF!</v>
      </c>
    </row>
    <row r="48" spans="1:109">
      <c r="A48" s="3" t="s">
        <v>165</v>
      </c>
      <c r="B48" s="14" t="s">
        <v>166</v>
      </c>
      <c r="D48" s="1">
        <v>0</v>
      </c>
      <c r="E48" s="1"/>
      <c r="F48"/>
      <c r="H48" s="1">
        <v>1.382037817509064E-5</v>
      </c>
      <c r="I48" s="1"/>
      <c r="J48"/>
      <c r="K48" s="4" t="s">
        <v>17</v>
      </c>
      <c r="L48" s="1" t="s">
        <v>167</v>
      </c>
      <c r="M48" s="1" t="s">
        <v>168</v>
      </c>
      <c r="N48" s="11" t="s">
        <v>51</v>
      </c>
      <c r="O48" s="1" t="s">
        <v>169</v>
      </c>
      <c r="P48" s="1" t="s">
        <v>45</v>
      </c>
      <c r="Q48" s="1" t="s">
        <v>23</v>
      </c>
      <c r="R48" s="36" t="s">
        <v>287</v>
      </c>
      <c r="S48" s="24" t="s">
        <v>24</v>
      </c>
      <c r="T48" s="1" t="s">
        <v>24</v>
      </c>
      <c r="U48" s="4" t="s">
        <v>167</v>
      </c>
      <c r="V48" s="1" t="s">
        <v>168</v>
      </c>
      <c r="W48" s="5" t="s">
        <v>51</v>
      </c>
      <c r="X48" s="5" t="s">
        <v>37</v>
      </c>
      <c r="Y48" s="22" t="s">
        <v>223</v>
      </c>
      <c r="Z48" s="38">
        <f>100</f>
        <v>100</v>
      </c>
      <c r="AA48" s="29"/>
      <c r="AB48" s="29"/>
      <c r="AC48" s="22"/>
      <c r="AD48" s="25" t="e">
        <f>SUMIF(#REF!,Overview!U48,#REF!)</f>
        <v>#REF!</v>
      </c>
      <c r="AE48" s="27" t="e">
        <f>SUMIF(#REF!,Overview!U48,#REF!)</f>
        <v>#REF!</v>
      </c>
      <c r="AF48" s="1" t="e">
        <f>SUMIF(#REF!,Overview!U48,#REF!)</f>
        <v>#REF!</v>
      </c>
      <c r="AG48" s="1" t="e">
        <f>SUMIF(#REF!,Overview!U48,#REF!)</f>
        <v>#REF!</v>
      </c>
      <c r="AH48" s="1" t="e">
        <f>SUMIF(#REF!,Overview!U48,#REF!)</f>
        <v>#REF!</v>
      </c>
      <c r="AI48" s="1" t="e">
        <f>SUMIF(#REF!,Overview!U48,#REF!)</f>
        <v>#REF!</v>
      </c>
      <c r="AJ48" s="1" t="e">
        <f>SUMIF(#REF!,Overview!U48,#REF!)</f>
        <v>#REF!</v>
      </c>
      <c r="AK48" s="1" t="e">
        <f>SUMIF(#REF!,Overview!U48,#REF!)</f>
        <v>#REF!</v>
      </c>
      <c r="AL48" s="1" t="e">
        <f>SUMIF(#REF!,Overview!U48,#REF!)</f>
        <v>#REF!</v>
      </c>
      <c r="AM48" s="1" t="e">
        <f>SUMIF(#REF!,Overview!U48,#REF!)</f>
        <v>#REF!</v>
      </c>
      <c r="AN48" s="1" t="e">
        <f>SUMIF(#REF!,Overview!U48,#REF!)</f>
        <v>#REF!</v>
      </c>
      <c r="AO48" s="1" t="e">
        <f>SUMIF(#REF!,Overview!U48,#REF!)</f>
        <v>#REF!</v>
      </c>
      <c r="AP48" s="1" t="e">
        <f>SUMIF(#REF!,Overview!U48,#REF!)</f>
        <v>#REF!</v>
      </c>
      <c r="AQ48" s="1" t="e">
        <f>SUMIF(#REF!,Overview!U48,#REF!)</f>
        <v>#REF!</v>
      </c>
      <c r="AR48" s="1" t="e">
        <f>SUMIF(#REF!,Overview!U48,#REF!)</f>
        <v>#REF!</v>
      </c>
      <c r="AS48" s="5" t="e">
        <f>SUMIF(#REF!,Overview!U48,#REF!)</f>
        <v>#REF!</v>
      </c>
      <c r="AT48" s="49" t="e">
        <f t="shared" ref="AT48:BI50" si="99">AD48*$Z48*$C48/25</f>
        <v>#REF!</v>
      </c>
      <c r="AU48" s="30" t="e">
        <f t="shared" si="99"/>
        <v>#REF!</v>
      </c>
      <c r="AV48" s="30" t="e">
        <f t="shared" si="99"/>
        <v>#REF!</v>
      </c>
      <c r="AW48" s="30" t="e">
        <f t="shared" si="99"/>
        <v>#REF!</v>
      </c>
      <c r="AX48" s="30" t="e">
        <f t="shared" si="99"/>
        <v>#REF!</v>
      </c>
      <c r="AY48" s="30" t="e">
        <f t="shared" si="99"/>
        <v>#REF!</v>
      </c>
      <c r="AZ48" s="30" t="e">
        <f t="shared" si="99"/>
        <v>#REF!</v>
      </c>
      <c r="BA48" s="30" t="e">
        <f t="shared" si="99"/>
        <v>#REF!</v>
      </c>
      <c r="BB48" s="30" t="e">
        <f t="shared" si="99"/>
        <v>#REF!</v>
      </c>
      <c r="BC48" s="30" t="e">
        <f t="shared" si="99"/>
        <v>#REF!</v>
      </c>
      <c r="BD48" s="30" t="e">
        <f t="shared" si="99"/>
        <v>#REF!</v>
      </c>
      <c r="BE48" s="30" t="e">
        <f t="shared" si="99"/>
        <v>#REF!</v>
      </c>
      <c r="BF48" s="30" t="e">
        <f t="shared" si="99"/>
        <v>#REF!</v>
      </c>
      <c r="BG48" s="30" t="e">
        <f t="shared" si="99"/>
        <v>#REF!</v>
      </c>
      <c r="BH48" s="30" t="e">
        <f t="shared" si="99"/>
        <v>#REF!</v>
      </c>
      <c r="BI48" s="50" t="e">
        <f t="shared" si="99"/>
        <v>#REF!</v>
      </c>
      <c r="BJ48" s="49" t="e">
        <f t="shared" ref="BJ48:BY50" si="100">AD48*$Z48*$D48/25</f>
        <v>#REF!</v>
      </c>
      <c r="BK48" s="30" t="e">
        <f t="shared" si="100"/>
        <v>#REF!</v>
      </c>
      <c r="BL48" s="30" t="e">
        <f t="shared" si="100"/>
        <v>#REF!</v>
      </c>
      <c r="BM48" s="30" t="e">
        <f t="shared" si="100"/>
        <v>#REF!</v>
      </c>
      <c r="BN48" s="30" t="e">
        <f t="shared" si="100"/>
        <v>#REF!</v>
      </c>
      <c r="BO48" s="30" t="e">
        <f t="shared" si="100"/>
        <v>#REF!</v>
      </c>
      <c r="BP48" s="30" t="e">
        <f t="shared" si="100"/>
        <v>#REF!</v>
      </c>
      <c r="BQ48" s="30" t="e">
        <f t="shared" si="100"/>
        <v>#REF!</v>
      </c>
      <c r="BR48" s="30" t="e">
        <f t="shared" si="100"/>
        <v>#REF!</v>
      </c>
      <c r="BS48" s="30" t="e">
        <f t="shared" si="100"/>
        <v>#REF!</v>
      </c>
      <c r="BT48" s="30" t="e">
        <f t="shared" si="100"/>
        <v>#REF!</v>
      </c>
      <c r="BU48" s="30" t="e">
        <f t="shared" si="100"/>
        <v>#REF!</v>
      </c>
      <c r="BV48" s="30" t="e">
        <f t="shared" si="100"/>
        <v>#REF!</v>
      </c>
      <c r="BW48" s="30" t="e">
        <f t="shared" si="100"/>
        <v>#REF!</v>
      </c>
      <c r="BX48" s="30" t="e">
        <f t="shared" si="100"/>
        <v>#REF!</v>
      </c>
      <c r="BY48" s="50" t="e">
        <f t="shared" si="100"/>
        <v>#REF!</v>
      </c>
      <c r="BZ48" s="49" t="e">
        <f t="shared" ref="BZ48:CO50" si="101">AD48*$Z48*$E48/25</f>
        <v>#REF!</v>
      </c>
      <c r="CA48" s="30" t="e">
        <f t="shared" si="101"/>
        <v>#REF!</v>
      </c>
      <c r="CB48" s="30" t="e">
        <f t="shared" si="101"/>
        <v>#REF!</v>
      </c>
      <c r="CC48" s="30" t="e">
        <f t="shared" si="101"/>
        <v>#REF!</v>
      </c>
      <c r="CD48" s="30" t="e">
        <f t="shared" si="101"/>
        <v>#REF!</v>
      </c>
      <c r="CE48" s="30" t="e">
        <f t="shared" si="101"/>
        <v>#REF!</v>
      </c>
      <c r="CF48" s="30" t="e">
        <f t="shared" si="101"/>
        <v>#REF!</v>
      </c>
      <c r="CG48" s="30" t="e">
        <f t="shared" si="101"/>
        <v>#REF!</v>
      </c>
      <c r="CH48" s="30" t="e">
        <f t="shared" si="101"/>
        <v>#REF!</v>
      </c>
      <c r="CI48" s="30" t="e">
        <f t="shared" si="101"/>
        <v>#REF!</v>
      </c>
      <c r="CJ48" s="30" t="e">
        <f t="shared" si="101"/>
        <v>#REF!</v>
      </c>
      <c r="CK48" s="30" t="e">
        <f t="shared" si="101"/>
        <v>#REF!</v>
      </c>
      <c r="CL48" s="30" t="e">
        <f t="shared" si="101"/>
        <v>#REF!</v>
      </c>
      <c r="CM48" s="30" t="e">
        <f t="shared" si="101"/>
        <v>#REF!</v>
      </c>
      <c r="CN48" s="30" t="e">
        <f t="shared" si="101"/>
        <v>#REF!</v>
      </c>
      <c r="CO48" s="50" t="e">
        <f t="shared" si="101"/>
        <v>#REF!</v>
      </c>
      <c r="CP48" s="1" t="e">
        <f>SUMIF(#REF!,Overview!$U48,#REF!)</f>
        <v>#REF!</v>
      </c>
      <c r="CQ48" s="1" t="e">
        <f>SUMIF(#REF!,Overview!$U48,#REF!)</f>
        <v>#REF!</v>
      </c>
      <c r="CR48" s="1" t="e">
        <f>SUMIF(#REF!,Overview!$U48,#REF!)</f>
        <v>#REF!</v>
      </c>
      <c r="CS48" s="1" t="e">
        <f>SUMIF(#REF!,Overview!$U48,#REF!)</f>
        <v>#REF!</v>
      </c>
      <c r="CT48" s="1" t="e">
        <f>SUMIF(#REF!,Overview!$U48,#REF!)</f>
        <v>#REF!</v>
      </c>
      <c r="CU48" s="1" t="e">
        <f>SUMIF(#REF!,Overview!$U48,#REF!)</f>
        <v>#REF!</v>
      </c>
      <c r="CV48" s="1" t="e">
        <f>SUMIF(#REF!,Overview!$U48,#REF!)</f>
        <v>#REF!</v>
      </c>
      <c r="CW48" s="1" t="e">
        <f>SUMIF(#REF!,Overview!$U48,#REF!)</f>
        <v>#REF!</v>
      </c>
      <c r="CX48" s="1" t="e">
        <f>SUMIF(#REF!,Overview!$U48,#REF!)</f>
        <v>#REF!</v>
      </c>
      <c r="CY48" s="1" t="e">
        <f>SUMIF(#REF!,Overview!$U48,#REF!)</f>
        <v>#REF!</v>
      </c>
      <c r="CZ48" s="1" t="e">
        <f>SUMIF(#REF!,Overview!$U48,#REF!)</f>
        <v>#REF!</v>
      </c>
      <c r="DA48" s="1" t="e">
        <f>SUMIF(#REF!,Overview!$U48,#REF!)</f>
        <v>#REF!</v>
      </c>
      <c r="DB48" s="1" t="e">
        <f>SUMIF(#REF!,Overview!$U48,#REF!)</f>
        <v>#REF!</v>
      </c>
      <c r="DC48" s="1" t="e">
        <f>SUMIF(#REF!,Overview!$U48,#REF!)</f>
        <v>#REF!</v>
      </c>
      <c r="DD48" s="1" t="e">
        <f>SUMIF(#REF!,Overview!$U48,#REF!)</f>
        <v>#REF!</v>
      </c>
      <c r="DE48" s="5" t="e">
        <f>SUMIF(#REF!,Overview!$U48,#REF!)</f>
        <v>#REF!</v>
      </c>
    </row>
    <row r="49" spans="1:110" ht="17.149999999999999" customHeight="1">
      <c r="A49" s="3" t="s">
        <v>170</v>
      </c>
      <c r="B49" s="14" t="s">
        <v>171</v>
      </c>
      <c r="D49" s="1">
        <v>0</v>
      </c>
      <c r="E49" s="1">
        <v>2.516622238311314E-6</v>
      </c>
      <c r="F49"/>
      <c r="H49" s="1">
        <v>9.4667738192061934E-7</v>
      </c>
      <c r="I49" s="1">
        <v>6.2090254417079902E-5</v>
      </c>
      <c r="J49"/>
      <c r="K49" s="4" t="s">
        <v>17</v>
      </c>
      <c r="L49" s="1" t="s">
        <v>167</v>
      </c>
      <c r="M49" s="1" t="s">
        <v>168</v>
      </c>
      <c r="N49" s="11" t="s">
        <v>51</v>
      </c>
      <c r="O49" s="1" t="s">
        <v>169</v>
      </c>
      <c r="P49" s="1" t="s">
        <v>45</v>
      </c>
      <c r="Q49" s="1" t="s">
        <v>23</v>
      </c>
      <c r="R49" s="36" t="s">
        <v>287</v>
      </c>
      <c r="S49" s="24" t="s">
        <v>24</v>
      </c>
      <c r="T49" s="1" t="s">
        <v>24</v>
      </c>
      <c r="U49" s="4" t="s">
        <v>167</v>
      </c>
      <c r="V49" s="1" t="s">
        <v>168</v>
      </c>
      <c r="W49" s="5" t="s">
        <v>51</v>
      </c>
      <c r="X49" s="5" t="s">
        <v>37</v>
      </c>
      <c r="Y49" s="22" t="s">
        <v>224</v>
      </c>
      <c r="Z49" s="38">
        <f>100</f>
        <v>100</v>
      </c>
      <c r="AA49" s="29"/>
      <c r="AB49" s="29"/>
      <c r="AC49" s="22"/>
      <c r="AD49" s="25" t="e">
        <f>SUMIF(#REF!,Overview!U49,#REF!)</f>
        <v>#REF!</v>
      </c>
      <c r="AE49" s="27" t="e">
        <f>SUMIF(#REF!,Overview!U49,#REF!)</f>
        <v>#REF!</v>
      </c>
      <c r="AF49" s="1" t="e">
        <f>SUMIF(#REF!,Overview!U49,#REF!)</f>
        <v>#REF!</v>
      </c>
      <c r="AG49" s="1" t="e">
        <f>SUMIF(#REF!,Overview!U49,#REF!)</f>
        <v>#REF!</v>
      </c>
      <c r="AH49" s="1" t="e">
        <f>SUMIF(#REF!,Overview!U49,#REF!)</f>
        <v>#REF!</v>
      </c>
      <c r="AI49" s="1" t="e">
        <f>SUMIF(#REF!,Overview!U49,#REF!)</f>
        <v>#REF!</v>
      </c>
      <c r="AJ49" s="1" t="e">
        <f>SUMIF(#REF!,Overview!U49,#REF!)</f>
        <v>#REF!</v>
      </c>
      <c r="AK49" s="1" t="e">
        <f>SUMIF(#REF!,Overview!U49,#REF!)</f>
        <v>#REF!</v>
      </c>
      <c r="AL49" s="1" t="e">
        <f>SUMIF(#REF!,Overview!U49,#REF!)</f>
        <v>#REF!</v>
      </c>
      <c r="AM49" s="1" t="e">
        <f>SUMIF(#REF!,Overview!U49,#REF!)</f>
        <v>#REF!</v>
      </c>
      <c r="AN49" s="1" t="e">
        <f>SUMIF(#REF!,Overview!U49,#REF!)</f>
        <v>#REF!</v>
      </c>
      <c r="AO49" s="1" t="e">
        <f>SUMIF(#REF!,Overview!U49,#REF!)</f>
        <v>#REF!</v>
      </c>
      <c r="AP49" s="1" t="e">
        <f>SUMIF(#REF!,Overview!U49,#REF!)</f>
        <v>#REF!</v>
      </c>
      <c r="AQ49" s="1" t="e">
        <f>SUMIF(#REF!,Overview!U49,#REF!)</f>
        <v>#REF!</v>
      </c>
      <c r="AR49" s="1" t="e">
        <f>SUMIF(#REF!,Overview!U49,#REF!)</f>
        <v>#REF!</v>
      </c>
      <c r="AS49" s="5" t="e">
        <f>SUMIF(#REF!,Overview!U49,#REF!)</f>
        <v>#REF!</v>
      </c>
      <c r="AT49" s="49" t="e">
        <f t="shared" si="99"/>
        <v>#REF!</v>
      </c>
      <c r="AU49" s="30" t="e">
        <f t="shared" si="99"/>
        <v>#REF!</v>
      </c>
      <c r="AV49" s="30" t="e">
        <f t="shared" si="99"/>
        <v>#REF!</v>
      </c>
      <c r="AW49" s="30" t="e">
        <f t="shared" si="99"/>
        <v>#REF!</v>
      </c>
      <c r="AX49" s="30" t="e">
        <f t="shared" si="99"/>
        <v>#REF!</v>
      </c>
      <c r="AY49" s="30" t="e">
        <f t="shared" si="99"/>
        <v>#REF!</v>
      </c>
      <c r="AZ49" s="30" t="e">
        <f t="shared" si="99"/>
        <v>#REF!</v>
      </c>
      <c r="BA49" s="30" t="e">
        <f t="shared" si="99"/>
        <v>#REF!</v>
      </c>
      <c r="BB49" s="30" t="e">
        <f t="shared" si="99"/>
        <v>#REF!</v>
      </c>
      <c r="BC49" s="30" t="e">
        <f t="shared" si="99"/>
        <v>#REF!</v>
      </c>
      <c r="BD49" s="30" t="e">
        <f t="shared" si="99"/>
        <v>#REF!</v>
      </c>
      <c r="BE49" s="30" t="e">
        <f t="shared" si="99"/>
        <v>#REF!</v>
      </c>
      <c r="BF49" s="30" t="e">
        <f t="shared" si="99"/>
        <v>#REF!</v>
      </c>
      <c r="BG49" s="30" t="e">
        <f t="shared" si="99"/>
        <v>#REF!</v>
      </c>
      <c r="BH49" s="30" t="e">
        <f t="shared" si="99"/>
        <v>#REF!</v>
      </c>
      <c r="BI49" s="50" t="e">
        <f t="shared" si="99"/>
        <v>#REF!</v>
      </c>
      <c r="BJ49" s="49" t="e">
        <f t="shared" si="100"/>
        <v>#REF!</v>
      </c>
      <c r="BK49" s="30" t="e">
        <f t="shared" si="100"/>
        <v>#REF!</v>
      </c>
      <c r="BL49" s="30" t="e">
        <f t="shared" si="100"/>
        <v>#REF!</v>
      </c>
      <c r="BM49" s="30" t="e">
        <f t="shared" si="100"/>
        <v>#REF!</v>
      </c>
      <c r="BN49" s="30" t="e">
        <f t="shared" si="100"/>
        <v>#REF!</v>
      </c>
      <c r="BO49" s="30" t="e">
        <f t="shared" si="100"/>
        <v>#REF!</v>
      </c>
      <c r="BP49" s="30" t="e">
        <f t="shared" si="100"/>
        <v>#REF!</v>
      </c>
      <c r="BQ49" s="30" t="e">
        <f t="shared" si="100"/>
        <v>#REF!</v>
      </c>
      <c r="BR49" s="30" t="e">
        <f t="shared" si="100"/>
        <v>#REF!</v>
      </c>
      <c r="BS49" s="30" t="e">
        <f t="shared" si="100"/>
        <v>#REF!</v>
      </c>
      <c r="BT49" s="30" t="e">
        <f t="shared" si="100"/>
        <v>#REF!</v>
      </c>
      <c r="BU49" s="30" t="e">
        <f t="shared" si="100"/>
        <v>#REF!</v>
      </c>
      <c r="BV49" s="30" t="e">
        <f t="shared" si="100"/>
        <v>#REF!</v>
      </c>
      <c r="BW49" s="30" t="e">
        <f t="shared" si="100"/>
        <v>#REF!</v>
      </c>
      <c r="BX49" s="30" t="e">
        <f t="shared" si="100"/>
        <v>#REF!</v>
      </c>
      <c r="BY49" s="50" t="e">
        <f t="shared" si="100"/>
        <v>#REF!</v>
      </c>
      <c r="BZ49" s="49" t="e">
        <f t="shared" si="101"/>
        <v>#REF!</v>
      </c>
      <c r="CA49" s="30" t="e">
        <f t="shared" si="101"/>
        <v>#REF!</v>
      </c>
      <c r="CB49" s="30" t="e">
        <f t="shared" si="101"/>
        <v>#REF!</v>
      </c>
      <c r="CC49" s="30" t="e">
        <f t="shared" si="101"/>
        <v>#REF!</v>
      </c>
      <c r="CD49" s="30" t="e">
        <f t="shared" si="101"/>
        <v>#REF!</v>
      </c>
      <c r="CE49" s="30" t="e">
        <f t="shared" si="101"/>
        <v>#REF!</v>
      </c>
      <c r="CF49" s="30" t="e">
        <f t="shared" si="101"/>
        <v>#REF!</v>
      </c>
      <c r="CG49" s="30" t="e">
        <f t="shared" si="101"/>
        <v>#REF!</v>
      </c>
      <c r="CH49" s="30" t="e">
        <f t="shared" si="101"/>
        <v>#REF!</v>
      </c>
      <c r="CI49" s="30" t="e">
        <f t="shared" si="101"/>
        <v>#REF!</v>
      </c>
      <c r="CJ49" s="30" t="e">
        <f t="shared" si="101"/>
        <v>#REF!</v>
      </c>
      <c r="CK49" s="30" t="e">
        <f t="shared" si="101"/>
        <v>#REF!</v>
      </c>
      <c r="CL49" s="30" t="e">
        <f t="shared" si="101"/>
        <v>#REF!</v>
      </c>
      <c r="CM49" s="30" t="e">
        <f t="shared" si="101"/>
        <v>#REF!</v>
      </c>
      <c r="CN49" s="30" t="e">
        <f t="shared" si="101"/>
        <v>#REF!</v>
      </c>
      <c r="CO49" s="50" t="e">
        <f t="shared" si="101"/>
        <v>#REF!</v>
      </c>
      <c r="CP49" s="1" t="e">
        <f>SUMIF(#REF!,Overview!$U49,#REF!)</f>
        <v>#REF!</v>
      </c>
      <c r="CQ49" s="1" t="e">
        <f>SUMIF(#REF!,Overview!$U49,#REF!)</f>
        <v>#REF!</v>
      </c>
      <c r="CR49" s="1" t="e">
        <f>SUMIF(#REF!,Overview!$U49,#REF!)</f>
        <v>#REF!</v>
      </c>
      <c r="CS49" s="1" t="e">
        <f>SUMIF(#REF!,Overview!$U49,#REF!)</f>
        <v>#REF!</v>
      </c>
      <c r="CT49" s="1" t="e">
        <f>SUMIF(#REF!,Overview!$U49,#REF!)</f>
        <v>#REF!</v>
      </c>
      <c r="CU49" s="1" t="e">
        <f>SUMIF(#REF!,Overview!$U49,#REF!)</f>
        <v>#REF!</v>
      </c>
      <c r="CV49" s="1" t="e">
        <f>SUMIF(#REF!,Overview!$U49,#REF!)</f>
        <v>#REF!</v>
      </c>
      <c r="CW49" s="1" t="e">
        <f>SUMIF(#REF!,Overview!$U49,#REF!)</f>
        <v>#REF!</v>
      </c>
      <c r="CX49" s="1" t="e">
        <f>SUMIF(#REF!,Overview!$U49,#REF!)</f>
        <v>#REF!</v>
      </c>
      <c r="CY49" s="1" t="e">
        <f>SUMIF(#REF!,Overview!$U49,#REF!)</f>
        <v>#REF!</v>
      </c>
      <c r="CZ49" s="1" t="e">
        <f>SUMIF(#REF!,Overview!$U49,#REF!)</f>
        <v>#REF!</v>
      </c>
      <c r="DA49" s="1" t="e">
        <f>SUMIF(#REF!,Overview!$U49,#REF!)</f>
        <v>#REF!</v>
      </c>
      <c r="DB49" s="1" t="e">
        <f>SUMIF(#REF!,Overview!$U49,#REF!)</f>
        <v>#REF!</v>
      </c>
      <c r="DC49" s="1" t="e">
        <f>SUMIF(#REF!,Overview!$U49,#REF!)</f>
        <v>#REF!</v>
      </c>
      <c r="DD49" s="1" t="e">
        <f>SUMIF(#REF!,Overview!$U49,#REF!)</f>
        <v>#REF!</v>
      </c>
      <c r="DE49" s="5" t="e">
        <f>SUMIF(#REF!,Overview!$U49,#REF!)</f>
        <v>#REF!</v>
      </c>
    </row>
    <row r="50" spans="1:110" ht="22" customHeight="1">
      <c r="A50" s="3" t="s">
        <v>172</v>
      </c>
      <c r="B50" s="14" t="s">
        <v>173</v>
      </c>
      <c r="C50" s="4">
        <v>2.2227403538937689</v>
      </c>
      <c r="D50" s="1">
        <v>3.668161168747555</v>
      </c>
      <c r="E50" s="1">
        <v>4.4454793358204716</v>
      </c>
      <c r="F50">
        <v>2.2227390268250589</v>
      </c>
      <c r="G50" s="4">
        <v>4037.3864366325538</v>
      </c>
      <c r="H50" s="1">
        <v>7319.5828198719801</v>
      </c>
      <c r="I50" s="1">
        <v>8040.2881417230337</v>
      </c>
      <c r="J50">
        <v>4116.9967720241038</v>
      </c>
      <c r="K50" s="4" t="s">
        <v>17</v>
      </c>
      <c r="L50" s="1" t="s">
        <v>174</v>
      </c>
      <c r="M50" s="1" t="s">
        <v>175</v>
      </c>
      <c r="N50" s="11" t="s">
        <v>71</v>
      </c>
      <c r="O50" s="1" t="s">
        <v>176</v>
      </c>
      <c r="P50" s="1" t="s">
        <v>45</v>
      </c>
      <c r="Q50" s="1" t="s">
        <v>23</v>
      </c>
      <c r="R50" s="245" t="s">
        <v>304</v>
      </c>
      <c r="S50" s="24" t="s">
        <v>24</v>
      </c>
      <c r="T50" s="246" t="s">
        <v>177</v>
      </c>
      <c r="U50" s="4" t="s">
        <v>270</v>
      </c>
      <c r="V50" s="1" t="s">
        <v>271</v>
      </c>
      <c r="W50" s="5" t="s">
        <v>37</v>
      </c>
      <c r="X50" s="5" t="s">
        <v>334</v>
      </c>
      <c r="Y50" s="22" t="s">
        <v>211</v>
      </c>
      <c r="Z50" s="17">
        <f>1000/2</f>
        <v>500</v>
      </c>
      <c r="AA50" s="29"/>
      <c r="AB50" s="29"/>
      <c r="AC50" s="22"/>
      <c r="AD50" s="25" t="e">
        <f>SUMIF(#REF!,Overview!U50,#REF!)</f>
        <v>#REF!</v>
      </c>
      <c r="AE50" s="27" t="e">
        <f>SUMIF(#REF!,Overview!U50,#REF!)</f>
        <v>#REF!</v>
      </c>
      <c r="AF50" s="1" t="e">
        <f>SUMIF(#REF!,Overview!U50,#REF!)</f>
        <v>#REF!</v>
      </c>
      <c r="AG50" s="1" t="e">
        <f>SUMIF(#REF!,Overview!U50,#REF!)</f>
        <v>#REF!</v>
      </c>
      <c r="AH50" s="1" t="e">
        <f>SUMIF(#REF!,Overview!U50,#REF!)</f>
        <v>#REF!</v>
      </c>
      <c r="AI50" s="1" t="e">
        <f>SUMIF(#REF!,Overview!U50,#REF!)</f>
        <v>#REF!</v>
      </c>
      <c r="AJ50" s="1" t="e">
        <f>SUMIF(#REF!,Overview!U50,#REF!)</f>
        <v>#REF!</v>
      </c>
      <c r="AK50" s="1" t="e">
        <f>SUMIF(#REF!,Overview!U50,#REF!)</f>
        <v>#REF!</v>
      </c>
      <c r="AL50" s="1" t="e">
        <f>SUMIF(#REF!,Overview!U50,#REF!)</f>
        <v>#REF!</v>
      </c>
      <c r="AM50" s="1" t="e">
        <f>SUMIF(#REF!,Overview!U50,#REF!)</f>
        <v>#REF!</v>
      </c>
      <c r="AN50" s="1" t="e">
        <f>SUMIF(#REF!,Overview!U50,#REF!)</f>
        <v>#REF!</v>
      </c>
      <c r="AO50" s="1" t="e">
        <f>SUMIF(#REF!,Overview!U50,#REF!)</f>
        <v>#REF!</v>
      </c>
      <c r="AP50" s="1" t="e">
        <f>SUMIF(#REF!,Overview!U50,#REF!)</f>
        <v>#REF!</v>
      </c>
      <c r="AQ50" s="1" t="e">
        <f>SUMIF(#REF!,Overview!U50,#REF!)</f>
        <v>#REF!</v>
      </c>
      <c r="AR50" s="1" t="e">
        <f>SUMIF(#REF!,Overview!U50,#REF!)</f>
        <v>#REF!</v>
      </c>
      <c r="AS50" s="5" t="e">
        <f>SUMIF(#REF!,Overview!U50,#REF!)</f>
        <v>#REF!</v>
      </c>
      <c r="AT50" s="49" t="e">
        <f t="shared" si="99"/>
        <v>#REF!</v>
      </c>
      <c r="AU50" s="30" t="e">
        <f t="shared" si="99"/>
        <v>#REF!</v>
      </c>
      <c r="AV50" s="30" t="e">
        <f t="shared" si="99"/>
        <v>#REF!</v>
      </c>
      <c r="AW50" s="30" t="e">
        <f t="shared" si="99"/>
        <v>#REF!</v>
      </c>
      <c r="AX50" s="30" t="e">
        <f t="shared" si="99"/>
        <v>#REF!</v>
      </c>
      <c r="AY50" s="30" t="e">
        <f t="shared" si="99"/>
        <v>#REF!</v>
      </c>
      <c r="AZ50" s="30" t="e">
        <f t="shared" si="99"/>
        <v>#REF!</v>
      </c>
      <c r="BA50" s="30" t="e">
        <f t="shared" si="99"/>
        <v>#REF!</v>
      </c>
      <c r="BB50" s="30" t="e">
        <f t="shared" si="99"/>
        <v>#REF!</v>
      </c>
      <c r="BC50" s="30" t="e">
        <f t="shared" si="99"/>
        <v>#REF!</v>
      </c>
      <c r="BD50" s="30" t="e">
        <f t="shared" si="99"/>
        <v>#REF!</v>
      </c>
      <c r="BE50" s="30" t="e">
        <f t="shared" si="99"/>
        <v>#REF!</v>
      </c>
      <c r="BF50" s="30" t="e">
        <f t="shared" si="99"/>
        <v>#REF!</v>
      </c>
      <c r="BG50" s="30" t="e">
        <f t="shared" si="99"/>
        <v>#REF!</v>
      </c>
      <c r="BH50" s="30" t="e">
        <f t="shared" si="99"/>
        <v>#REF!</v>
      </c>
      <c r="BI50" s="50" t="e">
        <f t="shared" si="99"/>
        <v>#REF!</v>
      </c>
      <c r="BJ50" s="49" t="e">
        <f t="shared" si="100"/>
        <v>#REF!</v>
      </c>
      <c r="BK50" s="30" t="e">
        <f t="shared" si="100"/>
        <v>#REF!</v>
      </c>
      <c r="BL50" s="30" t="e">
        <f t="shared" si="100"/>
        <v>#REF!</v>
      </c>
      <c r="BM50" s="30" t="e">
        <f t="shared" si="100"/>
        <v>#REF!</v>
      </c>
      <c r="BN50" s="30" t="e">
        <f t="shared" si="100"/>
        <v>#REF!</v>
      </c>
      <c r="BO50" s="30" t="e">
        <f t="shared" si="100"/>
        <v>#REF!</v>
      </c>
      <c r="BP50" s="30" t="e">
        <f t="shared" si="100"/>
        <v>#REF!</v>
      </c>
      <c r="BQ50" s="30" t="e">
        <f t="shared" si="100"/>
        <v>#REF!</v>
      </c>
      <c r="BR50" s="30" t="e">
        <f t="shared" si="100"/>
        <v>#REF!</v>
      </c>
      <c r="BS50" s="30" t="e">
        <f t="shared" si="100"/>
        <v>#REF!</v>
      </c>
      <c r="BT50" s="30" t="e">
        <f t="shared" si="100"/>
        <v>#REF!</v>
      </c>
      <c r="BU50" s="30" t="e">
        <f t="shared" si="100"/>
        <v>#REF!</v>
      </c>
      <c r="BV50" s="30" t="e">
        <f t="shared" si="100"/>
        <v>#REF!</v>
      </c>
      <c r="BW50" s="30" t="e">
        <f t="shared" si="100"/>
        <v>#REF!</v>
      </c>
      <c r="BX50" s="30" t="e">
        <f t="shared" si="100"/>
        <v>#REF!</v>
      </c>
      <c r="BY50" s="50" t="e">
        <f t="shared" si="100"/>
        <v>#REF!</v>
      </c>
      <c r="BZ50" s="49" t="e">
        <f t="shared" si="101"/>
        <v>#REF!</v>
      </c>
      <c r="CA50" s="30" t="e">
        <f t="shared" si="101"/>
        <v>#REF!</v>
      </c>
      <c r="CB50" s="30" t="e">
        <f t="shared" si="101"/>
        <v>#REF!</v>
      </c>
      <c r="CC50" s="30" t="e">
        <f t="shared" si="101"/>
        <v>#REF!</v>
      </c>
      <c r="CD50" s="30" t="e">
        <f t="shared" si="101"/>
        <v>#REF!</v>
      </c>
      <c r="CE50" s="30" t="e">
        <f t="shared" si="101"/>
        <v>#REF!</v>
      </c>
      <c r="CF50" s="30" t="e">
        <f t="shared" si="101"/>
        <v>#REF!</v>
      </c>
      <c r="CG50" s="30" t="e">
        <f t="shared" si="101"/>
        <v>#REF!</v>
      </c>
      <c r="CH50" s="30" t="e">
        <f t="shared" si="101"/>
        <v>#REF!</v>
      </c>
      <c r="CI50" s="30" t="e">
        <f t="shared" si="101"/>
        <v>#REF!</v>
      </c>
      <c r="CJ50" s="30" t="e">
        <f t="shared" si="101"/>
        <v>#REF!</v>
      </c>
      <c r="CK50" s="30" t="e">
        <f t="shared" si="101"/>
        <v>#REF!</v>
      </c>
      <c r="CL50" s="30" t="e">
        <f t="shared" si="101"/>
        <v>#REF!</v>
      </c>
      <c r="CM50" s="30" t="e">
        <f t="shared" si="101"/>
        <v>#REF!</v>
      </c>
      <c r="CN50" s="30" t="e">
        <f t="shared" si="101"/>
        <v>#REF!</v>
      </c>
      <c r="CO50" s="50" t="e">
        <f t="shared" si="101"/>
        <v>#REF!</v>
      </c>
      <c r="CP50" s="1" t="e">
        <f>SUMIF(#REF!,Overview!$U50,#REF!)</f>
        <v>#REF!</v>
      </c>
      <c r="CQ50" s="1" t="e">
        <f>SUMIF(#REF!,Overview!$U50,#REF!)</f>
        <v>#REF!</v>
      </c>
      <c r="CR50" s="1" t="e">
        <f>SUMIF(#REF!,Overview!$U50,#REF!)</f>
        <v>#REF!</v>
      </c>
      <c r="CS50" s="1" t="e">
        <f>SUMIF(#REF!,Overview!$U50,#REF!)</f>
        <v>#REF!</v>
      </c>
      <c r="CT50" s="1" t="e">
        <f>SUMIF(#REF!,Overview!$U50,#REF!)</f>
        <v>#REF!</v>
      </c>
      <c r="CU50" s="1" t="e">
        <f>SUMIF(#REF!,Overview!$U50,#REF!)</f>
        <v>#REF!</v>
      </c>
      <c r="CV50" s="1" t="e">
        <f>SUMIF(#REF!,Overview!$U50,#REF!)</f>
        <v>#REF!</v>
      </c>
      <c r="CW50" s="1" t="e">
        <f>SUMIF(#REF!,Overview!$U50,#REF!)</f>
        <v>#REF!</v>
      </c>
      <c r="CX50" s="1" t="e">
        <f>SUMIF(#REF!,Overview!$U50,#REF!)</f>
        <v>#REF!</v>
      </c>
      <c r="CY50" s="1" t="e">
        <f>SUMIF(#REF!,Overview!$U50,#REF!)</f>
        <v>#REF!</v>
      </c>
      <c r="CZ50" s="1" t="e">
        <f>SUMIF(#REF!,Overview!$U50,#REF!)</f>
        <v>#REF!</v>
      </c>
      <c r="DA50" s="1" t="e">
        <f>SUMIF(#REF!,Overview!$U50,#REF!)</f>
        <v>#REF!</v>
      </c>
      <c r="DB50" s="1" t="e">
        <f>SUMIF(#REF!,Overview!$U50,#REF!)</f>
        <v>#REF!</v>
      </c>
      <c r="DC50" s="1" t="e">
        <f>SUMIF(#REF!,Overview!$U50,#REF!)</f>
        <v>#REF!</v>
      </c>
      <c r="DD50" s="1" t="e">
        <f>SUMIF(#REF!,Overview!$U50,#REF!)</f>
        <v>#REF!</v>
      </c>
      <c r="DE50" s="5" t="e">
        <f>SUMIF(#REF!,Overview!$U50,#REF!)</f>
        <v>#REF!</v>
      </c>
    </row>
    <row r="51" spans="1:110" ht="22" customHeight="1">
      <c r="A51" s="3" t="s">
        <v>172</v>
      </c>
      <c r="B51" s="14" t="s">
        <v>178</v>
      </c>
      <c r="C51" s="4">
        <v>2.2227403538937689</v>
      </c>
      <c r="D51" s="1">
        <v>3.668161168747555</v>
      </c>
      <c r="E51" s="1">
        <v>4.4454793358204716</v>
      </c>
      <c r="F51">
        <v>2.2227390268250589</v>
      </c>
      <c r="G51" s="4">
        <v>4037.3864366325538</v>
      </c>
      <c r="H51" s="1">
        <v>7319.5828198719801</v>
      </c>
      <c r="I51" s="1">
        <v>8040.2881417230337</v>
      </c>
      <c r="J51">
        <v>4116.9967720241038</v>
      </c>
      <c r="K51" s="4" t="s">
        <v>17</v>
      </c>
      <c r="L51" s="1" t="s">
        <v>179</v>
      </c>
      <c r="M51" s="1" t="s">
        <v>180</v>
      </c>
      <c r="N51" s="11" t="s">
        <v>181</v>
      </c>
      <c r="O51" s="1" t="s">
        <v>176</v>
      </c>
      <c r="P51" s="1" t="s">
        <v>45</v>
      </c>
      <c r="Q51" s="1" t="s">
        <v>23</v>
      </c>
      <c r="R51" s="245"/>
      <c r="S51" s="24" t="s">
        <v>24</v>
      </c>
      <c r="T51" s="246"/>
      <c r="X51" s="5"/>
      <c r="Y51" s="22"/>
      <c r="Z51" s="17"/>
      <c r="AA51" s="29"/>
      <c r="AB51" s="29"/>
      <c r="AC51" s="22"/>
      <c r="AD51" s="25"/>
      <c r="AE51" s="27"/>
      <c r="AK51" s="1" t="e">
        <f>SUMIF(#REF!,Overview!U51,#REF!)</f>
        <v>#REF!</v>
      </c>
      <c r="AL51" s="1" t="e">
        <f>SUMIF(#REF!,Overview!U51,#REF!)</f>
        <v>#REF!</v>
      </c>
      <c r="AS51" s="5"/>
      <c r="BI51" s="5"/>
      <c r="BY51" s="5"/>
      <c r="CO51" s="5"/>
      <c r="CP51" s="1" t="e">
        <f>SUMIF(#REF!,Overview!$U51,#REF!)</f>
        <v>#REF!</v>
      </c>
      <c r="CQ51" s="1" t="e">
        <f>SUMIF(#REF!,Overview!$U51,#REF!)</f>
        <v>#REF!</v>
      </c>
      <c r="CR51" s="1" t="e">
        <f>SUMIF(#REF!,Overview!$U51,#REF!)</f>
        <v>#REF!</v>
      </c>
      <c r="CS51" s="1" t="e">
        <f>SUMIF(#REF!,Overview!$U51,#REF!)</f>
        <v>#REF!</v>
      </c>
      <c r="CT51" s="1" t="e">
        <f>SUMIF(#REF!,Overview!$U51,#REF!)</f>
        <v>#REF!</v>
      </c>
      <c r="CU51" s="1" t="e">
        <f>SUMIF(#REF!,Overview!$U51,#REF!)</f>
        <v>#REF!</v>
      </c>
      <c r="CV51" s="1" t="e">
        <f>SUMIF(#REF!,Overview!$U51,#REF!)</f>
        <v>#REF!</v>
      </c>
      <c r="CW51" s="1" t="e">
        <f>SUMIF(#REF!,Overview!$U51,#REF!)</f>
        <v>#REF!</v>
      </c>
      <c r="CX51" s="1" t="e">
        <f>SUMIF(#REF!,Overview!$U51,#REF!)</f>
        <v>#REF!</v>
      </c>
      <c r="CY51" s="1" t="e">
        <f>SUMIF(#REF!,Overview!$U51,#REF!)</f>
        <v>#REF!</v>
      </c>
      <c r="CZ51" s="1" t="e">
        <f>SUMIF(#REF!,Overview!$U51,#REF!)</f>
        <v>#REF!</v>
      </c>
      <c r="DA51" s="1" t="e">
        <f>SUMIF(#REF!,Overview!$U51,#REF!)</f>
        <v>#REF!</v>
      </c>
      <c r="DB51" s="1" t="e">
        <f>SUMIF(#REF!,Overview!$U51,#REF!)</f>
        <v>#REF!</v>
      </c>
      <c r="DC51" s="1" t="e">
        <f>SUMIF(#REF!,Overview!$U51,#REF!)</f>
        <v>#REF!</v>
      </c>
      <c r="DD51" s="1" t="e">
        <f>SUMIF(#REF!,Overview!$U51,#REF!)</f>
        <v>#REF!</v>
      </c>
      <c r="DE51" s="5" t="e">
        <f>SUMIF(#REF!,Overview!$U51,#REF!)</f>
        <v>#REF!</v>
      </c>
    </row>
    <row r="52" spans="1:110" ht="29">
      <c r="A52" s="3" t="s">
        <v>182</v>
      </c>
      <c r="B52" s="14" t="s">
        <v>183</v>
      </c>
      <c r="D52" s="1">
        <v>-2.1066637643368799E-7</v>
      </c>
      <c r="E52" s="1">
        <v>5.6500932843484009E-7</v>
      </c>
      <c r="F52" s="5"/>
      <c r="H52" s="1">
        <v>5.2581598090645203E-5</v>
      </c>
      <c r="I52" s="1">
        <v>1.861704545251008E-3</v>
      </c>
      <c r="K52" s="4" t="s">
        <v>17</v>
      </c>
      <c r="L52" s="1" t="s">
        <v>152</v>
      </c>
      <c r="M52" s="1" t="s">
        <v>153</v>
      </c>
      <c r="N52" s="11" t="s">
        <v>71</v>
      </c>
      <c r="O52" s="1" t="s">
        <v>154</v>
      </c>
      <c r="P52" s="1" t="s">
        <v>45</v>
      </c>
      <c r="Q52" s="1" t="s">
        <v>23</v>
      </c>
      <c r="R52" s="36" t="s">
        <v>274</v>
      </c>
      <c r="S52" s="24" t="s">
        <v>24</v>
      </c>
      <c r="T52" s="1" t="s">
        <v>24</v>
      </c>
      <c r="U52" s="4" t="s">
        <v>152</v>
      </c>
      <c r="V52" s="1" t="s">
        <v>153</v>
      </c>
      <c r="W52" s="5" t="s">
        <v>71</v>
      </c>
      <c r="X52" s="5" t="s">
        <v>334</v>
      </c>
      <c r="Y52" s="22" t="s">
        <v>225</v>
      </c>
      <c r="Z52" s="38">
        <f>1000000/570</f>
        <v>1754.3859649122808</v>
      </c>
      <c r="AA52" s="29"/>
      <c r="AB52" s="29"/>
      <c r="AC52" s="22"/>
      <c r="AD52" s="25" t="e">
        <f>SUMIF(#REF!,Overview!U52,#REF!)</f>
        <v>#REF!</v>
      </c>
      <c r="AE52" s="27" t="e">
        <f>SUMIF(#REF!,Overview!U52,#REF!)</f>
        <v>#REF!</v>
      </c>
      <c r="AF52" s="1" t="e">
        <f>SUMIF(#REF!,Overview!U52,#REF!)</f>
        <v>#REF!</v>
      </c>
      <c r="AG52" s="1" t="e">
        <f>SUMIF(#REF!,Overview!U52,#REF!)</f>
        <v>#REF!</v>
      </c>
      <c r="AH52" s="1" t="e">
        <f>SUMIF(#REF!,Overview!U52,#REF!)</f>
        <v>#REF!</v>
      </c>
      <c r="AI52" s="1" t="e">
        <f>SUMIF(#REF!,Overview!U52,#REF!)</f>
        <v>#REF!</v>
      </c>
      <c r="AJ52" s="1" t="e">
        <f>SUMIF(#REF!,Overview!U52,#REF!)</f>
        <v>#REF!</v>
      </c>
      <c r="AK52" s="1" t="e">
        <f>SUMIF(#REF!,Overview!U52,#REF!)</f>
        <v>#REF!</v>
      </c>
      <c r="AL52" s="1" t="e">
        <f>SUMIF(#REF!,Overview!U52,#REF!)</f>
        <v>#REF!</v>
      </c>
      <c r="AM52" s="1" t="e">
        <f>SUMIF(#REF!,Overview!U52,#REF!)</f>
        <v>#REF!</v>
      </c>
      <c r="AN52" s="1" t="e">
        <f>SUMIF(#REF!,Overview!U52,#REF!)</f>
        <v>#REF!</v>
      </c>
      <c r="AO52" s="1" t="e">
        <f>SUMIF(#REF!,Overview!U52,#REF!)</f>
        <v>#REF!</v>
      </c>
      <c r="AP52" s="1" t="e">
        <f>SUMIF(#REF!,Overview!U52,#REF!)</f>
        <v>#REF!</v>
      </c>
      <c r="AQ52" s="1" t="e">
        <f>SUMIF(#REF!,Overview!U52,#REF!)</f>
        <v>#REF!</v>
      </c>
      <c r="AR52" s="1" t="e">
        <f>SUMIF(#REF!,Overview!U52,#REF!)</f>
        <v>#REF!</v>
      </c>
      <c r="AS52" s="5" t="e">
        <f>SUMIF(#REF!,Overview!U52,#REF!)</f>
        <v>#REF!</v>
      </c>
      <c r="AT52" s="49" t="e">
        <f t="shared" ref="AT52:BI53" si="102">AD52*$Z52*$C52/30</f>
        <v>#REF!</v>
      </c>
      <c r="AU52" s="30" t="e">
        <f t="shared" si="102"/>
        <v>#REF!</v>
      </c>
      <c r="AV52" s="30" t="e">
        <f t="shared" si="102"/>
        <v>#REF!</v>
      </c>
      <c r="AW52" s="30" t="e">
        <f t="shared" si="102"/>
        <v>#REF!</v>
      </c>
      <c r="AX52" s="30" t="e">
        <f t="shared" si="102"/>
        <v>#REF!</v>
      </c>
      <c r="AY52" s="30" t="e">
        <f t="shared" si="102"/>
        <v>#REF!</v>
      </c>
      <c r="AZ52" s="30" t="e">
        <f t="shared" si="102"/>
        <v>#REF!</v>
      </c>
      <c r="BA52" s="30" t="e">
        <f t="shared" si="102"/>
        <v>#REF!</v>
      </c>
      <c r="BB52" s="30" t="e">
        <f t="shared" si="102"/>
        <v>#REF!</v>
      </c>
      <c r="BC52" s="30" t="e">
        <f t="shared" si="102"/>
        <v>#REF!</v>
      </c>
      <c r="BD52" s="30" t="e">
        <f t="shared" si="102"/>
        <v>#REF!</v>
      </c>
      <c r="BE52" s="30" t="e">
        <f t="shared" si="102"/>
        <v>#REF!</v>
      </c>
      <c r="BF52" s="30" t="e">
        <f t="shared" si="102"/>
        <v>#REF!</v>
      </c>
      <c r="BG52" s="30" t="e">
        <f t="shared" si="102"/>
        <v>#REF!</v>
      </c>
      <c r="BH52" s="30" t="e">
        <f t="shared" si="102"/>
        <v>#REF!</v>
      </c>
      <c r="BI52" s="50" t="e">
        <f t="shared" si="102"/>
        <v>#REF!</v>
      </c>
      <c r="BJ52" s="49" t="e">
        <f t="shared" ref="BJ52:BY53" si="103">AD52*$Z52*$D52/30</f>
        <v>#REF!</v>
      </c>
      <c r="BK52" s="30" t="e">
        <f t="shared" si="103"/>
        <v>#REF!</v>
      </c>
      <c r="BL52" s="30" t="e">
        <f t="shared" si="103"/>
        <v>#REF!</v>
      </c>
      <c r="BM52" s="30" t="e">
        <f t="shared" si="103"/>
        <v>#REF!</v>
      </c>
      <c r="BN52" s="30" t="e">
        <f t="shared" si="103"/>
        <v>#REF!</v>
      </c>
      <c r="BO52" s="30" t="e">
        <f t="shared" si="103"/>
        <v>#REF!</v>
      </c>
      <c r="BP52" s="30" t="e">
        <f t="shared" si="103"/>
        <v>#REF!</v>
      </c>
      <c r="BQ52" s="30" t="e">
        <f t="shared" si="103"/>
        <v>#REF!</v>
      </c>
      <c r="BR52" s="30" t="e">
        <f t="shared" si="103"/>
        <v>#REF!</v>
      </c>
      <c r="BS52" s="30" t="e">
        <f t="shared" si="103"/>
        <v>#REF!</v>
      </c>
      <c r="BT52" s="30" t="e">
        <f t="shared" si="103"/>
        <v>#REF!</v>
      </c>
      <c r="BU52" s="30" t="e">
        <f t="shared" si="103"/>
        <v>#REF!</v>
      </c>
      <c r="BV52" s="30" t="e">
        <f t="shared" si="103"/>
        <v>#REF!</v>
      </c>
      <c r="BW52" s="30" t="e">
        <f t="shared" si="103"/>
        <v>#REF!</v>
      </c>
      <c r="BX52" s="30" t="e">
        <f t="shared" si="103"/>
        <v>#REF!</v>
      </c>
      <c r="BY52" s="50" t="e">
        <f t="shared" si="103"/>
        <v>#REF!</v>
      </c>
      <c r="BZ52" s="49" t="e">
        <f t="shared" ref="BZ52:CO53" si="104">AD52*$Z52*$E52/30</f>
        <v>#REF!</v>
      </c>
      <c r="CA52" s="30" t="e">
        <f t="shared" si="104"/>
        <v>#REF!</v>
      </c>
      <c r="CB52" s="30" t="e">
        <f t="shared" si="104"/>
        <v>#REF!</v>
      </c>
      <c r="CC52" s="30" t="e">
        <f t="shared" si="104"/>
        <v>#REF!</v>
      </c>
      <c r="CD52" s="30" t="e">
        <f t="shared" si="104"/>
        <v>#REF!</v>
      </c>
      <c r="CE52" s="30" t="e">
        <f t="shared" si="104"/>
        <v>#REF!</v>
      </c>
      <c r="CF52" s="30" t="e">
        <f t="shared" si="104"/>
        <v>#REF!</v>
      </c>
      <c r="CG52" s="30" t="e">
        <f t="shared" si="104"/>
        <v>#REF!</v>
      </c>
      <c r="CH52" s="30" t="e">
        <f t="shared" si="104"/>
        <v>#REF!</v>
      </c>
      <c r="CI52" s="30" t="e">
        <f t="shared" si="104"/>
        <v>#REF!</v>
      </c>
      <c r="CJ52" s="30" t="e">
        <f t="shared" si="104"/>
        <v>#REF!</v>
      </c>
      <c r="CK52" s="30" t="e">
        <f t="shared" si="104"/>
        <v>#REF!</v>
      </c>
      <c r="CL52" s="30" t="e">
        <f t="shared" si="104"/>
        <v>#REF!</v>
      </c>
      <c r="CM52" s="30" t="e">
        <f t="shared" si="104"/>
        <v>#REF!</v>
      </c>
      <c r="CN52" s="30" t="e">
        <f t="shared" si="104"/>
        <v>#REF!</v>
      </c>
      <c r="CO52" s="50" t="e">
        <f t="shared" si="104"/>
        <v>#REF!</v>
      </c>
      <c r="CP52" s="1" t="e">
        <f>SUMIF(#REF!,Overview!$U52,#REF!)</f>
        <v>#REF!</v>
      </c>
      <c r="CQ52" s="1" t="e">
        <f>SUMIF(#REF!,Overview!$U52,#REF!)</f>
        <v>#REF!</v>
      </c>
      <c r="CR52" s="1" t="e">
        <f>SUMIF(#REF!,Overview!$U52,#REF!)</f>
        <v>#REF!</v>
      </c>
      <c r="CS52" s="1" t="e">
        <f>SUMIF(#REF!,Overview!$U52,#REF!)</f>
        <v>#REF!</v>
      </c>
      <c r="CT52" s="1" t="e">
        <f>SUMIF(#REF!,Overview!$U52,#REF!)</f>
        <v>#REF!</v>
      </c>
      <c r="CU52" s="1" t="e">
        <f>SUMIF(#REF!,Overview!$U52,#REF!)</f>
        <v>#REF!</v>
      </c>
      <c r="CV52" s="1" t="e">
        <f>SUMIF(#REF!,Overview!$U52,#REF!)</f>
        <v>#REF!</v>
      </c>
      <c r="CW52" s="1" t="e">
        <f>SUMIF(#REF!,Overview!$U52,#REF!)</f>
        <v>#REF!</v>
      </c>
      <c r="CX52" s="1" t="e">
        <f>SUMIF(#REF!,Overview!$U52,#REF!)</f>
        <v>#REF!</v>
      </c>
      <c r="CY52" s="1" t="e">
        <f>SUMIF(#REF!,Overview!$U52,#REF!)</f>
        <v>#REF!</v>
      </c>
      <c r="CZ52" s="1" t="e">
        <f>SUMIF(#REF!,Overview!$U52,#REF!)</f>
        <v>#REF!</v>
      </c>
      <c r="DA52" s="1" t="e">
        <f>SUMIF(#REF!,Overview!$U52,#REF!)</f>
        <v>#REF!</v>
      </c>
      <c r="DB52" s="1" t="e">
        <f>SUMIF(#REF!,Overview!$U52,#REF!)</f>
        <v>#REF!</v>
      </c>
      <c r="DC52" s="1" t="e">
        <f>SUMIF(#REF!,Overview!$U52,#REF!)</f>
        <v>#REF!</v>
      </c>
      <c r="DD52" s="1" t="e">
        <f>SUMIF(#REF!,Overview!$U52,#REF!)</f>
        <v>#REF!</v>
      </c>
      <c r="DE52" s="5" t="e">
        <f>SUMIF(#REF!,Overview!$U52,#REF!)</f>
        <v>#REF!</v>
      </c>
    </row>
    <row r="53" spans="1:110" ht="29">
      <c r="A53" s="3" t="s">
        <v>184</v>
      </c>
      <c r="B53" s="14" t="s">
        <v>183</v>
      </c>
      <c r="D53" s="1">
        <v>0</v>
      </c>
      <c r="E53" s="1">
        <v>4.127756342859036</v>
      </c>
      <c r="F53" s="5"/>
      <c r="H53" s="1">
        <v>1.342509885496555E-4</v>
      </c>
      <c r="I53" s="1">
        <v>7062.6970268932982</v>
      </c>
      <c r="K53" s="4" t="s">
        <v>17</v>
      </c>
      <c r="L53" s="1" t="s">
        <v>152</v>
      </c>
      <c r="M53" s="1" t="s">
        <v>153</v>
      </c>
      <c r="N53" s="11" t="s">
        <v>71</v>
      </c>
      <c r="O53" s="1" t="s">
        <v>154</v>
      </c>
      <c r="P53" s="1" t="s">
        <v>45</v>
      </c>
      <c r="Q53" s="1" t="s">
        <v>23</v>
      </c>
      <c r="R53" s="36" t="s">
        <v>274</v>
      </c>
      <c r="S53" s="24" t="s">
        <v>24</v>
      </c>
      <c r="T53" s="1" t="s">
        <v>24</v>
      </c>
      <c r="U53" s="4" t="s">
        <v>152</v>
      </c>
      <c r="V53" s="1" t="s">
        <v>153</v>
      </c>
      <c r="W53" s="5" t="s">
        <v>71</v>
      </c>
      <c r="X53" s="5" t="s">
        <v>334</v>
      </c>
      <c r="Y53" s="22" t="s">
        <v>225</v>
      </c>
      <c r="Z53" s="38">
        <f>1000000/570</f>
        <v>1754.3859649122808</v>
      </c>
      <c r="AA53" s="29"/>
      <c r="AB53" s="29"/>
      <c r="AC53" s="22"/>
      <c r="AD53" s="25" t="e">
        <f>SUMIF(#REF!,Overview!U53,#REF!)</f>
        <v>#REF!</v>
      </c>
      <c r="AE53" s="27" t="e">
        <f>SUMIF(#REF!,Overview!U53,#REF!)</f>
        <v>#REF!</v>
      </c>
      <c r="AF53" s="1" t="e">
        <f>SUMIF(#REF!,Overview!U53,#REF!)</f>
        <v>#REF!</v>
      </c>
      <c r="AG53" s="1" t="e">
        <f>SUMIF(#REF!,Overview!U53,#REF!)</f>
        <v>#REF!</v>
      </c>
      <c r="AH53" s="1" t="e">
        <f>SUMIF(#REF!,Overview!U53,#REF!)</f>
        <v>#REF!</v>
      </c>
      <c r="AI53" s="1" t="e">
        <f>SUMIF(#REF!,Overview!U53,#REF!)</f>
        <v>#REF!</v>
      </c>
      <c r="AJ53" s="1" t="e">
        <f>SUMIF(#REF!,Overview!U53,#REF!)</f>
        <v>#REF!</v>
      </c>
      <c r="AK53" s="1" t="e">
        <f>SUMIF(#REF!,Overview!U53,#REF!)</f>
        <v>#REF!</v>
      </c>
      <c r="AL53" s="1" t="e">
        <f>SUMIF(#REF!,Overview!U53,#REF!)</f>
        <v>#REF!</v>
      </c>
      <c r="AM53" s="1" t="e">
        <f>SUMIF(#REF!,Overview!U53,#REF!)</f>
        <v>#REF!</v>
      </c>
      <c r="AN53" s="1" t="e">
        <f>SUMIF(#REF!,Overview!U53,#REF!)</f>
        <v>#REF!</v>
      </c>
      <c r="AO53" s="1" t="e">
        <f>SUMIF(#REF!,Overview!U53,#REF!)</f>
        <v>#REF!</v>
      </c>
      <c r="AP53" s="1" t="e">
        <f>SUMIF(#REF!,Overview!U53,#REF!)</f>
        <v>#REF!</v>
      </c>
      <c r="AQ53" s="1" t="e">
        <f>SUMIF(#REF!,Overview!U53,#REF!)</f>
        <v>#REF!</v>
      </c>
      <c r="AR53" s="1" t="e">
        <f>SUMIF(#REF!,Overview!U53,#REF!)</f>
        <v>#REF!</v>
      </c>
      <c r="AS53" s="5" t="e">
        <f>SUMIF(#REF!,Overview!U53,#REF!)</f>
        <v>#REF!</v>
      </c>
      <c r="AT53" s="49" t="e">
        <f t="shared" si="102"/>
        <v>#REF!</v>
      </c>
      <c r="AU53" s="30" t="e">
        <f t="shared" si="102"/>
        <v>#REF!</v>
      </c>
      <c r="AV53" s="30" t="e">
        <f t="shared" si="102"/>
        <v>#REF!</v>
      </c>
      <c r="AW53" s="30" t="e">
        <f t="shared" si="102"/>
        <v>#REF!</v>
      </c>
      <c r="AX53" s="30" t="e">
        <f t="shared" si="102"/>
        <v>#REF!</v>
      </c>
      <c r="AY53" s="30" t="e">
        <f t="shared" si="102"/>
        <v>#REF!</v>
      </c>
      <c r="AZ53" s="30" t="e">
        <f t="shared" si="102"/>
        <v>#REF!</v>
      </c>
      <c r="BA53" s="30" t="e">
        <f t="shared" si="102"/>
        <v>#REF!</v>
      </c>
      <c r="BB53" s="30" t="e">
        <f t="shared" si="102"/>
        <v>#REF!</v>
      </c>
      <c r="BC53" s="30" t="e">
        <f t="shared" si="102"/>
        <v>#REF!</v>
      </c>
      <c r="BD53" s="30" t="e">
        <f t="shared" si="102"/>
        <v>#REF!</v>
      </c>
      <c r="BE53" s="30" t="e">
        <f t="shared" si="102"/>
        <v>#REF!</v>
      </c>
      <c r="BF53" s="30" t="e">
        <f t="shared" si="102"/>
        <v>#REF!</v>
      </c>
      <c r="BG53" s="30" t="e">
        <f t="shared" si="102"/>
        <v>#REF!</v>
      </c>
      <c r="BH53" s="30" t="e">
        <f t="shared" si="102"/>
        <v>#REF!</v>
      </c>
      <c r="BI53" s="50" t="e">
        <f t="shared" si="102"/>
        <v>#REF!</v>
      </c>
      <c r="BJ53" s="49" t="e">
        <f t="shared" si="103"/>
        <v>#REF!</v>
      </c>
      <c r="BK53" s="30" t="e">
        <f t="shared" si="103"/>
        <v>#REF!</v>
      </c>
      <c r="BL53" s="30" t="e">
        <f t="shared" si="103"/>
        <v>#REF!</v>
      </c>
      <c r="BM53" s="30" t="e">
        <f t="shared" si="103"/>
        <v>#REF!</v>
      </c>
      <c r="BN53" s="30" t="e">
        <f t="shared" si="103"/>
        <v>#REF!</v>
      </c>
      <c r="BO53" s="30" t="e">
        <f t="shared" si="103"/>
        <v>#REF!</v>
      </c>
      <c r="BP53" s="30" t="e">
        <f t="shared" si="103"/>
        <v>#REF!</v>
      </c>
      <c r="BQ53" s="30" t="e">
        <f t="shared" si="103"/>
        <v>#REF!</v>
      </c>
      <c r="BR53" s="30" t="e">
        <f t="shared" si="103"/>
        <v>#REF!</v>
      </c>
      <c r="BS53" s="30" t="e">
        <f t="shared" si="103"/>
        <v>#REF!</v>
      </c>
      <c r="BT53" s="30" t="e">
        <f t="shared" si="103"/>
        <v>#REF!</v>
      </c>
      <c r="BU53" s="30" t="e">
        <f t="shared" si="103"/>
        <v>#REF!</v>
      </c>
      <c r="BV53" s="30" t="e">
        <f t="shared" si="103"/>
        <v>#REF!</v>
      </c>
      <c r="BW53" s="30" t="e">
        <f t="shared" si="103"/>
        <v>#REF!</v>
      </c>
      <c r="BX53" s="30" t="e">
        <f t="shared" si="103"/>
        <v>#REF!</v>
      </c>
      <c r="BY53" s="50" t="e">
        <f t="shared" si="103"/>
        <v>#REF!</v>
      </c>
      <c r="BZ53" s="49" t="e">
        <f t="shared" si="104"/>
        <v>#REF!</v>
      </c>
      <c r="CA53" s="30" t="e">
        <f t="shared" si="104"/>
        <v>#REF!</v>
      </c>
      <c r="CB53" s="30" t="e">
        <f t="shared" si="104"/>
        <v>#REF!</v>
      </c>
      <c r="CC53" s="30" t="e">
        <f t="shared" si="104"/>
        <v>#REF!</v>
      </c>
      <c r="CD53" s="30" t="e">
        <f t="shared" si="104"/>
        <v>#REF!</v>
      </c>
      <c r="CE53" s="30" t="e">
        <f t="shared" si="104"/>
        <v>#REF!</v>
      </c>
      <c r="CF53" s="30" t="e">
        <f t="shared" si="104"/>
        <v>#REF!</v>
      </c>
      <c r="CG53" s="30" t="e">
        <f t="shared" si="104"/>
        <v>#REF!</v>
      </c>
      <c r="CH53" s="30" t="e">
        <f t="shared" si="104"/>
        <v>#REF!</v>
      </c>
      <c r="CI53" s="30" t="e">
        <f t="shared" si="104"/>
        <v>#REF!</v>
      </c>
      <c r="CJ53" s="30" t="e">
        <f t="shared" si="104"/>
        <v>#REF!</v>
      </c>
      <c r="CK53" s="30" t="e">
        <f t="shared" si="104"/>
        <v>#REF!</v>
      </c>
      <c r="CL53" s="30" t="e">
        <f t="shared" si="104"/>
        <v>#REF!</v>
      </c>
      <c r="CM53" s="30" t="e">
        <f t="shared" si="104"/>
        <v>#REF!</v>
      </c>
      <c r="CN53" s="30" t="e">
        <f t="shared" si="104"/>
        <v>#REF!</v>
      </c>
      <c r="CO53" s="50" t="e">
        <f t="shared" si="104"/>
        <v>#REF!</v>
      </c>
      <c r="CP53" s="1" t="e">
        <f>SUMIF(#REF!,Overview!$U53,#REF!)</f>
        <v>#REF!</v>
      </c>
      <c r="CQ53" s="1" t="e">
        <f>SUMIF(#REF!,Overview!$U53,#REF!)</f>
        <v>#REF!</v>
      </c>
      <c r="CR53" s="1" t="e">
        <f>SUMIF(#REF!,Overview!$U53,#REF!)</f>
        <v>#REF!</v>
      </c>
      <c r="CS53" s="1" t="e">
        <f>SUMIF(#REF!,Overview!$U53,#REF!)</f>
        <v>#REF!</v>
      </c>
      <c r="CT53" s="1" t="e">
        <f>SUMIF(#REF!,Overview!$U53,#REF!)</f>
        <v>#REF!</v>
      </c>
      <c r="CU53" s="1" t="e">
        <f>SUMIF(#REF!,Overview!$U53,#REF!)</f>
        <v>#REF!</v>
      </c>
      <c r="CV53" s="1" t="e">
        <f>SUMIF(#REF!,Overview!$U53,#REF!)</f>
        <v>#REF!</v>
      </c>
      <c r="CW53" s="1" t="e">
        <f>SUMIF(#REF!,Overview!$U53,#REF!)</f>
        <v>#REF!</v>
      </c>
      <c r="CX53" s="1" t="e">
        <f>SUMIF(#REF!,Overview!$U53,#REF!)</f>
        <v>#REF!</v>
      </c>
      <c r="CY53" s="1" t="e">
        <f>SUMIF(#REF!,Overview!$U53,#REF!)</f>
        <v>#REF!</v>
      </c>
      <c r="CZ53" s="1" t="e">
        <f>SUMIF(#REF!,Overview!$U53,#REF!)</f>
        <v>#REF!</v>
      </c>
      <c r="DA53" s="1" t="e">
        <f>SUMIF(#REF!,Overview!$U53,#REF!)</f>
        <v>#REF!</v>
      </c>
      <c r="DB53" s="1" t="e">
        <f>SUMIF(#REF!,Overview!$U53,#REF!)</f>
        <v>#REF!</v>
      </c>
      <c r="DC53" s="1" t="e">
        <f>SUMIF(#REF!,Overview!$U53,#REF!)</f>
        <v>#REF!</v>
      </c>
      <c r="DD53" s="1" t="e">
        <f>SUMIF(#REF!,Overview!$U53,#REF!)</f>
        <v>#REF!</v>
      </c>
      <c r="DE53" s="5" t="e">
        <f>SUMIF(#REF!,Overview!$U53,#REF!)</f>
        <v>#REF!</v>
      </c>
    </row>
    <row r="54" spans="1:110" ht="58">
      <c r="A54" s="3" t="s">
        <v>185</v>
      </c>
      <c r="B54" s="14" t="s">
        <v>186</v>
      </c>
      <c r="C54" s="4">
        <v>4.0666798000000002</v>
      </c>
      <c r="D54" s="1">
        <v>4.0666798000000002</v>
      </c>
      <c r="E54" s="1">
        <v>4.0666798000000002</v>
      </c>
      <c r="F54" s="5">
        <v>4.0666798000000002</v>
      </c>
      <c r="G54" s="4">
        <v>15494.036816464941</v>
      </c>
      <c r="H54" s="1">
        <v>15494.176757781839</v>
      </c>
      <c r="I54" s="1">
        <v>15494.162393578101</v>
      </c>
      <c r="J54" s="5">
        <v>15493.72126772824</v>
      </c>
      <c r="K54" s="4" t="s">
        <v>17</v>
      </c>
      <c r="L54" s="1" t="s">
        <v>187</v>
      </c>
      <c r="M54" s="1" t="s">
        <v>188</v>
      </c>
      <c r="N54" s="11" t="s">
        <v>37</v>
      </c>
      <c r="O54" s="1" t="s">
        <v>58</v>
      </c>
      <c r="P54" s="1" t="s">
        <v>30</v>
      </c>
      <c r="Q54" s="1" t="s">
        <v>23</v>
      </c>
      <c r="R54" s="36" t="s">
        <v>292</v>
      </c>
      <c r="S54" s="24" t="s">
        <v>194</v>
      </c>
      <c r="T54" s="246" t="s">
        <v>193</v>
      </c>
      <c r="U54" s="4" t="s">
        <v>250</v>
      </c>
      <c r="V54" s="1" t="s">
        <v>188</v>
      </c>
      <c r="W54" s="5" t="s">
        <v>37</v>
      </c>
      <c r="X54" s="5" t="s">
        <v>37</v>
      </c>
      <c r="Y54" s="22" t="s">
        <v>211</v>
      </c>
      <c r="Z54" s="17">
        <v>1000000</v>
      </c>
      <c r="AA54" s="29"/>
      <c r="AB54" s="29"/>
      <c r="AC54" s="22" t="s">
        <v>282</v>
      </c>
      <c r="AD54" s="25" t="e">
        <f>SUMIF(#REF!,Overview!U54,#REF!)</f>
        <v>#REF!</v>
      </c>
      <c r="AE54" s="27" t="e">
        <f>SUMIF(#REF!,Overview!U54,#REF!)</f>
        <v>#REF!</v>
      </c>
      <c r="AF54" s="1" t="e">
        <f>SUMIF(#REF!,Overview!U54,#REF!)</f>
        <v>#REF!</v>
      </c>
      <c r="AG54" s="1" t="e">
        <f>SUMIF(#REF!,Overview!U54,#REF!)</f>
        <v>#REF!</v>
      </c>
      <c r="AH54" s="1" t="e">
        <f>SUMIF(#REF!,Overview!U54,#REF!)</f>
        <v>#REF!</v>
      </c>
      <c r="AI54" s="1" t="e">
        <f>SUMIF(#REF!,Overview!U54,#REF!)</f>
        <v>#REF!</v>
      </c>
      <c r="AJ54" s="1" t="e">
        <f>SUMIF(#REF!,Overview!U54,#REF!)</f>
        <v>#REF!</v>
      </c>
      <c r="AK54" s="1" t="e">
        <f>SUMIF(#REF!,Overview!U54,#REF!)</f>
        <v>#REF!</v>
      </c>
      <c r="AL54" s="1" t="e">
        <f>SUMIF(#REF!,Overview!U54,#REF!)</f>
        <v>#REF!</v>
      </c>
      <c r="AM54" s="1" t="e">
        <f>SUMIF(#REF!,Overview!U54,#REF!)</f>
        <v>#REF!</v>
      </c>
      <c r="AN54" s="1" t="e">
        <f>SUMIF(#REF!,Overview!U54,#REF!)</f>
        <v>#REF!</v>
      </c>
      <c r="AO54" s="1" t="e">
        <f>SUMIF(#REF!,Overview!U54,#REF!)</f>
        <v>#REF!</v>
      </c>
      <c r="AP54" s="1" t="e">
        <f>SUMIF(#REF!,Overview!U54,#REF!)</f>
        <v>#REF!</v>
      </c>
      <c r="AQ54" s="1" t="e">
        <f>SUMIF(#REF!,Overview!U54,#REF!)</f>
        <v>#REF!</v>
      </c>
      <c r="AR54" s="1" t="e">
        <f>SUMIF(#REF!,Overview!U54,#REF!)</f>
        <v>#REF!</v>
      </c>
      <c r="AS54" s="5" t="e">
        <f>SUMIF(#REF!,Overview!U54,#REF!)</f>
        <v>#REF!</v>
      </c>
      <c r="AT54" s="51" t="e">
        <f t="shared" ref="AT54:BI56" si="105">AD54*$Z54*$G54</f>
        <v>#REF!</v>
      </c>
      <c r="AU54" s="52" t="e">
        <f t="shared" si="105"/>
        <v>#REF!</v>
      </c>
      <c r="AV54" s="52" t="e">
        <f t="shared" si="105"/>
        <v>#REF!</v>
      </c>
      <c r="AW54" s="52" t="e">
        <f t="shared" si="105"/>
        <v>#REF!</v>
      </c>
      <c r="AX54" s="52" t="e">
        <f t="shared" si="105"/>
        <v>#REF!</v>
      </c>
      <c r="AY54" s="52" t="e">
        <f t="shared" si="105"/>
        <v>#REF!</v>
      </c>
      <c r="AZ54" s="52" t="e">
        <f t="shared" si="105"/>
        <v>#REF!</v>
      </c>
      <c r="BA54" s="52" t="e">
        <f t="shared" si="105"/>
        <v>#REF!</v>
      </c>
      <c r="BB54" s="52" t="e">
        <f t="shared" si="105"/>
        <v>#REF!</v>
      </c>
      <c r="BC54" s="52" t="e">
        <f t="shared" si="105"/>
        <v>#REF!</v>
      </c>
      <c r="BD54" s="52" t="e">
        <f t="shared" si="105"/>
        <v>#REF!</v>
      </c>
      <c r="BE54" s="52" t="e">
        <f t="shared" si="105"/>
        <v>#REF!</v>
      </c>
      <c r="BF54" s="52" t="e">
        <f t="shared" si="105"/>
        <v>#REF!</v>
      </c>
      <c r="BG54" s="52" t="e">
        <f t="shared" si="105"/>
        <v>#REF!</v>
      </c>
      <c r="BH54" s="52" t="e">
        <f t="shared" si="105"/>
        <v>#REF!</v>
      </c>
      <c r="BI54" s="53" t="e">
        <f t="shared" si="105"/>
        <v>#REF!</v>
      </c>
      <c r="BJ54" s="51" t="e">
        <f t="shared" ref="BJ54:BY56" si="106">AD54*$Z54*$H54</f>
        <v>#REF!</v>
      </c>
      <c r="BK54" s="52" t="e">
        <f t="shared" si="106"/>
        <v>#REF!</v>
      </c>
      <c r="BL54" s="52" t="e">
        <f t="shared" si="106"/>
        <v>#REF!</v>
      </c>
      <c r="BM54" s="52" t="e">
        <f t="shared" si="106"/>
        <v>#REF!</v>
      </c>
      <c r="BN54" s="52" t="e">
        <f t="shared" si="106"/>
        <v>#REF!</v>
      </c>
      <c r="BO54" s="52" t="e">
        <f t="shared" si="106"/>
        <v>#REF!</v>
      </c>
      <c r="BP54" s="52" t="e">
        <f t="shared" si="106"/>
        <v>#REF!</v>
      </c>
      <c r="BQ54" s="52" t="e">
        <f t="shared" si="106"/>
        <v>#REF!</v>
      </c>
      <c r="BR54" s="52" t="e">
        <f t="shared" si="106"/>
        <v>#REF!</v>
      </c>
      <c r="BS54" s="52" t="e">
        <f t="shared" si="106"/>
        <v>#REF!</v>
      </c>
      <c r="BT54" s="52" t="e">
        <f t="shared" si="106"/>
        <v>#REF!</v>
      </c>
      <c r="BU54" s="52" t="e">
        <f t="shared" si="106"/>
        <v>#REF!</v>
      </c>
      <c r="BV54" s="52" t="e">
        <f t="shared" si="106"/>
        <v>#REF!</v>
      </c>
      <c r="BW54" s="52" t="e">
        <f t="shared" si="106"/>
        <v>#REF!</v>
      </c>
      <c r="BX54" s="52" t="e">
        <f t="shared" si="106"/>
        <v>#REF!</v>
      </c>
      <c r="BY54" s="53" t="e">
        <f t="shared" si="106"/>
        <v>#REF!</v>
      </c>
      <c r="BZ54" s="51" t="e">
        <f t="shared" si="5"/>
        <v>#REF!</v>
      </c>
      <c r="CA54" s="52" t="e">
        <f t="shared" si="81"/>
        <v>#REF!</v>
      </c>
      <c r="CB54" s="52" t="e">
        <f t="shared" si="82"/>
        <v>#REF!</v>
      </c>
      <c r="CC54" s="52" t="e">
        <f t="shared" si="83"/>
        <v>#REF!</v>
      </c>
      <c r="CD54" s="52" t="e">
        <f t="shared" si="84"/>
        <v>#REF!</v>
      </c>
      <c r="CE54" s="52" t="e">
        <f t="shared" si="85"/>
        <v>#REF!</v>
      </c>
      <c r="CF54" s="52" t="e">
        <f t="shared" si="86"/>
        <v>#REF!</v>
      </c>
      <c r="CG54" s="52" t="e">
        <f t="shared" si="87"/>
        <v>#REF!</v>
      </c>
      <c r="CH54" s="52" t="e">
        <f t="shared" si="88"/>
        <v>#REF!</v>
      </c>
      <c r="CI54" s="52" t="e">
        <f t="shared" si="89"/>
        <v>#REF!</v>
      </c>
      <c r="CJ54" s="52" t="e">
        <f t="shared" si="90"/>
        <v>#REF!</v>
      </c>
      <c r="CK54" s="52" t="e">
        <f t="shared" si="91"/>
        <v>#REF!</v>
      </c>
      <c r="CL54" s="52" t="e">
        <f t="shared" si="92"/>
        <v>#REF!</v>
      </c>
      <c r="CM54" s="52" t="e">
        <f t="shared" si="93"/>
        <v>#REF!</v>
      </c>
      <c r="CN54" s="52" t="e">
        <f t="shared" si="94"/>
        <v>#REF!</v>
      </c>
      <c r="CO54" s="53" t="e">
        <f t="shared" si="95"/>
        <v>#REF!</v>
      </c>
      <c r="CP54" s="1" t="e">
        <f>SUMIF(#REF!,Overview!$U54,#REF!)</f>
        <v>#REF!</v>
      </c>
      <c r="CQ54" s="1" t="e">
        <f>SUMIF(#REF!,Overview!$U54,#REF!)</f>
        <v>#REF!</v>
      </c>
      <c r="CR54" s="1" t="e">
        <f>SUMIF(#REF!,Overview!$U54,#REF!)</f>
        <v>#REF!</v>
      </c>
      <c r="CS54" s="1" t="e">
        <f>SUMIF(#REF!,Overview!$U54,#REF!)</f>
        <v>#REF!</v>
      </c>
      <c r="CT54" s="1" t="e">
        <f>SUMIF(#REF!,Overview!$U54,#REF!)</f>
        <v>#REF!</v>
      </c>
      <c r="CU54" s="1" t="e">
        <f>SUMIF(#REF!,Overview!$U54,#REF!)</f>
        <v>#REF!</v>
      </c>
      <c r="CV54" s="1" t="e">
        <f>SUMIF(#REF!,Overview!$U54,#REF!)</f>
        <v>#REF!</v>
      </c>
      <c r="CW54" s="1" t="e">
        <f>SUMIF(#REF!,Overview!$U54,#REF!)</f>
        <v>#REF!</v>
      </c>
      <c r="CX54" s="1" t="e">
        <f>SUMIF(#REF!,Overview!$U54,#REF!)</f>
        <v>#REF!</v>
      </c>
      <c r="CY54" s="1" t="e">
        <f>SUMIF(#REF!,Overview!$U54,#REF!)</f>
        <v>#REF!</v>
      </c>
      <c r="CZ54" s="1" t="e">
        <f>SUMIF(#REF!,Overview!$U54,#REF!)</f>
        <v>#REF!</v>
      </c>
      <c r="DA54" s="1" t="e">
        <f>SUMIF(#REF!,Overview!$U54,#REF!)</f>
        <v>#REF!</v>
      </c>
      <c r="DB54" s="1" t="e">
        <f>SUMIF(#REF!,Overview!$U54,#REF!)</f>
        <v>#REF!</v>
      </c>
      <c r="DC54" s="1" t="e">
        <f>SUMIF(#REF!,Overview!$U54,#REF!)</f>
        <v>#REF!</v>
      </c>
      <c r="DD54" s="1" t="e">
        <f>SUMIF(#REF!,Overview!$U54,#REF!)</f>
        <v>#REF!</v>
      </c>
      <c r="DE54" s="5" t="e">
        <f>SUMIF(#REF!,Overview!$U54,#REF!)</f>
        <v>#REF!</v>
      </c>
    </row>
    <row r="55" spans="1:110" ht="29">
      <c r="A55" s="3" t="s">
        <v>189</v>
      </c>
      <c r="B55" s="14" t="s">
        <v>190</v>
      </c>
      <c r="C55" s="4">
        <v>8.9763100000000016</v>
      </c>
      <c r="D55" s="1">
        <v>8.9763100000000016</v>
      </c>
      <c r="E55" s="1">
        <v>8.9763100000000016</v>
      </c>
      <c r="F55" s="5">
        <v>8.9763100000000016</v>
      </c>
      <c r="G55" s="4">
        <v>16054.25882636228</v>
      </c>
      <c r="H55" s="1">
        <v>17366.388576288791</v>
      </c>
      <c r="I55" s="1">
        <v>16045.17409757749</v>
      </c>
      <c r="J55" s="5">
        <v>18264.20830862856</v>
      </c>
      <c r="K55" s="4" t="s">
        <v>17</v>
      </c>
      <c r="L55" s="1" t="s">
        <v>191</v>
      </c>
      <c r="M55" s="1" t="s">
        <v>192</v>
      </c>
      <c r="N55" s="11" t="s">
        <v>37</v>
      </c>
      <c r="O55" s="1" t="s">
        <v>58</v>
      </c>
      <c r="P55" s="1" t="s">
        <v>30</v>
      </c>
      <c r="Q55" s="1" t="s">
        <v>23</v>
      </c>
      <c r="R55" s="36" t="s">
        <v>291</v>
      </c>
      <c r="S55" s="24" t="s">
        <v>194</v>
      </c>
      <c r="T55" s="246"/>
      <c r="U55" s="4" t="s">
        <v>251</v>
      </c>
      <c r="V55" s="1" t="s">
        <v>192</v>
      </c>
      <c r="W55" s="5" t="s">
        <v>37</v>
      </c>
      <c r="X55" s="5" t="s">
        <v>37</v>
      </c>
      <c r="Y55" s="22" t="s">
        <v>211</v>
      </c>
      <c r="Z55" s="17">
        <v>1000000</v>
      </c>
      <c r="AA55" s="29"/>
      <c r="AB55" s="29"/>
      <c r="AC55" s="22" t="s">
        <v>282</v>
      </c>
      <c r="AD55" s="25" t="e">
        <f>SUMIF(#REF!,Overview!U55,#REF!)</f>
        <v>#REF!</v>
      </c>
      <c r="AE55" s="27" t="e">
        <f>SUMIF(#REF!,Overview!U55,#REF!)</f>
        <v>#REF!</v>
      </c>
      <c r="AF55" s="1" t="e">
        <f>SUMIF(#REF!,Overview!U55,#REF!)</f>
        <v>#REF!</v>
      </c>
      <c r="AG55" s="1" t="e">
        <f>SUMIF(#REF!,Overview!U55,#REF!)</f>
        <v>#REF!</v>
      </c>
      <c r="AH55" s="1" t="e">
        <f>SUMIF(#REF!,Overview!U55,#REF!)</f>
        <v>#REF!</v>
      </c>
      <c r="AI55" s="1" t="e">
        <f>SUMIF(#REF!,Overview!U55,#REF!)</f>
        <v>#REF!</v>
      </c>
      <c r="AJ55" s="1" t="e">
        <f>SUMIF(#REF!,Overview!U55,#REF!)</f>
        <v>#REF!</v>
      </c>
      <c r="AK55" s="1" t="e">
        <f>SUMIF(#REF!,Overview!U55,#REF!)</f>
        <v>#REF!</v>
      </c>
      <c r="AL55" s="1" t="e">
        <f>SUMIF(#REF!,Overview!U55,#REF!)</f>
        <v>#REF!</v>
      </c>
      <c r="AM55" s="1" t="e">
        <f>SUMIF(#REF!,Overview!U55,#REF!)</f>
        <v>#REF!</v>
      </c>
      <c r="AN55" s="1" t="e">
        <f>SUMIF(#REF!,Overview!U55,#REF!)</f>
        <v>#REF!</v>
      </c>
      <c r="AO55" s="1" t="e">
        <f>SUMIF(#REF!,Overview!U55,#REF!)</f>
        <v>#REF!</v>
      </c>
      <c r="AP55" s="1" t="e">
        <f>SUMIF(#REF!,Overview!U55,#REF!)</f>
        <v>#REF!</v>
      </c>
      <c r="AQ55" s="1" t="e">
        <f>SUMIF(#REF!,Overview!U55,#REF!)</f>
        <v>#REF!</v>
      </c>
      <c r="AR55" s="1" t="e">
        <f>SUMIF(#REF!,Overview!U55,#REF!)</f>
        <v>#REF!</v>
      </c>
      <c r="AS55" s="5" t="e">
        <f>SUMIF(#REF!,Overview!U55,#REF!)</f>
        <v>#REF!</v>
      </c>
      <c r="AT55" s="51" t="e">
        <f t="shared" si="105"/>
        <v>#REF!</v>
      </c>
      <c r="AU55" s="52" t="e">
        <f t="shared" si="105"/>
        <v>#REF!</v>
      </c>
      <c r="AV55" s="52" t="e">
        <f t="shared" si="105"/>
        <v>#REF!</v>
      </c>
      <c r="AW55" s="52" t="e">
        <f t="shared" si="105"/>
        <v>#REF!</v>
      </c>
      <c r="AX55" s="52" t="e">
        <f t="shared" si="105"/>
        <v>#REF!</v>
      </c>
      <c r="AY55" s="52" t="e">
        <f t="shared" si="105"/>
        <v>#REF!</v>
      </c>
      <c r="AZ55" s="52" t="e">
        <f t="shared" si="105"/>
        <v>#REF!</v>
      </c>
      <c r="BA55" s="52" t="e">
        <f t="shared" si="105"/>
        <v>#REF!</v>
      </c>
      <c r="BB55" s="52" t="e">
        <f t="shared" si="105"/>
        <v>#REF!</v>
      </c>
      <c r="BC55" s="52" t="e">
        <f t="shared" si="105"/>
        <v>#REF!</v>
      </c>
      <c r="BD55" s="52" t="e">
        <f t="shared" si="105"/>
        <v>#REF!</v>
      </c>
      <c r="BE55" s="52" t="e">
        <f t="shared" si="105"/>
        <v>#REF!</v>
      </c>
      <c r="BF55" s="52" t="e">
        <f t="shared" si="105"/>
        <v>#REF!</v>
      </c>
      <c r="BG55" s="52" t="e">
        <f t="shared" si="105"/>
        <v>#REF!</v>
      </c>
      <c r="BH55" s="52" t="e">
        <f t="shared" si="105"/>
        <v>#REF!</v>
      </c>
      <c r="BI55" s="53" t="e">
        <f t="shared" si="105"/>
        <v>#REF!</v>
      </c>
      <c r="BJ55" s="51" t="e">
        <f t="shared" si="106"/>
        <v>#REF!</v>
      </c>
      <c r="BK55" s="52" t="e">
        <f t="shared" si="106"/>
        <v>#REF!</v>
      </c>
      <c r="BL55" s="52" t="e">
        <f t="shared" si="106"/>
        <v>#REF!</v>
      </c>
      <c r="BM55" s="52" t="e">
        <f t="shared" si="106"/>
        <v>#REF!</v>
      </c>
      <c r="BN55" s="52" t="e">
        <f t="shared" si="106"/>
        <v>#REF!</v>
      </c>
      <c r="BO55" s="52" t="e">
        <f t="shared" si="106"/>
        <v>#REF!</v>
      </c>
      <c r="BP55" s="52" t="e">
        <f t="shared" si="106"/>
        <v>#REF!</v>
      </c>
      <c r="BQ55" s="52" t="e">
        <f t="shared" si="106"/>
        <v>#REF!</v>
      </c>
      <c r="BR55" s="52" t="e">
        <f t="shared" si="106"/>
        <v>#REF!</v>
      </c>
      <c r="BS55" s="52" t="e">
        <f t="shared" si="106"/>
        <v>#REF!</v>
      </c>
      <c r="BT55" s="52" t="e">
        <f t="shared" si="106"/>
        <v>#REF!</v>
      </c>
      <c r="BU55" s="52" t="e">
        <f t="shared" si="106"/>
        <v>#REF!</v>
      </c>
      <c r="BV55" s="52" t="e">
        <f t="shared" si="106"/>
        <v>#REF!</v>
      </c>
      <c r="BW55" s="52" t="e">
        <f t="shared" si="106"/>
        <v>#REF!</v>
      </c>
      <c r="BX55" s="52" t="e">
        <f t="shared" si="106"/>
        <v>#REF!</v>
      </c>
      <c r="BY55" s="53" t="e">
        <f t="shared" si="106"/>
        <v>#REF!</v>
      </c>
      <c r="BZ55" s="51" t="e">
        <f t="shared" si="5"/>
        <v>#REF!</v>
      </c>
      <c r="CA55" s="52" t="e">
        <f t="shared" si="81"/>
        <v>#REF!</v>
      </c>
      <c r="CB55" s="52" t="e">
        <f t="shared" si="82"/>
        <v>#REF!</v>
      </c>
      <c r="CC55" s="52" t="e">
        <f t="shared" si="83"/>
        <v>#REF!</v>
      </c>
      <c r="CD55" s="52" t="e">
        <f t="shared" si="84"/>
        <v>#REF!</v>
      </c>
      <c r="CE55" s="52" t="e">
        <f t="shared" si="85"/>
        <v>#REF!</v>
      </c>
      <c r="CF55" s="52" t="e">
        <f t="shared" si="86"/>
        <v>#REF!</v>
      </c>
      <c r="CG55" s="52" t="e">
        <f t="shared" si="87"/>
        <v>#REF!</v>
      </c>
      <c r="CH55" s="52" t="e">
        <f t="shared" si="88"/>
        <v>#REF!</v>
      </c>
      <c r="CI55" s="52" t="e">
        <f t="shared" si="89"/>
        <v>#REF!</v>
      </c>
      <c r="CJ55" s="52" t="e">
        <f t="shared" si="90"/>
        <v>#REF!</v>
      </c>
      <c r="CK55" s="52" t="e">
        <f t="shared" si="91"/>
        <v>#REF!</v>
      </c>
      <c r="CL55" s="52" t="e">
        <f t="shared" si="92"/>
        <v>#REF!</v>
      </c>
      <c r="CM55" s="52" t="e">
        <f t="shared" si="93"/>
        <v>#REF!</v>
      </c>
      <c r="CN55" s="52" t="e">
        <f t="shared" si="94"/>
        <v>#REF!</v>
      </c>
      <c r="CO55" s="53" t="e">
        <f t="shared" si="95"/>
        <v>#REF!</v>
      </c>
      <c r="CP55" s="1" t="e">
        <f>SUMIF(#REF!,Overview!$U55,#REF!)</f>
        <v>#REF!</v>
      </c>
      <c r="CQ55" s="1" t="e">
        <f>SUMIF(#REF!,Overview!$U55,#REF!)</f>
        <v>#REF!</v>
      </c>
      <c r="CR55" s="1" t="e">
        <f>SUMIF(#REF!,Overview!$U55,#REF!)</f>
        <v>#REF!</v>
      </c>
      <c r="CS55" s="1" t="e">
        <f>SUMIF(#REF!,Overview!$U55,#REF!)</f>
        <v>#REF!</v>
      </c>
      <c r="CT55" s="1" t="e">
        <f>SUMIF(#REF!,Overview!$U55,#REF!)</f>
        <v>#REF!</v>
      </c>
      <c r="CU55" s="1" t="e">
        <f>SUMIF(#REF!,Overview!$U55,#REF!)</f>
        <v>#REF!</v>
      </c>
      <c r="CV55" s="1" t="e">
        <f>SUMIF(#REF!,Overview!$U55,#REF!)</f>
        <v>#REF!</v>
      </c>
      <c r="CW55" s="1" t="e">
        <f>SUMIF(#REF!,Overview!$U55,#REF!)</f>
        <v>#REF!</v>
      </c>
      <c r="CX55" s="1" t="e">
        <f>SUMIF(#REF!,Overview!$U55,#REF!)</f>
        <v>#REF!</v>
      </c>
      <c r="CY55" s="1" t="e">
        <f>SUMIF(#REF!,Overview!$U55,#REF!)</f>
        <v>#REF!</v>
      </c>
      <c r="CZ55" s="1" t="e">
        <f>SUMIF(#REF!,Overview!$U55,#REF!)</f>
        <v>#REF!</v>
      </c>
      <c r="DA55" s="1" t="e">
        <f>SUMIF(#REF!,Overview!$U55,#REF!)</f>
        <v>#REF!</v>
      </c>
      <c r="DB55" s="1" t="e">
        <f>SUMIF(#REF!,Overview!$U55,#REF!)</f>
        <v>#REF!</v>
      </c>
      <c r="DC55" s="1" t="e">
        <f>SUMIF(#REF!,Overview!$U55,#REF!)</f>
        <v>#REF!</v>
      </c>
      <c r="DD55" s="1" t="e">
        <f>SUMIF(#REF!,Overview!$U55,#REF!)</f>
        <v>#REF!</v>
      </c>
      <c r="DE55" s="5" t="e">
        <f>SUMIF(#REF!,Overview!$U55,#REF!)</f>
        <v>#REF!</v>
      </c>
    </row>
    <row r="56" spans="1:110" ht="15" thickBot="1">
      <c r="A56" s="3" t="s">
        <v>524</v>
      </c>
      <c r="B56" s="14" t="s">
        <v>521</v>
      </c>
      <c r="C56" s="4">
        <v>4.3404583696872201E-5</v>
      </c>
      <c r="D56" s="1">
        <v>3.4624453183752609E-6</v>
      </c>
      <c r="E56" s="1">
        <v>7.1464775256721137E-6</v>
      </c>
      <c r="F56" s="5">
        <v>2.4413634538967759E-2</v>
      </c>
      <c r="G56" s="4">
        <v>0.1519696428461362</v>
      </c>
      <c r="H56" s="1">
        <v>9.7472481501825817E-3</v>
      </c>
      <c r="I56" s="1">
        <v>1.6041410687343879E-2</v>
      </c>
      <c r="J56" s="5">
        <v>98.842006649604372</v>
      </c>
      <c r="P56" s="1" t="s">
        <v>30</v>
      </c>
      <c r="Q56" s="1" t="s">
        <v>525</v>
      </c>
      <c r="R56" s="36" t="s">
        <v>272</v>
      </c>
      <c r="T56" s="1" t="s">
        <v>553</v>
      </c>
      <c r="U56" s="4" t="s">
        <v>49</v>
      </c>
      <c r="V56" s="1" t="s">
        <v>50</v>
      </c>
      <c r="W56" s="5" t="s">
        <v>37</v>
      </c>
      <c r="X56" s="5" t="s">
        <v>37</v>
      </c>
      <c r="Y56" s="22" t="s">
        <v>218</v>
      </c>
      <c r="Z56" s="38">
        <v>100000</v>
      </c>
      <c r="AA56" s="29"/>
      <c r="AB56" s="29"/>
      <c r="AC56" s="22"/>
      <c r="AD56" s="25" t="e">
        <f>SUMIF(#REF!,Overview!U56,#REF!)</f>
        <v>#REF!</v>
      </c>
      <c r="AE56" s="27" t="e">
        <f>SUMIF(#REF!,Overview!U56,#REF!)</f>
        <v>#REF!</v>
      </c>
      <c r="AF56" s="1" t="e">
        <f>SUMIF(#REF!,Overview!U56,#REF!)</f>
        <v>#REF!</v>
      </c>
      <c r="AG56" s="1" t="e">
        <f>SUMIF(#REF!,Overview!U56,#REF!)</f>
        <v>#REF!</v>
      </c>
      <c r="AH56" s="1" t="e">
        <f>SUMIF(#REF!,Overview!U56,#REF!)</f>
        <v>#REF!</v>
      </c>
      <c r="AI56" s="1" t="e">
        <f>SUMIF(#REF!,Overview!U56,#REF!)</f>
        <v>#REF!</v>
      </c>
      <c r="AJ56" s="1" t="e">
        <f>SUMIF(#REF!,Overview!U56,#REF!)</f>
        <v>#REF!</v>
      </c>
      <c r="AK56" s="1" t="e">
        <f>SUMIF(#REF!,Overview!U56,#REF!)</f>
        <v>#REF!</v>
      </c>
      <c r="AL56" s="1" t="e">
        <f>SUMIF(#REF!,Overview!U56,#REF!)</f>
        <v>#REF!</v>
      </c>
      <c r="AM56" s="1" t="e">
        <f>SUMIF(#REF!,Overview!U56,#REF!)</f>
        <v>#REF!</v>
      </c>
      <c r="AN56" s="1" t="e">
        <f>SUMIF(#REF!,Overview!U56,#REF!)</f>
        <v>#REF!</v>
      </c>
      <c r="AO56" s="1" t="e">
        <f>SUMIF(#REF!,Overview!U56,#REF!)</f>
        <v>#REF!</v>
      </c>
      <c r="AP56" s="1" t="e">
        <f>SUMIF(#REF!,Overview!U56,#REF!)</f>
        <v>#REF!</v>
      </c>
      <c r="AQ56" s="1" t="e">
        <f>SUMIF(#REF!,Overview!U56,#REF!)</f>
        <v>#REF!</v>
      </c>
      <c r="AR56" s="1" t="e">
        <f>SUMIF(#REF!,Overview!U56,#REF!)</f>
        <v>#REF!</v>
      </c>
      <c r="AS56" s="5" t="e">
        <f>SUMIF(#REF!,Overview!U56,#REF!)</f>
        <v>#REF!</v>
      </c>
      <c r="AT56" s="51" t="e">
        <f t="shared" si="105"/>
        <v>#REF!</v>
      </c>
      <c r="AU56" s="52" t="e">
        <f t="shared" si="105"/>
        <v>#REF!</v>
      </c>
      <c r="AV56" s="52" t="e">
        <f t="shared" si="105"/>
        <v>#REF!</v>
      </c>
      <c r="AW56" s="52" t="e">
        <f t="shared" si="105"/>
        <v>#REF!</v>
      </c>
      <c r="AX56" s="52" t="e">
        <f t="shared" si="105"/>
        <v>#REF!</v>
      </c>
      <c r="AY56" s="52" t="e">
        <f t="shared" si="105"/>
        <v>#REF!</v>
      </c>
      <c r="AZ56" s="52" t="e">
        <f t="shared" si="105"/>
        <v>#REF!</v>
      </c>
      <c r="BA56" s="52" t="e">
        <f t="shared" si="105"/>
        <v>#REF!</v>
      </c>
      <c r="BB56" s="52" t="e">
        <f t="shared" si="105"/>
        <v>#REF!</v>
      </c>
      <c r="BC56" s="52" t="e">
        <f t="shared" si="105"/>
        <v>#REF!</v>
      </c>
      <c r="BD56" s="52" t="e">
        <f t="shared" si="105"/>
        <v>#REF!</v>
      </c>
      <c r="BE56" s="52" t="e">
        <f t="shared" si="105"/>
        <v>#REF!</v>
      </c>
      <c r="BF56" s="52" t="e">
        <f t="shared" si="105"/>
        <v>#REF!</v>
      </c>
      <c r="BG56" s="52" t="e">
        <f t="shared" si="105"/>
        <v>#REF!</v>
      </c>
      <c r="BH56" s="52" t="e">
        <f t="shared" si="105"/>
        <v>#REF!</v>
      </c>
      <c r="BI56" s="53" t="e">
        <f t="shared" si="105"/>
        <v>#REF!</v>
      </c>
      <c r="BJ56" s="51" t="e">
        <f t="shared" si="106"/>
        <v>#REF!</v>
      </c>
      <c r="BK56" s="52" t="e">
        <f t="shared" si="106"/>
        <v>#REF!</v>
      </c>
      <c r="BL56" s="52" t="e">
        <f t="shared" si="106"/>
        <v>#REF!</v>
      </c>
      <c r="BM56" s="52" t="e">
        <f t="shared" si="106"/>
        <v>#REF!</v>
      </c>
      <c r="BN56" s="52" t="e">
        <f t="shared" si="106"/>
        <v>#REF!</v>
      </c>
      <c r="BO56" s="52" t="e">
        <f t="shared" si="106"/>
        <v>#REF!</v>
      </c>
      <c r="BP56" s="52" t="e">
        <f t="shared" si="106"/>
        <v>#REF!</v>
      </c>
      <c r="BQ56" s="52" t="e">
        <f t="shared" si="106"/>
        <v>#REF!</v>
      </c>
      <c r="BR56" s="52" t="e">
        <f t="shared" si="106"/>
        <v>#REF!</v>
      </c>
      <c r="BS56" s="52" t="e">
        <f t="shared" si="106"/>
        <v>#REF!</v>
      </c>
      <c r="BT56" s="52" t="e">
        <f t="shared" si="106"/>
        <v>#REF!</v>
      </c>
      <c r="BU56" s="52" t="e">
        <f t="shared" si="106"/>
        <v>#REF!</v>
      </c>
      <c r="BV56" s="52" t="e">
        <f t="shared" si="106"/>
        <v>#REF!</v>
      </c>
      <c r="BW56" s="52" t="e">
        <f t="shared" si="106"/>
        <v>#REF!</v>
      </c>
      <c r="BX56" s="52" t="e">
        <f t="shared" si="106"/>
        <v>#REF!</v>
      </c>
      <c r="BY56" s="53" t="e">
        <f t="shared" si="106"/>
        <v>#REF!</v>
      </c>
      <c r="BZ56" s="51" t="e">
        <f t="shared" ref="BZ56" si="107">AD56*$Z56*$I56</f>
        <v>#REF!</v>
      </c>
      <c r="CA56" s="52" t="e">
        <f t="shared" ref="CA56" si="108">AE56*$Z56*$I56</f>
        <v>#REF!</v>
      </c>
      <c r="CB56" s="52" t="e">
        <f t="shared" ref="CB56" si="109">AF56*$Z56*$I56</f>
        <v>#REF!</v>
      </c>
      <c r="CC56" s="52" t="e">
        <f t="shared" ref="CC56" si="110">AG56*$Z56*$I56</f>
        <v>#REF!</v>
      </c>
      <c r="CD56" s="52" t="e">
        <f t="shared" ref="CD56" si="111">AH56*$Z56*$I56</f>
        <v>#REF!</v>
      </c>
      <c r="CE56" s="52" t="e">
        <f t="shared" ref="CE56" si="112">AI56*$Z56*$I56</f>
        <v>#REF!</v>
      </c>
      <c r="CF56" s="52" t="e">
        <f t="shared" ref="CF56" si="113">AJ56*$Z56*$I56</f>
        <v>#REF!</v>
      </c>
      <c r="CG56" s="52" t="e">
        <f t="shared" ref="CG56" si="114">AK56*$Z56*$I56</f>
        <v>#REF!</v>
      </c>
      <c r="CH56" s="52" t="e">
        <f t="shared" ref="CH56" si="115">AL56*$Z56*$I56</f>
        <v>#REF!</v>
      </c>
      <c r="CI56" s="52" t="e">
        <f t="shared" ref="CI56" si="116">AM56*$Z56*$I56</f>
        <v>#REF!</v>
      </c>
      <c r="CJ56" s="52" t="e">
        <f t="shared" ref="CJ56" si="117">AN56*$Z56*$I56</f>
        <v>#REF!</v>
      </c>
      <c r="CK56" s="52" t="e">
        <f t="shared" ref="CK56" si="118">AO56*$Z56*$I56</f>
        <v>#REF!</v>
      </c>
      <c r="CL56" s="52" t="e">
        <f t="shared" ref="CL56" si="119">AP56*$Z56*$I56</f>
        <v>#REF!</v>
      </c>
      <c r="CM56" s="52" t="e">
        <f t="shared" ref="CM56" si="120">AQ56*$Z56*$I56</f>
        <v>#REF!</v>
      </c>
      <c r="CN56" s="52" t="e">
        <f t="shared" ref="CN56" si="121">AR56*$Z56*$I56</f>
        <v>#REF!</v>
      </c>
      <c r="CO56" s="53" t="e">
        <f t="shared" ref="CO56" si="122">AS56*$Z56*$I56</f>
        <v>#REF!</v>
      </c>
      <c r="CP56" s="1" t="e">
        <f>SUMIF(#REF!,Overview!$U56,#REF!)</f>
        <v>#REF!</v>
      </c>
      <c r="CQ56" s="1" t="e">
        <f>SUMIF(#REF!,Overview!$U56,#REF!)</f>
        <v>#REF!</v>
      </c>
      <c r="CR56" s="1" t="e">
        <f>SUMIF(#REF!,Overview!$U56,#REF!)</f>
        <v>#REF!</v>
      </c>
      <c r="CS56" s="1" t="e">
        <f>SUMIF(#REF!,Overview!$U56,#REF!)</f>
        <v>#REF!</v>
      </c>
      <c r="CT56" s="1" t="e">
        <f>SUMIF(#REF!,Overview!$U56,#REF!)</f>
        <v>#REF!</v>
      </c>
      <c r="CU56" s="1" t="e">
        <f>SUMIF(#REF!,Overview!$U56,#REF!)</f>
        <v>#REF!</v>
      </c>
      <c r="CV56" s="1" t="e">
        <f>SUMIF(#REF!,Overview!$U56,#REF!)</f>
        <v>#REF!</v>
      </c>
      <c r="CW56" s="1" t="e">
        <f>SUMIF(#REF!,Overview!$U56,#REF!)</f>
        <v>#REF!</v>
      </c>
      <c r="CX56" s="1" t="e">
        <f>SUMIF(#REF!,Overview!$U56,#REF!)</f>
        <v>#REF!</v>
      </c>
      <c r="CY56" s="1" t="e">
        <f>SUMIF(#REF!,Overview!$U56,#REF!)</f>
        <v>#REF!</v>
      </c>
      <c r="CZ56" s="1" t="e">
        <f>SUMIF(#REF!,Overview!$U56,#REF!)</f>
        <v>#REF!</v>
      </c>
      <c r="DA56" s="1" t="e">
        <f>SUMIF(#REF!,Overview!$U56,#REF!)</f>
        <v>#REF!</v>
      </c>
      <c r="DB56" s="1" t="e">
        <f>SUMIF(#REF!,Overview!$U56,#REF!)</f>
        <v>#REF!</v>
      </c>
      <c r="DC56" s="1" t="e">
        <f>SUMIF(#REF!,Overview!$U56,#REF!)</f>
        <v>#REF!</v>
      </c>
      <c r="DD56" s="1" t="e">
        <f>SUMIF(#REF!,Overview!$U56,#REF!)</f>
        <v>#REF!</v>
      </c>
      <c r="DE56" s="5" t="e">
        <f>SUMIF(#REF!,Overview!$U56,#REF!)</f>
        <v>#REF!</v>
      </c>
    </row>
    <row r="57" spans="1:110" s="74" customFormat="1" ht="18.5">
      <c r="A57" s="72"/>
      <c r="B57" s="72"/>
      <c r="C57" s="73"/>
      <c r="E57" s="75"/>
      <c r="G57" s="76"/>
      <c r="H57" s="77"/>
      <c r="I57" s="78"/>
      <c r="J57" s="78"/>
      <c r="K57" s="73"/>
      <c r="N57" s="79"/>
      <c r="R57" s="80"/>
      <c r="S57" s="81"/>
      <c r="U57" s="73"/>
      <c r="W57" s="75"/>
      <c r="X57" s="75"/>
      <c r="Y57" s="82"/>
      <c r="Z57" s="83"/>
      <c r="AA57" s="83"/>
      <c r="AB57" s="83"/>
      <c r="AC57" s="82"/>
      <c r="AS57" s="75"/>
      <c r="AT57" s="76"/>
      <c r="BI57" s="75"/>
      <c r="BJ57" s="76"/>
      <c r="BY57" s="75"/>
      <c r="BZ57" s="76"/>
      <c r="CO57" s="75"/>
      <c r="DE57" s="75"/>
    </row>
    <row r="58" spans="1:110" s="185" customFormat="1" ht="18.5">
      <c r="B58" s="67"/>
      <c r="E58" s="5"/>
      <c r="F58" s="1"/>
      <c r="G58" s="186"/>
      <c r="H58" s="186"/>
      <c r="I58" s="89"/>
      <c r="J58" s="89"/>
      <c r="N58" s="187"/>
      <c r="R58" s="188"/>
      <c r="S58" s="24"/>
      <c r="T58" s="1"/>
      <c r="U58" s="4"/>
      <c r="W58" s="5"/>
      <c r="X58" s="5"/>
      <c r="Y58" s="22"/>
      <c r="Z58" s="17"/>
      <c r="AA58" s="17"/>
      <c r="AB58" s="17"/>
      <c r="AC58" s="2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5"/>
      <c r="AT58" s="4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5"/>
      <c r="BJ58" s="4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5"/>
      <c r="BZ58" s="4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5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5"/>
      <c r="DF58" s="1"/>
    </row>
    <row r="59" spans="1:110" s="185" customFormat="1" ht="18.5">
      <c r="B59" s="67"/>
      <c r="E59" s="5"/>
      <c r="F59" s="1"/>
      <c r="G59" s="186"/>
      <c r="H59" s="186"/>
      <c r="I59" s="89"/>
      <c r="J59" s="89"/>
      <c r="N59" s="187"/>
      <c r="R59" s="188"/>
      <c r="S59" s="24"/>
      <c r="T59" s="1"/>
      <c r="U59" s="4"/>
      <c r="W59" s="5"/>
      <c r="X59" s="5"/>
      <c r="Y59" s="22"/>
      <c r="Z59" s="17"/>
      <c r="AA59" s="17"/>
      <c r="AB59" s="17"/>
      <c r="AC59" s="2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5"/>
      <c r="AT59" s="4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5"/>
      <c r="BJ59" s="4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5"/>
      <c r="BZ59" s="4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5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5"/>
      <c r="DF59" s="1"/>
    </row>
    <row r="60" spans="1:110" s="185" customFormat="1" ht="18.5">
      <c r="B60" s="67"/>
      <c r="E60" s="5"/>
      <c r="F60" s="1"/>
      <c r="G60" s="186"/>
      <c r="H60" s="186"/>
      <c r="I60" s="89"/>
      <c r="J60" s="89"/>
      <c r="N60" s="187"/>
      <c r="R60" s="188"/>
      <c r="S60" s="24"/>
      <c r="T60" s="1"/>
      <c r="U60" s="4"/>
      <c r="W60" s="5"/>
      <c r="X60" s="5"/>
      <c r="Y60" s="22"/>
      <c r="Z60" s="17"/>
      <c r="AA60" s="17"/>
      <c r="AB60" s="17"/>
      <c r="AC60" s="2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5"/>
      <c r="AT60" s="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5"/>
      <c r="BJ60" s="4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5"/>
      <c r="BZ60" s="4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5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5"/>
      <c r="DF60" s="1"/>
    </row>
    <row r="61" spans="1:110" ht="18.5">
      <c r="B61" s="67"/>
      <c r="G61" s="87"/>
      <c r="H61" s="88"/>
      <c r="I61" s="89"/>
      <c r="J61" s="89"/>
      <c r="X61" s="5"/>
      <c r="Y61" s="22"/>
      <c r="Z61" s="17"/>
      <c r="AA61" s="17"/>
      <c r="AB61" s="17"/>
      <c r="AC61" s="22"/>
      <c r="AS61" s="5"/>
      <c r="BI61" s="5"/>
      <c r="BY61" s="5"/>
      <c r="CO61" s="5"/>
    </row>
    <row r="62" spans="1:110" ht="18.5">
      <c r="B62" s="67"/>
      <c r="G62" s="87"/>
      <c r="H62" s="88"/>
      <c r="I62" s="89"/>
      <c r="J62" s="89"/>
      <c r="X62" s="5"/>
      <c r="Y62" s="22"/>
      <c r="Z62" s="17"/>
      <c r="AA62" s="17"/>
      <c r="AB62" s="17"/>
      <c r="AC62" s="22"/>
      <c r="AS62" s="5"/>
      <c r="BI62" s="5"/>
      <c r="BY62" s="5"/>
      <c r="CO62" s="5"/>
    </row>
    <row r="63" spans="1:110" ht="18.5">
      <c r="B63" s="67"/>
      <c r="G63" s="87"/>
      <c r="H63" s="88"/>
      <c r="I63" s="89"/>
      <c r="J63" s="89"/>
      <c r="X63" s="5"/>
      <c r="Y63" s="22"/>
      <c r="Z63" s="17"/>
      <c r="AA63" s="17"/>
      <c r="AB63" s="17"/>
      <c r="AC63" s="22"/>
      <c r="AS63" s="5"/>
      <c r="BI63" s="5"/>
      <c r="BY63" s="5"/>
      <c r="CO63" s="5"/>
    </row>
    <row r="64" spans="1:110" ht="18.5">
      <c r="B64" s="67"/>
      <c r="G64" s="87"/>
      <c r="H64" s="88"/>
      <c r="I64" s="89"/>
      <c r="J64" s="89"/>
      <c r="X64" s="5"/>
      <c r="Y64" s="22"/>
      <c r="Z64" s="17"/>
      <c r="AA64" s="17"/>
      <c r="AB64" s="17"/>
      <c r="AC64" s="22"/>
      <c r="AS64" s="5"/>
      <c r="BI64" s="5"/>
      <c r="BY64" s="5"/>
      <c r="CO64" s="5"/>
    </row>
    <row r="65" spans="2:93" ht="18.5">
      <c r="B65" s="67"/>
      <c r="G65" s="87"/>
      <c r="H65" s="88"/>
      <c r="I65" s="89"/>
      <c r="J65" s="89"/>
      <c r="X65" s="5"/>
      <c r="Y65" s="22"/>
      <c r="Z65" s="17"/>
      <c r="AA65" s="17"/>
      <c r="AB65" s="17"/>
      <c r="AC65" s="22"/>
      <c r="AS65" s="5"/>
      <c r="BI65" s="5"/>
      <c r="BY65" s="5"/>
      <c r="CO65" s="5"/>
    </row>
    <row r="66" spans="2:93">
      <c r="X66" s="5"/>
      <c r="Y66" s="22"/>
      <c r="Z66" s="17"/>
      <c r="AA66" s="17"/>
      <c r="AB66" s="17"/>
      <c r="AC66" s="22"/>
      <c r="AS66" s="5"/>
      <c r="BI66" s="5"/>
      <c r="BY66" s="5"/>
      <c r="CO66" s="5"/>
    </row>
    <row r="67" spans="2:93">
      <c r="X67" s="5"/>
      <c r="Y67" s="22"/>
      <c r="Z67" s="17"/>
      <c r="AA67" s="17"/>
      <c r="AB67" s="17"/>
      <c r="AC67" s="22"/>
      <c r="AS67" s="5"/>
      <c r="BI67" s="5"/>
      <c r="BY67" s="5"/>
      <c r="CO67" s="5"/>
    </row>
    <row r="68" spans="2:93">
      <c r="X68" s="5"/>
      <c r="Y68" s="22"/>
      <c r="Z68" s="17"/>
      <c r="AA68" s="17"/>
      <c r="AB68" s="17"/>
      <c r="AC68" s="22"/>
      <c r="AS68" s="5"/>
      <c r="BI68" s="5"/>
      <c r="BY68" s="5"/>
      <c r="CO68" s="5"/>
    </row>
    <row r="69" spans="2:93">
      <c r="X69" s="5"/>
      <c r="Y69" s="22"/>
      <c r="Z69" s="17"/>
      <c r="AA69" s="17"/>
      <c r="AB69" s="17"/>
      <c r="AC69" s="22"/>
      <c r="AS69" s="5"/>
      <c r="BI69" s="5"/>
      <c r="BY69" s="5"/>
      <c r="CO69" s="5"/>
    </row>
    <row r="70" spans="2:93">
      <c r="X70" s="5"/>
      <c r="Y70" s="22"/>
      <c r="Z70" s="17"/>
      <c r="AA70" s="17"/>
      <c r="AB70" s="17"/>
      <c r="AC70" s="22"/>
      <c r="AS70" s="5"/>
      <c r="BI70" s="5"/>
      <c r="BY70" s="5"/>
      <c r="CO70" s="5"/>
    </row>
    <row r="71" spans="2:93">
      <c r="X71" s="5"/>
      <c r="Y71" s="22"/>
      <c r="Z71" s="17"/>
      <c r="AA71" s="17"/>
      <c r="AB71" s="17"/>
      <c r="AC71" s="22"/>
      <c r="AS71" s="5"/>
      <c r="BI71" s="5"/>
      <c r="BY71" s="5"/>
      <c r="CO71" s="5"/>
    </row>
    <row r="72" spans="2:93">
      <c r="X72" s="5"/>
      <c r="Y72" s="22"/>
      <c r="Z72" s="17"/>
      <c r="AA72" s="17"/>
      <c r="AB72" s="17"/>
      <c r="AC72" s="22"/>
    </row>
    <row r="73" spans="2:93">
      <c r="X73" s="5"/>
      <c r="Y73" s="22"/>
      <c r="Z73" s="17"/>
      <c r="AA73" s="17"/>
      <c r="AB73" s="17"/>
      <c r="AC73" s="22"/>
    </row>
    <row r="74" spans="2:93">
      <c r="X74" s="5"/>
      <c r="Y74" s="22"/>
      <c r="Z74" s="17"/>
      <c r="AA74" s="17"/>
      <c r="AB74" s="17"/>
      <c r="AC74" s="22"/>
    </row>
    <row r="75" spans="2:93">
      <c r="X75" s="5"/>
      <c r="Y75" s="22"/>
      <c r="Z75" s="17"/>
      <c r="AA75" s="17"/>
      <c r="AB75" s="17"/>
      <c r="AC75" s="22"/>
    </row>
  </sheetData>
  <mergeCells count="13">
    <mergeCell ref="T54:T55"/>
    <mergeCell ref="T50:T51"/>
    <mergeCell ref="T32:T34"/>
    <mergeCell ref="T42:T44"/>
    <mergeCell ref="CP1:DE1"/>
    <mergeCell ref="BJ1:BY1"/>
    <mergeCell ref="BZ1:CO1"/>
    <mergeCell ref="AT1:BI1"/>
    <mergeCell ref="R50:R51"/>
    <mergeCell ref="T16:T19"/>
    <mergeCell ref="AD1:AS1"/>
    <mergeCell ref="U1:W1"/>
    <mergeCell ref="K1:S1"/>
  </mergeCells>
  <pageMargins left="0.75" right="0.75" top="1" bottom="1" header="0.5" footer="0.5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5CB0-DCE7-9C49-AC22-2119AECF99CF}">
  <sheetPr>
    <tabColor theme="0" tint="-0.249977111117893"/>
  </sheetPr>
  <dimension ref="A1:O32"/>
  <sheetViews>
    <sheetView tabSelected="1" topLeftCell="A6" workbookViewId="0">
      <selection activeCell="E19" sqref="E19"/>
    </sheetView>
  </sheetViews>
  <sheetFormatPr defaultColWidth="11.453125" defaultRowHeight="14.5"/>
  <cols>
    <col min="1" max="1" width="32.1796875" bestFit="1" customWidth="1"/>
    <col min="2" max="2" width="9.26953125" bestFit="1" customWidth="1"/>
    <col min="4" max="4" width="10.81640625" customWidth="1"/>
    <col min="5" max="5" width="12.7265625" bestFit="1" customWidth="1"/>
    <col min="6" max="10" width="10.81640625" hidden="1" customWidth="1"/>
    <col min="11" max="12" width="12.7265625" bestFit="1" customWidth="1"/>
    <col min="13" max="15" width="10.81640625" hidden="1" customWidth="1"/>
  </cols>
  <sheetData>
    <row r="1" spans="1:15" ht="16">
      <c r="A1" s="58" t="s">
        <v>366</v>
      </c>
      <c r="B1" s="59" t="s">
        <v>365</v>
      </c>
      <c r="C1" s="59"/>
      <c r="D1" s="59" t="s">
        <v>305</v>
      </c>
      <c r="E1" s="59" t="s">
        <v>4</v>
      </c>
      <c r="F1" s="59" t="s">
        <v>306</v>
      </c>
      <c r="G1" s="59" t="s">
        <v>307</v>
      </c>
      <c r="H1" s="59" t="s">
        <v>308</v>
      </c>
      <c r="I1" s="59" t="s">
        <v>309</v>
      </c>
      <c r="J1" s="59" t="s">
        <v>310</v>
      </c>
      <c r="K1" s="59" t="s">
        <v>5</v>
      </c>
      <c r="L1" s="59" t="s">
        <v>6</v>
      </c>
      <c r="M1" s="59" t="s">
        <v>311</v>
      </c>
      <c r="N1" s="59" t="s">
        <v>183</v>
      </c>
      <c r="O1" s="60" t="s">
        <v>312</v>
      </c>
    </row>
    <row r="2" spans="1:15" ht="16">
      <c r="A2" s="61" t="s">
        <v>313</v>
      </c>
      <c r="B2" s="62" t="s">
        <v>367</v>
      </c>
      <c r="C2" s="62" t="s">
        <v>320</v>
      </c>
      <c r="D2" s="62">
        <v>0</v>
      </c>
      <c r="E2" s="62">
        <v>0</v>
      </c>
      <c r="F2" s="62">
        <v>0</v>
      </c>
      <c r="G2" s="62">
        <v>0</v>
      </c>
      <c r="H2" s="62">
        <v>0</v>
      </c>
      <c r="I2" s="62">
        <v>12.23</v>
      </c>
      <c r="J2" s="62">
        <v>0</v>
      </c>
      <c r="K2" s="62">
        <v>0</v>
      </c>
      <c r="L2" s="62">
        <v>4.28</v>
      </c>
      <c r="M2" s="62">
        <v>12.23</v>
      </c>
      <c r="N2" s="62">
        <v>0</v>
      </c>
      <c r="O2" s="63">
        <v>0</v>
      </c>
    </row>
    <row r="3" spans="1:15" ht="16">
      <c r="A3" s="64" t="s">
        <v>349</v>
      </c>
      <c r="B3" s="65" t="s">
        <v>367</v>
      </c>
      <c r="C3" s="65" t="s">
        <v>320</v>
      </c>
      <c r="D3" s="95">
        <f>Overview!J20/1000</f>
        <v>8.318916748794391E-6</v>
      </c>
      <c r="E3" s="95">
        <f>0.00758974201249765/1000</f>
        <v>7.5897420124976495E-6</v>
      </c>
      <c r="F3" s="95">
        <v>2.69</v>
      </c>
      <c r="G3" s="95">
        <v>5.14</v>
      </c>
      <c r="H3" s="95">
        <v>5.14</v>
      </c>
      <c r="I3" s="95">
        <v>2.72</v>
      </c>
      <c r="J3" s="95">
        <v>5.14</v>
      </c>
      <c r="K3" s="95">
        <f>0.004809769/1000</f>
        <v>4.8097690000000003E-6</v>
      </c>
      <c r="L3" s="95">
        <f>26.12395597/1000</f>
        <v>2.6123955970000001E-2</v>
      </c>
      <c r="M3" s="65">
        <v>2.72</v>
      </c>
      <c r="N3" s="65">
        <v>5.14</v>
      </c>
      <c r="O3" s="66">
        <v>10.28</v>
      </c>
    </row>
    <row r="4" spans="1:15" ht="16">
      <c r="A4" s="61" t="s">
        <v>347</v>
      </c>
      <c r="B4" s="62" t="s">
        <v>367</v>
      </c>
      <c r="C4" s="62" t="s">
        <v>320</v>
      </c>
      <c r="D4" s="62">
        <f>Overview!J22/1000</f>
        <v>2.6889930322347442</v>
      </c>
      <c r="E4" s="96">
        <f>2688.99874401158/1000</f>
        <v>2.6889987440115801</v>
      </c>
      <c r="F4" s="96"/>
      <c r="G4" s="96"/>
      <c r="H4" s="96"/>
      <c r="I4" s="96"/>
      <c r="J4" s="96"/>
      <c r="K4" s="96">
        <f>2689.00014668487/1000</f>
        <v>2.6890001466848696</v>
      </c>
      <c r="L4" s="96">
        <f>2689.00043712191/1000</f>
        <v>2.6890004371219103</v>
      </c>
      <c r="M4" s="62"/>
      <c r="N4" s="62"/>
      <c r="O4" s="63"/>
    </row>
    <row r="5" spans="1:15" ht="16">
      <c r="A5" s="64" t="s">
        <v>348</v>
      </c>
      <c r="B5" s="65" t="s">
        <v>367</v>
      </c>
      <c r="C5" s="65" t="s">
        <v>320</v>
      </c>
      <c r="D5" s="65">
        <f>Overview!J21/1000</f>
        <v>2.4518200087331268</v>
      </c>
      <c r="E5" s="95">
        <f>2451.80310776911/1000</f>
        <v>2.45180310776911</v>
      </c>
      <c r="F5" s="95"/>
      <c r="G5" s="95"/>
      <c r="H5" s="95"/>
      <c r="I5" s="95"/>
      <c r="J5" s="95"/>
      <c r="K5" s="95">
        <f>0.002037654/1000</f>
        <v>2.037654E-6</v>
      </c>
      <c r="L5" s="95">
        <f>0.01612777/1000</f>
        <v>1.612777E-5</v>
      </c>
      <c r="M5" s="65"/>
      <c r="N5" s="65"/>
      <c r="O5" s="66"/>
    </row>
    <row r="6" spans="1:15" ht="16">
      <c r="A6" s="61" t="s">
        <v>314</v>
      </c>
      <c r="B6" s="62" t="s">
        <v>367</v>
      </c>
      <c r="C6" s="62" t="s">
        <v>320</v>
      </c>
      <c r="D6" s="62">
        <v>18.260000000000002</v>
      </c>
      <c r="E6" s="62">
        <v>16.05</v>
      </c>
      <c r="F6" s="62">
        <v>17.53</v>
      </c>
      <c r="G6" s="62">
        <v>16.54</v>
      </c>
      <c r="H6" s="62">
        <v>17.29</v>
      </c>
      <c r="I6" s="62">
        <v>16.37</v>
      </c>
      <c r="J6" s="62">
        <v>15.92</v>
      </c>
      <c r="K6" s="62">
        <v>17.37</v>
      </c>
      <c r="L6" s="62">
        <v>16.05</v>
      </c>
      <c r="M6" s="62">
        <v>16.37</v>
      </c>
      <c r="N6" s="62">
        <v>15.82</v>
      </c>
      <c r="O6" s="63">
        <v>15.89</v>
      </c>
    </row>
    <row r="7" spans="1:15" ht="17.149999999999999" customHeight="1">
      <c r="A7" s="64" t="s">
        <v>315</v>
      </c>
      <c r="B7" s="65" t="s">
        <v>367</v>
      </c>
      <c r="C7" s="65" t="s">
        <v>320</v>
      </c>
      <c r="D7" s="65">
        <v>15.49</v>
      </c>
      <c r="E7" s="65">
        <v>15.49</v>
      </c>
      <c r="F7" s="65">
        <v>15.49</v>
      </c>
      <c r="G7" s="65">
        <v>15.49</v>
      </c>
      <c r="H7" s="65">
        <v>15.49</v>
      </c>
      <c r="I7" s="65">
        <v>15.49</v>
      </c>
      <c r="J7" s="65">
        <v>15.49</v>
      </c>
      <c r="K7" s="65">
        <v>15.49</v>
      </c>
      <c r="L7" s="65">
        <v>15.49</v>
      </c>
      <c r="M7" s="65">
        <v>15.49</v>
      </c>
      <c r="N7" s="65">
        <v>15.39</v>
      </c>
      <c r="O7" s="66">
        <v>15.49</v>
      </c>
    </row>
    <row r="8" spans="1:15" ht="16">
      <c r="A8" s="61" t="s">
        <v>316</v>
      </c>
      <c r="B8" s="62" t="s">
        <v>367</v>
      </c>
      <c r="C8" s="62" t="s">
        <v>320</v>
      </c>
      <c r="D8" s="62">
        <v>0</v>
      </c>
      <c r="E8" s="62">
        <v>0</v>
      </c>
      <c r="F8" s="62">
        <v>0</v>
      </c>
      <c r="G8" s="62">
        <v>0.15</v>
      </c>
      <c r="H8" s="62">
        <v>1.91</v>
      </c>
      <c r="I8" s="62">
        <v>0</v>
      </c>
      <c r="J8" s="62">
        <v>0</v>
      </c>
      <c r="K8" s="62">
        <v>0</v>
      </c>
      <c r="L8" s="62">
        <v>0</v>
      </c>
      <c r="M8" s="62">
        <v>0</v>
      </c>
      <c r="N8" s="62">
        <v>0.24</v>
      </c>
      <c r="O8" s="63">
        <v>0</v>
      </c>
    </row>
    <row r="9" spans="1:15" ht="16">
      <c r="A9" s="64" t="s">
        <v>317</v>
      </c>
      <c r="B9" s="65" t="s">
        <v>367</v>
      </c>
      <c r="C9" s="65" t="s">
        <v>320</v>
      </c>
      <c r="D9" s="65">
        <v>33.61</v>
      </c>
      <c r="E9" s="65">
        <v>33.61</v>
      </c>
      <c r="F9" s="65">
        <v>30.2</v>
      </c>
      <c r="G9" s="65">
        <v>40.299999999999997</v>
      </c>
      <c r="H9" s="65">
        <v>33.61</v>
      </c>
      <c r="I9" s="65">
        <v>32.11</v>
      </c>
      <c r="J9" s="65">
        <v>33.61</v>
      </c>
      <c r="K9" s="65">
        <v>30.22</v>
      </c>
      <c r="L9" s="65">
        <v>30.25</v>
      </c>
      <c r="M9" s="65">
        <v>32.11</v>
      </c>
      <c r="N9" s="65">
        <v>30.75</v>
      </c>
      <c r="O9" s="66">
        <v>33.61</v>
      </c>
    </row>
    <row r="10" spans="1:15" ht="16">
      <c r="A10" s="61" t="s">
        <v>156</v>
      </c>
      <c r="B10" s="62" t="s">
        <v>367</v>
      </c>
      <c r="C10" s="62" t="s">
        <v>320</v>
      </c>
      <c r="D10" s="62">
        <v>6.09</v>
      </c>
      <c r="E10" s="62">
        <v>5.67</v>
      </c>
      <c r="F10" s="62">
        <v>7.96</v>
      </c>
      <c r="G10" s="62">
        <v>5.93</v>
      </c>
      <c r="H10" s="62">
        <v>5.98</v>
      </c>
      <c r="I10" s="62">
        <v>6.09</v>
      </c>
      <c r="J10" s="62">
        <v>5.68</v>
      </c>
      <c r="K10" s="62">
        <v>7.92</v>
      </c>
      <c r="L10" s="62">
        <v>6.72</v>
      </c>
      <c r="M10" s="62">
        <v>6.09</v>
      </c>
      <c r="N10" s="62">
        <v>0.75</v>
      </c>
      <c r="O10" s="63">
        <v>5.64</v>
      </c>
    </row>
    <row r="11" spans="1:15" ht="16">
      <c r="A11" s="64" t="s">
        <v>310</v>
      </c>
      <c r="B11" s="65" t="s">
        <v>367</v>
      </c>
      <c r="C11" s="65" t="s">
        <v>320</v>
      </c>
      <c r="D11" s="65">
        <v>4.12</v>
      </c>
      <c r="E11" s="65">
        <v>4.04</v>
      </c>
      <c r="F11" s="65">
        <v>4.0599999999999996</v>
      </c>
      <c r="G11" s="65">
        <v>3.97</v>
      </c>
      <c r="H11" s="65">
        <v>4.08</v>
      </c>
      <c r="I11" s="65">
        <v>4.0599999999999996</v>
      </c>
      <c r="J11" s="65">
        <v>8.0399999999999991</v>
      </c>
      <c r="K11" s="65">
        <v>7.32</v>
      </c>
      <c r="L11" s="65">
        <v>8.0399999999999991</v>
      </c>
      <c r="M11" s="65">
        <v>4.0599999999999996</v>
      </c>
      <c r="N11" s="65">
        <v>3.96</v>
      </c>
      <c r="O11" s="66">
        <v>4.03</v>
      </c>
    </row>
    <row r="12" spans="1:15" ht="16">
      <c r="A12" s="61" t="s">
        <v>318</v>
      </c>
      <c r="B12" s="62" t="s">
        <v>367</v>
      </c>
      <c r="C12" s="62" t="s">
        <v>320</v>
      </c>
      <c r="D12" s="62">
        <v>0</v>
      </c>
      <c r="E12" s="62">
        <v>0</v>
      </c>
      <c r="F12" s="62">
        <v>14.96</v>
      </c>
      <c r="G12" s="62">
        <v>0</v>
      </c>
      <c r="H12" s="62">
        <v>0</v>
      </c>
      <c r="I12" s="62">
        <v>0</v>
      </c>
      <c r="J12" s="62">
        <v>0</v>
      </c>
      <c r="K12" s="62">
        <v>12.65</v>
      </c>
      <c r="L12" s="62">
        <v>0</v>
      </c>
      <c r="M12" s="62">
        <v>0</v>
      </c>
      <c r="N12" s="62">
        <v>0</v>
      </c>
      <c r="O12" s="63">
        <v>0</v>
      </c>
    </row>
    <row r="13" spans="1:15" ht="16">
      <c r="A13" s="64" t="s">
        <v>183</v>
      </c>
      <c r="B13" s="65" t="s">
        <v>367</v>
      </c>
      <c r="C13" s="65" t="s">
        <v>320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7.06</v>
      </c>
      <c r="M13" s="65">
        <v>0</v>
      </c>
      <c r="N13" s="65">
        <v>17.100000000000001</v>
      </c>
      <c r="O13" s="66">
        <v>0</v>
      </c>
    </row>
    <row r="14" spans="1:15" ht="16">
      <c r="A14" s="61" t="s">
        <v>319</v>
      </c>
      <c r="B14" s="62" t="s">
        <v>392</v>
      </c>
      <c r="C14" s="62" t="s">
        <v>327</v>
      </c>
      <c r="D14" s="62">
        <v>0</v>
      </c>
      <c r="E14" s="62">
        <v>0</v>
      </c>
      <c r="F14" s="62">
        <v>0</v>
      </c>
      <c r="G14" s="62">
        <v>2.66</v>
      </c>
      <c r="H14" s="62">
        <v>2.66</v>
      </c>
      <c r="I14" s="62">
        <v>0</v>
      </c>
      <c r="J14" s="62">
        <v>2.1</v>
      </c>
      <c r="K14" s="62">
        <v>0</v>
      </c>
      <c r="L14" s="62">
        <v>0</v>
      </c>
      <c r="M14" s="62">
        <v>0</v>
      </c>
      <c r="N14" s="62">
        <v>0</v>
      </c>
      <c r="O14" s="63">
        <v>0</v>
      </c>
    </row>
    <row r="15" spans="1:15" ht="16">
      <c r="A15" s="64" t="s">
        <v>320</v>
      </c>
      <c r="B15" s="65" t="s">
        <v>392</v>
      </c>
      <c r="C15" s="65" t="s">
        <v>327</v>
      </c>
      <c r="D15" s="65">
        <v>0</v>
      </c>
      <c r="E15" s="65">
        <v>3.2</v>
      </c>
      <c r="F15" s="65">
        <v>3.2</v>
      </c>
      <c r="G15" s="65">
        <v>0.54</v>
      </c>
      <c r="H15" s="65">
        <v>0.54</v>
      </c>
      <c r="I15" s="65">
        <v>3.2</v>
      </c>
      <c r="J15" s="65">
        <v>1.1000000000000001</v>
      </c>
      <c r="K15" s="65">
        <v>3.2</v>
      </c>
      <c r="L15" s="65">
        <v>3.2</v>
      </c>
      <c r="M15" s="65">
        <v>3.2</v>
      </c>
      <c r="N15" s="65">
        <v>3.2</v>
      </c>
      <c r="O15" s="66">
        <v>3.2</v>
      </c>
    </row>
    <row r="16" spans="1:15" ht="16">
      <c r="A16" s="61" t="s">
        <v>321</v>
      </c>
      <c r="B16" s="62" t="s">
        <v>392</v>
      </c>
      <c r="C16" s="62" t="s">
        <v>327</v>
      </c>
      <c r="D16" s="62">
        <v>3.2</v>
      </c>
      <c r="E16" s="62">
        <v>0</v>
      </c>
      <c r="F16" s="62">
        <v>0</v>
      </c>
      <c r="G16" s="62">
        <v>0</v>
      </c>
      <c r="H16" s="62">
        <v>0</v>
      </c>
      <c r="I16" s="62">
        <v>0</v>
      </c>
      <c r="J16" s="62">
        <v>0</v>
      </c>
      <c r="K16" s="62">
        <v>0</v>
      </c>
      <c r="L16" s="62">
        <v>0</v>
      </c>
      <c r="M16" s="62">
        <v>0</v>
      </c>
      <c r="N16" s="62">
        <v>0</v>
      </c>
      <c r="O16" s="63">
        <v>0</v>
      </c>
    </row>
    <row r="17" spans="1:15" ht="16">
      <c r="A17" s="64" t="s">
        <v>322</v>
      </c>
      <c r="B17" s="65" t="s">
        <v>367</v>
      </c>
      <c r="C17" s="65" t="s">
        <v>329</v>
      </c>
      <c r="D17" s="65">
        <v>5.7</v>
      </c>
      <c r="E17" s="65">
        <v>5.702</v>
      </c>
      <c r="F17" s="65">
        <v>5.7</v>
      </c>
      <c r="G17" s="65">
        <v>5.7</v>
      </c>
      <c r="H17" s="65">
        <v>5.7</v>
      </c>
      <c r="I17" s="65">
        <v>5.7</v>
      </c>
      <c r="J17" s="65">
        <v>5.7</v>
      </c>
      <c r="K17" s="65">
        <v>5.702</v>
      </c>
      <c r="L17" s="65">
        <v>5.702</v>
      </c>
      <c r="M17" s="65">
        <v>5.7</v>
      </c>
      <c r="N17" s="65">
        <v>5.7</v>
      </c>
      <c r="O17" s="66">
        <v>5.7</v>
      </c>
    </row>
    <row r="18" spans="1:15" ht="16">
      <c r="A18" s="61" t="s">
        <v>323</v>
      </c>
      <c r="B18" s="62" t="s">
        <v>367</v>
      </c>
      <c r="C18" s="62" t="s">
        <v>330</v>
      </c>
      <c r="D18" s="62">
        <v>0</v>
      </c>
      <c r="E18" s="62">
        <v>0</v>
      </c>
      <c r="F18" s="62">
        <v>0</v>
      </c>
      <c r="G18" s="62">
        <v>0</v>
      </c>
      <c r="H18" s="62">
        <v>0</v>
      </c>
      <c r="I18" s="62">
        <v>0.08</v>
      </c>
      <c r="J18" s="62">
        <v>0</v>
      </c>
      <c r="K18" s="62">
        <v>0</v>
      </c>
      <c r="L18" s="62">
        <v>0.08</v>
      </c>
      <c r="M18" s="62">
        <v>0.08</v>
      </c>
      <c r="N18" s="62">
        <v>0.08</v>
      </c>
      <c r="O18" s="63">
        <v>0</v>
      </c>
    </row>
    <row r="19" spans="1:15" ht="16">
      <c r="A19" s="64" t="s">
        <v>324</v>
      </c>
      <c r="B19" s="65" t="s">
        <v>367</v>
      </c>
      <c r="C19" s="65" t="s">
        <v>330</v>
      </c>
      <c r="D19" s="65">
        <v>0.08</v>
      </c>
      <c r="E19" s="65">
        <v>0</v>
      </c>
      <c r="F19" s="65">
        <v>0</v>
      </c>
      <c r="G19" s="65">
        <v>1.91</v>
      </c>
      <c r="H19" s="65">
        <v>1.92</v>
      </c>
      <c r="I19" s="65">
        <v>0</v>
      </c>
      <c r="J19" s="65">
        <v>0.08</v>
      </c>
      <c r="K19" s="65">
        <v>0</v>
      </c>
      <c r="L19" s="65">
        <v>0</v>
      </c>
      <c r="M19" s="65">
        <v>0</v>
      </c>
      <c r="N19" s="65">
        <v>0</v>
      </c>
      <c r="O19" s="66">
        <v>0</v>
      </c>
    </row>
    <row r="20" spans="1:15" ht="16">
      <c r="A20" s="61" t="s">
        <v>350</v>
      </c>
      <c r="B20" s="62" t="s">
        <v>367</v>
      </c>
      <c r="C20" s="62" t="s">
        <v>330</v>
      </c>
      <c r="D20" s="62">
        <v>6.05</v>
      </c>
      <c r="E20" s="62">
        <v>6.05</v>
      </c>
      <c r="F20" s="62">
        <v>6.05</v>
      </c>
      <c r="G20" s="62">
        <v>4.22</v>
      </c>
      <c r="H20" s="62">
        <v>4.21</v>
      </c>
      <c r="I20" s="62">
        <v>6.05</v>
      </c>
      <c r="J20" s="62">
        <v>6.05</v>
      </c>
      <c r="K20" s="62">
        <v>6.05</v>
      </c>
      <c r="L20" s="62">
        <v>6.05</v>
      </c>
      <c r="M20" s="62">
        <v>6.05</v>
      </c>
      <c r="N20" s="62">
        <v>6.05</v>
      </c>
      <c r="O20" s="63">
        <v>6.05</v>
      </c>
    </row>
    <row r="21" spans="1:15" ht="16">
      <c r="A21" s="64" t="s">
        <v>324</v>
      </c>
      <c r="B21" s="65" t="s">
        <v>367</v>
      </c>
      <c r="C21" s="65" t="s">
        <v>331</v>
      </c>
      <c r="D21" s="65">
        <v>0</v>
      </c>
      <c r="E21" s="65">
        <v>0</v>
      </c>
      <c r="F21" s="65">
        <v>0</v>
      </c>
      <c r="G21" s="65">
        <v>2.57</v>
      </c>
      <c r="H21" s="65">
        <v>2.56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6">
        <v>0</v>
      </c>
    </row>
    <row r="22" spans="1:15" ht="16">
      <c r="A22" s="61" t="s">
        <v>326</v>
      </c>
      <c r="B22" s="62" t="s">
        <v>367</v>
      </c>
      <c r="C22" s="62" t="s">
        <v>331</v>
      </c>
      <c r="D22" s="62">
        <v>7.93</v>
      </c>
      <c r="E22" s="62">
        <v>4.2910000000000004</v>
      </c>
      <c r="F22" s="62">
        <v>9.33</v>
      </c>
      <c r="G22" s="62">
        <v>0</v>
      </c>
      <c r="H22" s="62">
        <v>0</v>
      </c>
      <c r="I22" s="62">
        <v>4.4000000000000004</v>
      </c>
      <c r="J22" s="62">
        <v>4.4000000000000004</v>
      </c>
      <c r="K22" s="62">
        <v>8.7100000000000009</v>
      </c>
      <c r="L22" s="62">
        <v>4.4000000000000004</v>
      </c>
      <c r="M22" s="62">
        <v>4.4000000000000004</v>
      </c>
      <c r="N22" s="62">
        <v>4.4000000000000004</v>
      </c>
      <c r="O22" s="63">
        <v>4.4000000000000004</v>
      </c>
    </row>
    <row r="23" spans="1:15" ht="16">
      <c r="A23" s="64" t="s">
        <v>325</v>
      </c>
      <c r="B23" s="65" t="s">
        <v>367</v>
      </c>
      <c r="C23" s="65" t="s">
        <v>331</v>
      </c>
      <c r="D23" s="65">
        <v>0</v>
      </c>
      <c r="E23" s="65">
        <v>0</v>
      </c>
      <c r="F23" s="65">
        <v>0</v>
      </c>
      <c r="G23" s="65">
        <v>1.83</v>
      </c>
      <c r="H23" s="65">
        <v>1.84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6">
        <v>0</v>
      </c>
    </row>
    <row r="24" spans="1:15" ht="16">
      <c r="A24" s="61" t="s">
        <v>320</v>
      </c>
      <c r="B24" s="62" t="s">
        <v>392</v>
      </c>
      <c r="C24" s="62" t="s">
        <v>328</v>
      </c>
      <c r="D24" s="62">
        <v>69.22</v>
      </c>
      <c r="E24" s="62">
        <v>74.790000000000006</v>
      </c>
      <c r="F24" s="62">
        <v>74.790000000000006</v>
      </c>
      <c r="G24" s="62">
        <v>74.790000000000006</v>
      </c>
      <c r="H24" s="62">
        <v>74.790000000000006</v>
      </c>
      <c r="I24" s="62">
        <v>74.790000000000006</v>
      </c>
      <c r="J24" s="62">
        <v>74.790000000000006</v>
      </c>
      <c r="K24" s="62">
        <v>74.790000000000006</v>
      </c>
      <c r="L24" s="62">
        <v>74.790000000000006</v>
      </c>
      <c r="M24" s="62">
        <v>74.790000000000006</v>
      </c>
      <c r="N24" s="62">
        <v>74.790000000000006</v>
      </c>
      <c r="O24" s="63">
        <v>74.790000000000006</v>
      </c>
    </row>
    <row r="25" spans="1:15" ht="16">
      <c r="A25" s="64" t="s">
        <v>321</v>
      </c>
      <c r="B25" s="65" t="s">
        <v>392</v>
      </c>
      <c r="C25" s="65" t="s">
        <v>328</v>
      </c>
      <c r="D25" s="65">
        <v>5.57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6">
        <v>0</v>
      </c>
    </row>
    <row r="26" spans="1:15" ht="16">
      <c r="A26" s="61" t="s">
        <v>323</v>
      </c>
      <c r="B26" s="62" t="s">
        <v>367</v>
      </c>
      <c r="C26" s="62" t="s">
        <v>342</v>
      </c>
      <c r="D26" s="62">
        <v>34.85</v>
      </c>
      <c r="E26" s="62">
        <v>32.72</v>
      </c>
      <c r="F26" s="62">
        <v>0</v>
      </c>
      <c r="G26" s="62">
        <v>34.85</v>
      </c>
      <c r="H26" s="62">
        <v>34.85</v>
      </c>
      <c r="I26" s="62">
        <v>0</v>
      </c>
      <c r="J26" s="62">
        <v>34.85</v>
      </c>
      <c r="K26" s="62">
        <v>0</v>
      </c>
      <c r="L26" s="62">
        <v>18.239999999999998</v>
      </c>
      <c r="M26" s="62">
        <v>0</v>
      </c>
      <c r="N26" s="62">
        <v>21.65</v>
      </c>
      <c r="O26" s="63">
        <v>29.2</v>
      </c>
    </row>
    <row r="27" spans="1:15" ht="16">
      <c r="A27" s="64" t="s">
        <v>326</v>
      </c>
      <c r="B27" s="65" t="s">
        <v>367</v>
      </c>
      <c r="C27" s="65" t="s">
        <v>342</v>
      </c>
      <c r="D27" s="65">
        <v>1.63</v>
      </c>
      <c r="E27" s="65">
        <v>19.988</v>
      </c>
      <c r="F27" s="65">
        <v>55.11</v>
      </c>
      <c r="G27" s="65">
        <v>17.86</v>
      </c>
      <c r="H27" s="65">
        <v>17.86</v>
      </c>
      <c r="I27" s="65">
        <v>55.11</v>
      </c>
      <c r="J27" s="65">
        <v>17.86</v>
      </c>
      <c r="K27" s="65">
        <v>55.11</v>
      </c>
      <c r="L27" s="65">
        <v>36.869999999999997</v>
      </c>
      <c r="M27" s="65">
        <v>55.11</v>
      </c>
      <c r="N27" s="65">
        <v>31.09</v>
      </c>
      <c r="O27" s="66">
        <v>18.489999999999998</v>
      </c>
    </row>
    <row r="28" spans="1:15" ht="16">
      <c r="A28" s="61" t="s">
        <v>322</v>
      </c>
      <c r="B28" s="62" t="s">
        <v>367</v>
      </c>
      <c r="C28" s="62" t="s">
        <v>342</v>
      </c>
      <c r="D28" s="62">
        <v>18.63</v>
      </c>
      <c r="E28" s="62">
        <v>2.4</v>
      </c>
      <c r="F28" s="62">
        <v>0</v>
      </c>
      <c r="G28" s="62">
        <v>2.4</v>
      </c>
      <c r="H28" s="62">
        <v>2.4</v>
      </c>
      <c r="I28" s="62">
        <v>0</v>
      </c>
      <c r="J28" s="62">
        <v>2.4</v>
      </c>
      <c r="K28" s="62">
        <v>0</v>
      </c>
      <c r="L28" s="62">
        <v>0</v>
      </c>
      <c r="M28" s="62">
        <v>0</v>
      </c>
      <c r="N28" s="62">
        <v>2.37</v>
      </c>
      <c r="O28" s="63">
        <v>7.43</v>
      </c>
    </row>
    <row r="29" spans="1:15" ht="16">
      <c r="A29" s="84" t="s">
        <v>333</v>
      </c>
      <c r="B29" s="98" t="s">
        <v>367</v>
      </c>
      <c r="C29" s="85"/>
      <c r="D29" s="85">
        <f t="shared" ref="D29:O29" si="0">SUM(D2:D13)</f>
        <v>82.710821359884619</v>
      </c>
      <c r="E29" s="97">
        <f t="shared" si="0"/>
        <v>80.000809441522705</v>
      </c>
      <c r="F29" s="97">
        <f t="shared" si="0"/>
        <v>92.889999999999986</v>
      </c>
      <c r="G29" s="97">
        <f t="shared" si="0"/>
        <v>87.52000000000001</v>
      </c>
      <c r="H29" s="97">
        <f t="shared" si="0"/>
        <v>83.5</v>
      </c>
      <c r="I29" s="97">
        <f t="shared" si="0"/>
        <v>89.070000000000007</v>
      </c>
      <c r="J29" s="97">
        <f t="shared" si="0"/>
        <v>83.88</v>
      </c>
      <c r="K29" s="97">
        <f t="shared" si="0"/>
        <v>93.65900699410787</v>
      </c>
      <c r="L29" s="97">
        <f t="shared" si="0"/>
        <v>90.605140520861909</v>
      </c>
      <c r="M29" s="85">
        <f t="shared" si="0"/>
        <v>89.070000000000007</v>
      </c>
      <c r="N29" s="85">
        <f t="shared" si="0"/>
        <v>89.15</v>
      </c>
      <c r="O29" s="85">
        <f t="shared" si="0"/>
        <v>84.940000000000012</v>
      </c>
    </row>
    <row r="30" spans="1:15" ht="15.5">
      <c r="A30" s="86" t="s">
        <v>335</v>
      </c>
      <c r="B30" s="86" t="s">
        <v>392</v>
      </c>
      <c r="C30" s="85"/>
      <c r="D30" s="85">
        <f>SUM(D14:D16)</f>
        <v>3.2</v>
      </c>
      <c r="E30" s="85">
        <f>SUM(E14:E16,E24:E25)</f>
        <v>77.990000000000009</v>
      </c>
      <c r="F30" s="85">
        <f t="shared" ref="E30:O30" si="1">SUM(F14:F16,F24:F25)</f>
        <v>77.990000000000009</v>
      </c>
      <c r="G30" s="85">
        <f t="shared" si="1"/>
        <v>77.990000000000009</v>
      </c>
      <c r="H30" s="85">
        <f t="shared" si="1"/>
        <v>77.990000000000009</v>
      </c>
      <c r="I30" s="85">
        <f t="shared" si="1"/>
        <v>77.990000000000009</v>
      </c>
      <c r="J30" s="85">
        <f t="shared" si="1"/>
        <v>77.990000000000009</v>
      </c>
      <c r="K30" s="85">
        <f t="shared" si="1"/>
        <v>77.990000000000009</v>
      </c>
      <c r="L30" s="85">
        <f t="shared" si="1"/>
        <v>77.990000000000009</v>
      </c>
      <c r="M30" s="85">
        <f t="shared" si="1"/>
        <v>77.990000000000009</v>
      </c>
      <c r="N30" s="85">
        <f t="shared" si="1"/>
        <v>77.990000000000009</v>
      </c>
      <c r="O30" s="85">
        <f t="shared" si="1"/>
        <v>77.990000000000009</v>
      </c>
    </row>
    <row r="31" spans="1:15" ht="15.5">
      <c r="A31" s="86" t="s">
        <v>336</v>
      </c>
      <c r="B31" s="86" t="s">
        <v>367</v>
      </c>
      <c r="C31" s="85"/>
      <c r="D31" s="85">
        <f>SUM(D17:D23)</f>
        <v>19.759999999999998</v>
      </c>
      <c r="E31" s="97">
        <f>SUM(E17:E23,E26:E28)</f>
        <v>71.15100000000001</v>
      </c>
      <c r="F31" s="97">
        <f t="shared" ref="F31:L31" si="2">SUM(F17:F23,F26:F28)</f>
        <v>76.19</v>
      </c>
      <c r="G31" s="97">
        <f t="shared" si="2"/>
        <v>71.34</v>
      </c>
      <c r="H31" s="97">
        <f t="shared" si="2"/>
        <v>71.34</v>
      </c>
      <c r="I31" s="97">
        <f t="shared" si="2"/>
        <v>71.34</v>
      </c>
      <c r="J31" s="97">
        <f t="shared" si="2"/>
        <v>71.34</v>
      </c>
      <c r="K31" s="97">
        <f>SUM(K17:K23,K26:K28)</f>
        <v>75.572000000000003</v>
      </c>
      <c r="L31" s="97">
        <f>SUM(L17:L23,L26:L28)</f>
        <v>71.341999999999985</v>
      </c>
      <c r="M31" s="85">
        <f>SUM(M17:M23)</f>
        <v>16.23</v>
      </c>
      <c r="N31" s="85">
        <f>SUM(N17:N23)</f>
        <v>16.23</v>
      </c>
      <c r="O31" s="85">
        <f>SUM(O17:O23)</f>
        <v>16.149999999999999</v>
      </c>
    </row>
    <row r="32" spans="1:15">
      <c r="C32" t="s">
        <v>342</v>
      </c>
      <c r="E32">
        <f>SUM(E26:E28)</f>
        <v>55.107999999999997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031D-EED8-9446-B170-BDFA01D9C5E3}">
  <sheetPr>
    <tabColor theme="8"/>
  </sheetPr>
  <dimension ref="A1:U280"/>
  <sheetViews>
    <sheetView zoomScale="110" zoomScaleNormal="110" workbookViewId="0">
      <pane ySplit="2" topLeftCell="A80" activePane="bottomLeft" state="frozen"/>
      <selection pane="bottomLeft" activeCell="R26" sqref="R26"/>
    </sheetView>
  </sheetViews>
  <sheetFormatPr defaultColWidth="11.453125" defaultRowHeight="14.5"/>
  <cols>
    <col min="4" max="4" width="23" customWidth="1"/>
    <col min="6" max="6" width="12.1796875" bestFit="1" customWidth="1"/>
    <col min="9" max="9" width="11.81640625" bestFit="1" customWidth="1"/>
    <col min="10" max="10" width="17.26953125" customWidth="1"/>
    <col min="11" max="11" width="20.81640625" customWidth="1"/>
    <col min="14" max="14" width="12.1796875" customWidth="1"/>
    <col min="15" max="15" width="18.1796875" customWidth="1"/>
    <col min="16" max="16" width="18.26953125" customWidth="1"/>
    <col min="18" max="18" width="12.7265625" customWidth="1"/>
    <col min="20" max="20" width="4.81640625" customWidth="1"/>
  </cols>
  <sheetData>
    <row r="1" spans="1:20">
      <c r="J1" s="158" t="s">
        <v>368</v>
      </c>
      <c r="K1" s="158" t="s">
        <v>369</v>
      </c>
      <c r="L1" s="257" t="s">
        <v>332</v>
      </c>
    </row>
    <row r="2" spans="1:20" ht="33" customHeight="1" thickBot="1">
      <c r="A2" s="69" t="s">
        <v>371</v>
      </c>
      <c r="B2" s="69" t="s">
        <v>360</v>
      </c>
      <c r="C2" s="69" t="s">
        <v>359</v>
      </c>
      <c r="D2" s="69" t="s">
        <v>362</v>
      </c>
      <c r="E2" s="69" t="s">
        <v>375</v>
      </c>
      <c r="F2" s="69" t="s">
        <v>379</v>
      </c>
      <c r="G2" s="69" t="s">
        <v>363</v>
      </c>
      <c r="H2" s="69" t="s">
        <v>364</v>
      </c>
      <c r="I2" s="69" t="s">
        <v>419</v>
      </c>
      <c r="J2" s="68" t="s">
        <v>228</v>
      </c>
      <c r="K2" s="217" t="s">
        <v>228</v>
      </c>
      <c r="L2" s="258"/>
    </row>
    <row r="3" spans="1:20">
      <c r="A3" t="s">
        <v>4</v>
      </c>
      <c r="B3" t="s">
        <v>361</v>
      </c>
      <c r="D3" s="115" t="s">
        <v>322</v>
      </c>
      <c r="E3" s="103"/>
      <c r="F3" s="103"/>
      <c r="G3">
        <v>11481</v>
      </c>
      <c r="H3" s="103"/>
      <c r="I3" s="94"/>
      <c r="J3" s="99" t="e">
        <f>Results_energy_scenarios!K3</f>
        <v>#REF!</v>
      </c>
      <c r="K3" s="218" t="e">
        <f>Results_energy_scenarios!AA3</f>
        <v>#REF!</v>
      </c>
      <c r="L3" s="161"/>
    </row>
    <row r="4" spans="1:20">
      <c r="D4" t="s">
        <v>545</v>
      </c>
      <c r="E4" s="103"/>
      <c r="F4" s="103"/>
      <c r="H4" s="103"/>
      <c r="I4" s="94"/>
      <c r="J4" s="219" t="e">
        <f>SUMIF(L7:L16,L4,J7:J16)</f>
        <v>#REF!</v>
      </c>
      <c r="K4" s="102" t="e">
        <f>SUMIF(L7:L16,L4,K7:K16)</f>
        <v>#REF!</v>
      </c>
      <c r="L4" s="229" t="s">
        <v>37</v>
      </c>
    </row>
    <row r="5" spans="1:20">
      <c r="D5" t="s">
        <v>546</v>
      </c>
      <c r="E5" s="103"/>
      <c r="F5" s="103"/>
      <c r="H5" s="103"/>
      <c r="I5" s="94"/>
      <c r="J5" s="219" t="e">
        <f>SUMIF(L7:L16,L5,J7:J16)</f>
        <v>#REF!</v>
      </c>
      <c r="K5" s="102" t="e">
        <f>SUMIF(L7:L16,L5,K7:K16)</f>
        <v>#REF!</v>
      </c>
      <c r="L5" s="229" t="s">
        <v>334</v>
      </c>
    </row>
    <row r="6" spans="1:20">
      <c r="A6" t="s">
        <v>4</v>
      </c>
      <c r="B6" t="s">
        <v>361</v>
      </c>
      <c r="D6" s="115" t="s">
        <v>406</v>
      </c>
      <c r="E6" s="103"/>
      <c r="F6" s="103"/>
      <c r="G6">
        <v>11481</v>
      </c>
      <c r="H6" s="103"/>
      <c r="I6" s="174"/>
      <c r="J6" s="219" t="e">
        <f>Results_energy_scenarios!K4</f>
        <v>#REF!</v>
      </c>
      <c r="K6" s="99" t="e">
        <f>Results_energy_scenarios!AA4</f>
        <v>#REF!</v>
      </c>
      <c r="L6" s="160"/>
      <c r="Q6" s="90" t="s">
        <v>368</v>
      </c>
      <c r="R6" s="90" t="s">
        <v>369</v>
      </c>
      <c r="S6" s="90" t="s">
        <v>413</v>
      </c>
      <c r="T6" s="90" t="s">
        <v>365</v>
      </c>
    </row>
    <row r="7" spans="1:20">
      <c r="A7" t="s">
        <v>4</v>
      </c>
      <c r="B7" t="s">
        <v>361</v>
      </c>
      <c r="C7" s="157"/>
      <c r="D7" s="115" t="s">
        <v>395</v>
      </c>
      <c r="E7" s="103"/>
      <c r="F7" s="103"/>
      <c r="G7">
        <f>Overview!G40</f>
        <v>9129.2301208358294</v>
      </c>
      <c r="H7" s="103"/>
      <c r="I7" s="174"/>
      <c r="J7" s="219" t="e">
        <f>Results_energy_scenarios!K5</f>
        <v>#REF!</v>
      </c>
      <c r="K7" s="99" t="e">
        <f>Results_energy_scenarios!AA5</f>
        <v>#REF!</v>
      </c>
      <c r="L7" s="159" t="s">
        <v>334</v>
      </c>
      <c r="N7" t="s">
        <v>544</v>
      </c>
      <c r="O7" t="s">
        <v>320</v>
      </c>
      <c r="P7" t="s">
        <v>37</v>
      </c>
      <c r="Q7" t="e">
        <f>SUMIF(L36:L42,P7,J36:J42)</f>
        <v>#REF!</v>
      </c>
      <c r="R7" t="e">
        <f>SUMIF(L36:L42,P7,K36:K42)</f>
        <v>#REF!</v>
      </c>
      <c r="T7" t="s">
        <v>543</v>
      </c>
    </row>
    <row r="8" spans="1:20">
      <c r="A8" t="s">
        <v>4</v>
      </c>
      <c r="B8" t="s">
        <v>361</v>
      </c>
      <c r="C8" s="157"/>
      <c r="D8" s="113" t="s">
        <v>387</v>
      </c>
      <c r="E8" s="103"/>
      <c r="F8" s="103"/>
      <c r="G8">
        <f>Overview!G9</f>
        <v>1689.0952703679509</v>
      </c>
      <c r="H8">
        <f>Overview!C9</f>
        <v>0.19229254540269089</v>
      </c>
      <c r="I8" s="174"/>
      <c r="J8" s="219" t="e">
        <f>Results_energy_scenarios!K6</f>
        <v>#REF!</v>
      </c>
      <c r="K8" s="99" t="e">
        <f>Results_energy_scenarios!AA6</f>
        <v>#REF!</v>
      </c>
      <c r="L8" s="159" t="s">
        <v>37</v>
      </c>
      <c r="O8" t="s">
        <v>320</v>
      </c>
      <c r="P8" t="s">
        <v>334</v>
      </c>
      <c r="Q8" t="e">
        <f>SUMIF(L36:L42,P8,J36:J42)</f>
        <v>#REF!</v>
      </c>
      <c r="R8" t="e">
        <f>SUMIF(L36:L42,P8,K36:K42)</f>
        <v>#REF!</v>
      </c>
      <c r="T8" t="s">
        <v>543</v>
      </c>
    </row>
    <row r="9" spans="1:20">
      <c r="A9" t="s">
        <v>4</v>
      </c>
      <c r="B9" t="s">
        <v>361</v>
      </c>
      <c r="C9" s="157"/>
      <c r="D9" s="117" t="s">
        <v>81</v>
      </c>
      <c r="E9" s="103"/>
      <c r="F9">
        <f>Overview!G23</f>
        <v>73357.326753142683</v>
      </c>
      <c r="G9" s="103"/>
      <c r="H9" s="103"/>
      <c r="I9" s="174"/>
      <c r="J9" s="219" t="e">
        <f>Results_energy_scenarios!K7</f>
        <v>#REF!</v>
      </c>
      <c r="K9" s="99" t="e">
        <f>Results_energy_scenarios!AA7</f>
        <v>#REF!</v>
      </c>
      <c r="L9" s="159" t="s">
        <v>37</v>
      </c>
      <c r="O9" t="s">
        <v>361</v>
      </c>
      <c r="P9" t="s">
        <v>37</v>
      </c>
      <c r="Q9" t="e">
        <f>SUMIF(L17:L35,P9,J17:J35)</f>
        <v>#REF!</v>
      </c>
      <c r="R9" t="e">
        <f>SUMIF(L17:L35,P9,K17:K35)</f>
        <v>#REF!</v>
      </c>
      <c r="T9" t="s">
        <v>543</v>
      </c>
    </row>
    <row r="10" spans="1:20">
      <c r="A10" t="s">
        <v>4</v>
      </c>
      <c r="B10" t="s">
        <v>361</v>
      </c>
      <c r="D10" s="117" t="s">
        <v>338</v>
      </c>
      <c r="E10" s="103"/>
      <c r="F10" s="103"/>
      <c r="G10">
        <f>Overview!G26</f>
        <v>547.98003992663939</v>
      </c>
      <c r="H10">
        <f>Overview!C26</f>
        <v>0.1247697007032198</v>
      </c>
      <c r="I10" s="174"/>
      <c r="J10" s="219" t="e">
        <f>Results_energy_scenarios!K8</f>
        <v>#REF!</v>
      </c>
      <c r="K10" s="99" t="e">
        <f>Results_energy_scenarios!AA8</f>
        <v>#REF!</v>
      </c>
      <c r="L10" s="159" t="s">
        <v>334</v>
      </c>
      <c r="O10" t="s">
        <v>361</v>
      </c>
      <c r="P10" t="s">
        <v>334</v>
      </c>
      <c r="Q10" t="e">
        <f>SUMIF(L17:L35,P10,J17:J35)</f>
        <v>#REF!</v>
      </c>
      <c r="R10" t="e">
        <f>SUMIF(L17:L35,P10,K17:K35)</f>
        <v>#REF!</v>
      </c>
      <c r="T10" t="s">
        <v>543</v>
      </c>
    </row>
    <row r="11" spans="1:20">
      <c r="A11" t="s">
        <v>4</v>
      </c>
      <c r="B11" t="s">
        <v>361</v>
      </c>
      <c r="D11" s="114" t="s">
        <v>385</v>
      </c>
      <c r="E11" s="103"/>
      <c r="F11" s="103"/>
      <c r="G11">
        <v>37</v>
      </c>
      <c r="H11" s="103"/>
      <c r="I11" s="174"/>
      <c r="J11" s="219" t="e">
        <f>Results_energy_scenarios!K9</f>
        <v>#REF!</v>
      </c>
      <c r="K11" s="99" t="e">
        <f>Results_energy_scenarios!AA9</f>
        <v>#REF!</v>
      </c>
      <c r="L11" s="160"/>
      <c r="O11" t="s">
        <v>376</v>
      </c>
      <c r="P11" t="s">
        <v>37</v>
      </c>
      <c r="Q11" t="e">
        <f>SUMIF(L47:L64,P11,J47:J64)</f>
        <v>#REF!</v>
      </c>
      <c r="R11" t="e">
        <f>SUMIF(L47:L64,P11,K47:K64)</f>
        <v>#REF!</v>
      </c>
      <c r="T11" t="s">
        <v>543</v>
      </c>
    </row>
    <row r="12" spans="1:20">
      <c r="A12" t="s">
        <v>4</v>
      </c>
      <c r="B12" t="s">
        <v>361</v>
      </c>
      <c r="D12" s="114" t="s">
        <v>386</v>
      </c>
      <c r="E12" s="103"/>
      <c r="F12" s="103"/>
      <c r="G12">
        <v>764</v>
      </c>
      <c r="H12" s="103"/>
      <c r="I12" s="174"/>
      <c r="J12" s="219" t="e">
        <f>Results_energy_scenarios!K10</f>
        <v>#REF!</v>
      </c>
      <c r="K12" s="99" t="e">
        <f>Results_energy_scenarios!AA10</f>
        <v>#REF!</v>
      </c>
      <c r="L12" s="160"/>
      <c r="O12" t="s">
        <v>376</v>
      </c>
      <c r="P12" t="s">
        <v>334</v>
      </c>
      <c r="Q12" t="e">
        <f>SUMIF(L47:L64,P12,J47:J64)</f>
        <v>#REF!</v>
      </c>
      <c r="R12" t="e">
        <f>SUMIF(L47:L64,P12,K47:K64)</f>
        <v>#REF!</v>
      </c>
      <c r="T12" t="s">
        <v>543</v>
      </c>
    </row>
    <row r="13" spans="1:20">
      <c r="A13" t="s">
        <v>4</v>
      </c>
      <c r="B13" t="s">
        <v>361</v>
      </c>
      <c r="D13" s="112" t="s">
        <v>358</v>
      </c>
      <c r="E13" s="103"/>
      <c r="F13" s="103"/>
      <c r="G13">
        <v>110</v>
      </c>
      <c r="H13">
        <f>Overview!C35/Overview!G35*Results_energy_scenarios!G11</f>
        <v>2.7667321730598767E-2</v>
      </c>
      <c r="I13" s="174"/>
      <c r="J13" s="219" t="e">
        <f>Results_energy_scenarios!K11</f>
        <v>#REF!</v>
      </c>
      <c r="K13" s="99" t="e">
        <f>Results_energy_scenarios!AA11</f>
        <v>#REF!</v>
      </c>
      <c r="L13" s="159" t="s">
        <v>37</v>
      </c>
    </row>
    <row r="14" spans="1:20">
      <c r="A14" t="s">
        <v>4</v>
      </c>
      <c r="B14" t="s">
        <v>361</v>
      </c>
      <c r="D14" s="114" t="s">
        <v>378</v>
      </c>
      <c r="E14" s="103"/>
      <c r="F14" s="103"/>
      <c r="G14">
        <f>5725/Overview!G35*Results_energy_scenarios!G11</f>
        <v>25.821636189430823</v>
      </c>
      <c r="H14" s="103"/>
      <c r="I14" s="174"/>
      <c r="J14" s="219" t="e">
        <f>Results_energy_scenarios!K12</f>
        <v>#REF!</v>
      </c>
      <c r="K14" s="99" t="e">
        <f>Results_energy_scenarios!AA12</f>
        <v>#REF!</v>
      </c>
      <c r="L14" s="160"/>
      <c r="N14" t="s">
        <v>5</v>
      </c>
      <c r="O14" t="s">
        <v>320</v>
      </c>
      <c r="P14" t="s">
        <v>37</v>
      </c>
      <c r="Q14" t="e">
        <f>SUMIF(L92:L102,P14,J92:J102)</f>
        <v>#REF!</v>
      </c>
      <c r="R14" t="e">
        <f>SUMIF(L92:L102,P14,K92:K102)</f>
        <v>#REF!</v>
      </c>
      <c r="T14" t="s">
        <v>543</v>
      </c>
    </row>
    <row r="15" spans="1:20">
      <c r="D15" s="114" t="s">
        <v>547</v>
      </c>
      <c r="E15" s="103"/>
      <c r="F15" s="103"/>
      <c r="H15" s="103"/>
      <c r="I15" s="174"/>
      <c r="J15" s="219" t="e">
        <f>J43/$G45*($G11+$G12+$G14)</f>
        <v>#REF!</v>
      </c>
      <c r="K15" s="219" t="e">
        <f>K43/$G45*($G11+$G12+$G14)</f>
        <v>#REF!</v>
      </c>
      <c r="L15" s="159" t="s">
        <v>37</v>
      </c>
      <c r="O15" t="s">
        <v>320</v>
      </c>
      <c r="P15" t="s">
        <v>334</v>
      </c>
      <c r="Q15" t="e">
        <f>SUMIF(L92:L102,P15,J92:J102)</f>
        <v>#REF!</v>
      </c>
      <c r="R15" t="e">
        <f>SUMIF(L92:L102,P15,K92:K102)</f>
        <v>#REF!</v>
      </c>
      <c r="T15" t="s">
        <v>543</v>
      </c>
    </row>
    <row r="16" spans="1:20">
      <c r="D16" s="114" t="s">
        <v>548</v>
      </c>
      <c r="E16" s="103"/>
      <c r="F16" s="103"/>
      <c r="H16" s="103"/>
      <c r="I16" s="174"/>
      <c r="J16" s="219" t="e">
        <f>J44/$G45*($G11+$G12+$G14)</f>
        <v>#REF!</v>
      </c>
      <c r="K16" s="219" t="e">
        <f>K44/$G45*($G11+$G12+$G14)</f>
        <v>#REF!</v>
      </c>
      <c r="L16" s="159" t="s">
        <v>334</v>
      </c>
      <c r="O16" t="s">
        <v>361</v>
      </c>
      <c r="P16" t="s">
        <v>37</v>
      </c>
      <c r="Q16" t="e">
        <f>SUMIF(L76:L89,P16,J76:J89)</f>
        <v>#REF!</v>
      </c>
      <c r="R16" t="e">
        <f>SUMIF(L76:L89,P16,K76:K89)</f>
        <v>#REF!</v>
      </c>
      <c r="T16" t="s">
        <v>543</v>
      </c>
    </row>
    <row r="17" spans="1:20">
      <c r="A17" t="s">
        <v>4</v>
      </c>
      <c r="B17" t="s">
        <v>361</v>
      </c>
      <c r="C17" t="s">
        <v>357</v>
      </c>
      <c r="D17" s="113" t="s">
        <v>339</v>
      </c>
      <c r="E17" s="103"/>
      <c r="F17" s="103"/>
      <c r="G17">
        <f>Overview!G5</f>
        <v>38498</v>
      </c>
      <c r="H17" s="103"/>
      <c r="I17" s="174"/>
      <c r="J17" s="219" t="e">
        <f>Results_energy_scenarios!K13</f>
        <v>#REF!</v>
      </c>
      <c r="K17" s="99" t="e">
        <f>Results_energy_scenarios!AA13</f>
        <v>#REF!</v>
      </c>
      <c r="L17" s="159" t="s">
        <v>37</v>
      </c>
      <c r="O17" t="s">
        <v>361</v>
      </c>
      <c r="P17" t="s">
        <v>334</v>
      </c>
      <c r="Q17" t="e">
        <f>SUMIF(L76:L89,P17,J76:J89)</f>
        <v>#REF!</v>
      </c>
      <c r="R17" t="e">
        <f>SUMIF(L76:L89,P17,K76:K89)</f>
        <v>#REF!</v>
      </c>
      <c r="T17" t="s">
        <v>543</v>
      </c>
    </row>
    <row r="18" spans="1:20">
      <c r="A18" t="s">
        <v>4</v>
      </c>
      <c r="B18" t="s">
        <v>361</v>
      </c>
      <c r="C18" t="s">
        <v>357</v>
      </c>
      <c r="D18" s="113" t="s">
        <v>340</v>
      </c>
      <c r="E18" s="103"/>
      <c r="F18" s="103"/>
      <c r="G18">
        <f>Overview!G10</f>
        <v>32723.45945613669</v>
      </c>
      <c r="H18">
        <f>Overview!C10</f>
        <v>9.4861040635476712</v>
      </c>
      <c r="I18" s="174">
        <f>G18/G34</f>
        <v>0.45940906622052768</v>
      </c>
      <c r="J18" s="219" t="e">
        <f>Results_energy_scenarios!K14</f>
        <v>#REF!</v>
      </c>
      <c r="K18" s="99" t="e">
        <f>Results_energy_scenarios!AA14</f>
        <v>#REF!</v>
      </c>
      <c r="L18" s="159" t="s">
        <v>37</v>
      </c>
      <c r="O18" t="s">
        <v>376</v>
      </c>
      <c r="P18" t="s">
        <v>37</v>
      </c>
      <c r="Q18" t="e">
        <f>SUMIF(L107:L118,P18,J107:J118)</f>
        <v>#REF!</v>
      </c>
      <c r="R18" t="e">
        <f>SUMIF(L107:L118,P18,K107:K118)</f>
        <v>#REF!</v>
      </c>
      <c r="T18" t="s">
        <v>543</v>
      </c>
    </row>
    <row r="19" spans="1:20">
      <c r="A19" t="s">
        <v>4</v>
      </c>
      <c r="B19" t="s">
        <v>361</v>
      </c>
      <c r="C19" t="s">
        <v>357</v>
      </c>
      <c r="D19" s="112" t="s">
        <v>358</v>
      </c>
      <c r="E19" s="103"/>
      <c r="F19" s="103"/>
      <c r="G19">
        <f>energy_data_per_scenario!E27*1000</f>
        <v>19988</v>
      </c>
      <c r="H19">
        <f>Overview!C35/Overview!G35*Results_energy_scenarios!G15</f>
        <v>5.027403879556438</v>
      </c>
      <c r="I19" s="174">
        <f>G19/G34</f>
        <v>0.28061423114278539</v>
      </c>
      <c r="J19" s="219" t="e">
        <f>Results_energy_scenarios!K15</f>
        <v>#REF!</v>
      </c>
      <c r="K19" s="99" t="e">
        <f>Results_energy_scenarios!AA15</f>
        <v>#REF!</v>
      </c>
      <c r="L19" s="159" t="s">
        <v>37</v>
      </c>
      <c r="O19" t="s">
        <v>376</v>
      </c>
      <c r="P19" t="s">
        <v>334</v>
      </c>
      <c r="Q19" t="e">
        <f>SUMIF(L107:L118,P19,J107:J118)</f>
        <v>#REF!</v>
      </c>
      <c r="R19" t="e">
        <f>SUMIF(L107:L118,P19,K107:K118)</f>
        <v>#REF!</v>
      </c>
      <c r="T19" t="s">
        <v>543</v>
      </c>
    </row>
    <row r="20" spans="1:20">
      <c r="A20" t="s">
        <v>4</v>
      </c>
      <c r="B20" t="s">
        <v>361</v>
      </c>
      <c r="C20" t="s">
        <v>357</v>
      </c>
      <c r="D20" s="114" t="s">
        <v>378</v>
      </c>
      <c r="E20" s="103"/>
      <c r="F20" s="103"/>
      <c r="G20">
        <f>5725/Overview!G35*Results_energy_scenarios!G15</f>
        <v>4692.0260377667573</v>
      </c>
      <c r="H20" s="103"/>
      <c r="I20" s="174"/>
      <c r="J20" s="219" t="e">
        <f>Results_energy_scenarios!K16</f>
        <v>#REF!</v>
      </c>
      <c r="K20" s="99" t="e">
        <f>Results_energy_scenarios!AA16</f>
        <v>#REF!</v>
      </c>
      <c r="L20" s="160"/>
    </row>
    <row r="21" spans="1:20">
      <c r="D21" t="s">
        <v>547</v>
      </c>
      <c r="E21" s="103"/>
      <c r="F21" s="103"/>
      <c r="H21" s="103"/>
      <c r="I21" s="174"/>
      <c r="J21" s="219" t="e">
        <f>J43/$G45*$G20</f>
        <v>#REF!</v>
      </c>
      <c r="K21" s="219" t="e">
        <f>K43/$G45*$G20</f>
        <v>#REF!</v>
      </c>
      <c r="L21" s="159" t="s">
        <v>37</v>
      </c>
      <c r="N21" t="s">
        <v>6</v>
      </c>
      <c r="O21" t="s">
        <v>320</v>
      </c>
      <c r="P21" t="s">
        <v>37</v>
      </c>
      <c r="Q21" t="e">
        <f>SUMIF(L154:L166,P21,J154:J166)</f>
        <v>#REF!</v>
      </c>
      <c r="R21" t="e">
        <f>SUMIF(L154:L166,P21,K154:K166)</f>
        <v>#REF!</v>
      </c>
      <c r="T21" t="s">
        <v>543</v>
      </c>
    </row>
    <row r="22" spans="1:20">
      <c r="D22" t="s">
        <v>548</v>
      </c>
      <c r="E22" s="103"/>
      <c r="F22" s="103"/>
      <c r="H22" s="103"/>
      <c r="I22" s="174"/>
      <c r="J22" s="219" t="e">
        <f>J44/$G45*$G20</f>
        <v>#REF!</v>
      </c>
      <c r="K22" s="219" t="e">
        <f>K44/$G45*$G20</f>
        <v>#REF!</v>
      </c>
      <c r="L22" s="159" t="s">
        <v>334</v>
      </c>
      <c r="O22" t="s">
        <v>320</v>
      </c>
      <c r="P22" t="s">
        <v>334</v>
      </c>
      <c r="Q22" t="e">
        <f>SUMIF(L154:L166,P22,J154:J166)</f>
        <v>#REF!</v>
      </c>
      <c r="R22" t="e">
        <f>SUMIF(L154:L166,P22,K154:K166)</f>
        <v>#REF!</v>
      </c>
      <c r="T22" t="s">
        <v>543</v>
      </c>
    </row>
    <row r="23" spans="1:20">
      <c r="A23" t="s">
        <v>4</v>
      </c>
      <c r="B23" t="s">
        <v>361</v>
      </c>
      <c r="C23" t="s">
        <v>357</v>
      </c>
      <c r="D23" s="115" t="s">
        <v>343</v>
      </c>
      <c r="E23" s="103"/>
      <c r="F23" s="103"/>
      <c r="H23">
        <f>Overview!C12</f>
        <v>2.313180616764692E-5</v>
      </c>
      <c r="I23" s="174"/>
      <c r="J23" s="219" t="e">
        <f>Results_energy_scenarios!K17</f>
        <v>#REF!</v>
      </c>
      <c r="K23" s="99" t="e">
        <f>Results_energy_scenarios!AA17</f>
        <v>#REF!</v>
      </c>
      <c r="L23" s="159" t="s">
        <v>37</v>
      </c>
      <c r="O23" t="s">
        <v>361</v>
      </c>
      <c r="P23" t="s">
        <v>37</v>
      </c>
      <c r="Q23" t="e">
        <f>SUMIF(L136:L151,P23,J136:J151)</f>
        <v>#REF!</v>
      </c>
      <c r="R23" t="e">
        <f>SUMIF(L136:L151,P23,K136:K151)</f>
        <v>#REF!</v>
      </c>
      <c r="T23" t="s">
        <v>543</v>
      </c>
    </row>
    <row r="24" spans="1:20">
      <c r="A24" t="s">
        <v>4</v>
      </c>
      <c r="B24" t="s">
        <v>361</v>
      </c>
      <c r="C24" t="s">
        <v>357</v>
      </c>
      <c r="D24" s="116" t="s">
        <v>348</v>
      </c>
      <c r="E24" s="103"/>
      <c r="F24" s="103"/>
      <c r="G24">
        <v>2398</v>
      </c>
      <c r="H24">
        <f>Overview!C21</f>
        <v>0.67944058724160183</v>
      </c>
      <c r="I24" s="174">
        <f>G24/G34</f>
        <v>3.3665845821512878E-2</v>
      </c>
      <c r="J24" s="219" t="e">
        <f>Results_energy_scenarios!K18</f>
        <v>#REF!</v>
      </c>
      <c r="K24" s="99" t="e">
        <f>Results_energy_scenarios!AA18</f>
        <v>#REF!</v>
      </c>
      <c r="L24" s="159" t="s">
        <v>37</v>
      </c>
      <c r="O24" t="s">
        <v>361</v>
      </c>
      <c r="P24" t="s">
        <v>334</v>
      </c>
      <c r="Q24" t="e">
        <f>SUMIF(L136:L151,P24,J136:J151)</f>
        <v>#REF!</v>
      </c>
      <c r="R24" t="e">
        <f>SUMIF(L136:L151,P24,K136:K151)</f>
        <v>#REF!</v>
      </c>
      <c r="T24" t="s">
        <v>543</v>
      </c>
    </row>
    <row r="25" spans="1:20">
      <c r="A25" t="s">
        <v>4</v>
      </c>
      <c r="B25" t="s">
        <v>361</v>
      </c>
      <c r="C25" t="s">
        <v>357</v>
      </c>
      <c r="D25" s="115" t="s">
        <v>322</v>
      </c>
      <c r="E25" s="103"/>
      <c r="F25" s="103"/>
      <c r="G25">
        <v>5330</v>
      </c>
      <c r="H25" s="103"/>
      <c r="I25" s="174"/>
      <c r="J25" s="219" t="e">
        <f>Results_energy_scenarios!K19</f>
        <v>#REF!</v>
      </c>
      <c r="K25" s="99" t="e">
        <f>Results_energy_scenarios!AA19</f>
        <v>#REF!</v>
      </c>
      <c r="L25" s="160"/>
      <c r="O25" t="s">
        <v>376</v>
      </c>
      <c r="P25" t="s">
        <v>37</v>
      </c>
      <c r="Q25" t="e">
        <f>SUMIF(L171:L185,P25,J171:J185)</f>
        <v>#REF!</v>
      </c>
      <c r="R25" t="e">
        <f>SUMIF(L171:L185,P25,K171:K185)</f>
        <v>#REF!</v>
      </c>
      <c r="T25" t="s">
        <v>543</v>
      </c>
    </row>
    <row r="26" spans="1:20">
      <c r="A26" t="s">
        <v>4</v>
      </c>
      <c r="B26" t="s">
        <v>361</v>
      </c>
      <c r="C26" t="s">
        <v>329</v>
      </c>
      <c r="D26" s="115" t="s">
        <v>343</v>
      </c>
      <c r="E26" s="103"/>
      <c r="F26" s="103"/>
      <c r="G26">
        <f>energy_data_per_scenario!E17*1000</f>
        <v>5702</v>
      </c>
      <c r="H26">
        <f>Overview!C13</f>
        <v>0.64918926947473365</v>
      </c>
      <c r="I26" s="174">
        <f>G26/G34</f>
        <v>8.0051147987600671E-2</v>
      </c>
      <c r="J26" s="219" t="e">
        <f>Results_energy_scenarios!K20</f>
        <v>#REF!</v>
      </c>
      <c r="K26" s="99" t="e">
        <f>Results_energy_scenarios!AA20</f>
        <v>#REF!</v>
      </c>
      <c r="L26" s="159" t="s">
        <v>37</v>
      </c>
      <c r="O26" t="s">
        <v>376</v>
      </c>
      <c r="P26" t="s">
        <v>334</v>
      </c>
      <c r="Q26" t="e">
        <f>SUMIF(L171:L185,P26,J171:J185)</f>
        <v>#REF!</v>
      </c>
      <c r="R26" t="e">
        <f>SUMIF(L171:L185,P26,K171:K185)</f>
        <v>#REF!</v>
      </c>
      <c r="T26" t="s">
        <v>543</v>
      </c>
    </row>
    <row r="27" spans="1:20">
      <c r="A27" t="s">
        <v>4</v>
      </c>
      <c r="B27" t="s">
        <v>361</v>
      </c>
      <c r="C27" t="s">
        <v>329</v>
      </c>
      <c r="D27" s="115" t="s">
        <v>322</v>
      </c>
      <c r="E27" s="103"/>
      <c r="F27" s="103"/>
      <c r="G27">
        <v>6151</v>
      </c>
      <c r="H27" s="103"/>
      <c r="I27" s="174"/>
      <c r="J27" s="219" t="e">
        <f>Results_energy_scenarios!K21</f>
        <v>#REF!</v>
      </c>
      <c r="K27" s="99" t="e">
        <f>Results_energy_scenarios!AA21</f>
        <v>#REF!</v>
      </c>
      <c r="L27" s="160"/>
    </row>
    <row r="28" spans="1:20">
      <c r="D28" t="s">
        <v>545</v>
      </c>
      <c r="E28" s="103"/>
      <c r="F28" s="103"/>
      <c r="H28" s="103"/>
      <c r="I28" s="174"/>
      <c r="J28" s="219" t="e">
        <f>J4/$G3*($G25+$G27)</f>
        <v>#REF!</v>
      </c>
      <c r="K28" s="219" t="e">
        <f>K4/$G3*($G25+$G27)</f>
        <v>#REF!</v>
      </c>
      <c r="L28" s="159" t="s">
        <v>37</v>
      </c>
      <c r="N28" t="s">
        <v>520</v>
      </c>
      <c r="O28" t="s">
        <v>320</v>
      </c>
      <c r="P28" t="s">
        <v>37</v>
      </c>
      <c r="Q28" t="e">
        <f>SUMIF(L235:L243,P28,J235:J243)</f>
        <v>#REF!</v>
      </c>
      <c r="R28" t="e">
        <f>SUMIF(L235:L243,P28,K235:K243)</f>
        <v>#REF!</v>
      </c>
      <c r="T28" t="s">
        <v>543</v>
      </c>
    </row>
    <row r="29" spans="1:20">
      <c r="D29" t="s">
        <v>546</v>
      </c>
      <c r="E29" s="103"/>
      <c r="F29" s="103"/>
      <c r="H29" s="103"/>
      <c r="I29" s="174"/>
      <c r="J29" s="219" t="e">
        <f>J5/$G3*($G25+$G27)</f>
        <v>#REF!</v>
      </c>
      <c r="K29" s="219" t="e">
        <f>K5/$G3*($G25+$G27)</f>
        <v>#REF!</v>
      </c>
      <c r="L29" s="159" t="s">
        <v>334</v>
      </c>
      <c r="O29" t="s">
        <v>320</v>
      </c>
      <c r="P29" t="s">
        <v>334</v>
      </c>
      <c r="Q29" t="e">
        <f>SUMIF(L235:L243,P29,J235:J243)</f>
        <v>#REF!</v>
      </c>
      <c r="R29" t="e">
        <f>SUMIF(L235:L243,P29,K235:K243)</f>
        <v>#REF!</v>
      </c>
      <c r="T29" t="s">
        <v>543</v>
      </c>
    </row>
    <row r="30" spans="1:20">
      <c r="A30" t="s">
        <v>4</v>
      </c>
      <c r="B30" t="s">
        <v>361</v>
      </c>
      <c r="C30" t="s">
        <v>330</v>
      </c>
      <c r="D30" s="116" t="s">
        <v>347</v>
      </c>
      <c r="E30" s="103"/>
      <c r="F30" s="103"/>
      <c r="G30">
        <f>energy_data_per_scenario!E20*1000</f>
        <v>6050</v>
      </c>
      <c r="H30">
        <f>Overview!C22/(G30+G37)*G30</f>
        <v>0.21199738092151513</v>
      </c>
      <c r="I30" s="174">
        <f>G30/G34</f>
        <v>8.4936766980881109E-2</v>
      </c>
      <c r="J30" s="220" t="e">
        <f>Results_energy_scenarios!K22</f>
        <v>#REF!</v>
      </c>
      <c r="K30" s="119" t="e">
        <f>Results_energy_scenarios!AA22</f>
        <v>#REF!</v>
      </c>
      <c r="L30" s="159" t="s">
        <v>37</v>
      </c>
      <c r="O30" t="s">
        <v>361</v>
      </c>
      <c r="P30" t="s">
        <v>37</v>
      </c>
      <c r="Q30" t="e">
        <f>SUMIF(L212:L232,P30,J212:J232)</f>
        <v>#REF!</v>
      </c>
      <c r="R30" t="e">
        <f>SUMIF(L212:L232,P30,K212:K232)</f>
        <v>#REF!</v>
      </c>
      <c r="T30" t="s">
        <v>543</v>
      </c>
    </row>
    <row r="31" spans="1:20">
      <c r="A31" t="s">
        <v>4</v>
      </c>
      <c r="B31" t="s">
        <v>361</v>
      </c>
      <c r="C31" t="s">
        <v>330</v>
      </c>
      <c r="D31" s="113" t="s">
        <v>341</v>
      </c>
      <c r="E31" s="103"/>
      <c r="F31" s="103"/>
      <c r="G31">
        <v>77</v>
      </c>
      <c r="H31">
        <f>Overview!C41</f>
        <v>8.9813166944325354E-3</v>
      </c>
      <c r="I31" s="174">
        <f>G31/G34</f>
        <v>1.0810133979384869E-3</v>
      </c>
      <c r="J31" s="219" t="e">
        <f>Results_energy_scenarios!K23</f>
        <v>#REF!</v>
      </c>
      <c r="K31" s="99" t="e">
        <f>Results_energy_scenarios!AA23</f>
        <v>#REF!</v>
      </c>
      <c r="L31" s="159" t="s">
        <v>37</v>
      </c>
      <c r="O31" t="s">
        <v>361</v>
      </c>
      <c r="P31" t="s">
        <v>334</v>
      </c>
      <c r="Q31" t="e">
        <f>SUMIF(L212:L232,P31,J212:J232)</f>
        <v>#REF!</v>
      </c>
      <c r="R31" t="e">
        <f>SUMIF(L212:L232,P31,K212:K232)</f>
        <v>#REF!</v>
      </c>
      <c r="T31" t="s">
        <v>543</v>
      </c>
    </row>
    <row r="32" spans="1:20">
      <c r="A32" t="s">
        <v>4</v>
      </c>
      <c r="B32" t="s">
        <v>361</v>
      </c>
      <c r="C32" t="s">
        <v>330</v>
      </c>
      <c r="D32" s="113" t="s">
        <v>339</v>
      </c>
      <c r="E32" s="103"/>
      <c r="F32" s="103"/>
      <c r="G32">
        <f>Overview!G7</f>
        <v>89</v>
      </c>
      <c r="H32" s="103"/>
      <c r="I32" s="174"/>
      <c r="J32" s="219" t="e">
        <f>Results_energy_scenarios!K24</f>
        <v>#REF!</v>
      </c>
      <c r="K32" s="99" t="e">
        <f>Results_energy_scenarios!AA24</f>
        <v>#REF!</v>
      </c>
      <c r="L32" s="159" t="s">
        <v>37</v>
      </c>
      <c r="O32" t="s">
        <v>376</v>
      </c>
      <c r="P32" t="s">
        <v>37</v>
      </c>
      <c r="Q32" t="e">
        <f>SUMIF(L248:L259,P32,J248:J259)</f>
        <v>#REF!</v>
      </c>
      <c r="R32" t="e">
        <f>SUMIF(L248:L259,P32,K248:K259)</f>
        <v>#REF!</v>
      </c>
      <c r="T32" t="s">
        <v>543</v>
      </c>
    </row>
    <row r="33" spans="1:20">
      <c r="A33" t="s">
        <v>4</v>
      </c>
      <c r="B33" t="s">
        <v>361</v>
      </c>
      <c r="C33" t="s">
        <v>331</v>
      </c>
      <c r="D33" s="112" t="s">
        <v>358</v>
      </c>
      <c r="E33" s="103"/>
      <c r="F33" s="103"/>
      <c r="G33">
        <f>energy_data_per_scenario!E22*1000</f>
        <v>4291</v>
      </c>
      <c r="H33">
        <f>Overview!C35/Overview!G35*Results_energy_scenarios!G25</f>
        <v>1.0792770685999937</v>
      </c>
      <c r="I33" s="174">
        <f>G33/G34</f>
        <v>6.0241928448753861E-2</v>
      </c>
      <c r="J33" s="219" t="e">
        <f>Results_energy_scenarios!K25</f>
        <v>#REF!</v>
      </c>
      <c r="K33" s="99" t="e">
        <f>Results_energy_scenarios!AA25</f>
        <v>#REF!</v>
      </c>
      <c r="L33" s="159" t="s">
        <v>37</v>
      </c>
      <c r="O33" t="s">
        <v>376</v>
      </c>
      <c r="P33" t="s">
        <v>334</v>
      </c>
      <c r="Q33" t="e">
        <f>SUMIF(L248:L259,P33,J248:J259)</f>
        <v>#REF!</v>
      </c>
      <c r="R33" t="e">
        <f>SUMIF(L248:L259,P33,K248:K259)</f>
        <v>#REF!</v>
      </c>
      <c r="T33" t="s">
        <v>543</v>
      </c>
    </row>
    <row r="34" spans="1:20">
      <c r="A34" s="90" t="s">
        <v>4</v>
      </c>
      <c r="B34" s="90" t="s">
        <v>361</v>
      </c>
      <c r="C34" s="90" t="s">
        <v>337</v>
      </c>
      <c r="D34" s="90"/>
      <c r="E34" s="109"/>
      <c r="F34" s="109"/>
      <c r="G34" s="90">
        <f>G18+G19+G24+G26+G30+G31+G33</f>
        <v>71229.459456136683</v>
      </c>
      <c r="H34" s="109"/>
      <c r="I34" s="174">
        <f>SUM(I18:I33)</f>
        <v>1.0000000000000002</v>
      </c>
      <c r="J34" s="221" t="e">
        <f>Results_energy_scenarios!K26</f>
        <v>#REF!</v>
      </c>
      <c r="K34" s="125" t="e">
        <f>Results_energy_scenarios!AA26</f>
        <v>#REF!</v>
      </c>
      <c r="L34" s="160"/>
    </row>
    <row r="35" spans="1:20">
      <c r="A35" s="104" t="s">
        <v>4</v>
      </c>
      <c r="B35" s="104" t="s">
        <v>361</v>
      </c>
      <c r="C35" s="104" t="s">
        <v>384</v>
      </c>
      <c r="D35" s="104"/>
      <c r="E35" s="105"/>
      <c r="F35" s="105"/>
      <c r="G35" s="107">
        <v>1</v>
      </c>
      <c r="H35" s="105"/>
      <c r="I35" s="167"/>
      <c r="J35" s="222" t="e">
        <f>Results_energy_scenarios!K27</f>
        <v>#REF!</v>
      </c>
      <c r="K35" s="107" t="e">
        <f>Results_energy_scenarios!AA27</f>
        <v>#REF!</v>
      </c>
      <c r="L35" s="160"/>
      <c r="N35" t="s">
        <v>413</v>
      </c>
      <c r="O35" t="s">
        <v>320</v>
      </c>
      <c r="P35" t="s">
        <v>37</v>
      </c>
      <c r="S35" t="e">
        <f>I265*Q266</f>
        <v>#REF!</v>
      </c>
      <c r="T35" t="s">
        <v>543</v>
      </c>
    </row>
    <row r="36" spans="1:20">
      <c r="A36" t="s">
        <v>4</v>
      </c>
      <c r="B36" t="s">
        <v>320</v>
      </c>
      <c r="C36" t="s">
        <v>320</v>
      </c>
      <c r="D36" t="s">
        <v>442</v>
      </c>
      <c r="E36" s="103"/>
      <c r="F36" s="103"/>
      <c r="G36" s="148">
        <f>Overview!C4</f>
        <v>1.1810939048639299E-4</v>
      </c>
      <c r="H36" s="103"/>
      <c r="I36" s="176"/>
      <c r="J36" s="223" t="e">
        <f>Results_energy_scenarios!K28</f>
        <v>#REF!</v>
      </c>
      <c r="K36" s="148" t="e">
        <f>Results_energy_scenarios!AA28</f>
        <v>#REF!</v>
      </c>
      <c r="L36" s="159" t="s">
        <v>334</v>
      </c>
      <c r="O36" t="s">
        <v>320</v>
      </c>
      <c r="P36" t="s">
        <v>334</v>
      </c>
      <c r="S36" t="e">
        <f>I266*Q266</f>
        <v>#REF!</v>
      </c>
      <c r="T36" t="s">
        <v>543</v>
      </c>
    </row>
    <row r="37" spans="1:20">
      <c r="A37" t="s">
        <v>4</v>
      </c>
      <c r="B37" t="s">
        <v>320</v>
      </c>
      <c r="C37" t="s">
        <v>320</v>
      </c>
      <c r="D37" s="116" t="s">
        <v>347</v>
      </c>
      <c r="E37" s="164"/>
      <c r="F37" s="103"/>
      <c r="G37">
        <f>energy_data_per_scenario!E4*1000</f>
        <v>2688.9987440115801</v>
      </c>
      <c r="H37">
        <f>Overview!C22/(G30+G37)*G37</f>
        <v>9.4224907608545239E-2</v>
      </c>
      <c r="I37" s="174">
        <f>G37/G$45</f>
        <v>3.4152521583879492E-2</v>
      </c>
      <c r="J37" s="159" t="e">
        <f>Results_energy_scenarios!K29</f>
        <v>#REF!</v>
      </c>
      <c r="K37" t="e">
        <f>Results_energy_scenarios!AA29</f>
        <v>#REF!</v>
      </c>
      <c r="L37" s="159" t="s">
        <v>37</v>
      </c>
      <c r="O37" t="s">
        <v>361</v>
      </c>
      <c r="P37" t="s">
        <v>37</v>
      </c>
      <c r="S37" t="e">
        <f>(SUMIF(L269:L276,P37,I269:I276)*Q268)+I267*Q267</f>
        <v>#REF!</v>
      </c>
      <c r="T37" t="s">
        <v>543</v>
      </c>
    </row>
    <row r="38" spans="1:20">
      <c r="A38" t="s">
        <v>4</v>
      </c>
      <c r="B38" t="s">
        <v>320</v>
      </c>
      <c r="C38" t="s">
        <v>320</v>
      </c>
      <c r="D38" s="129" t="s">
        <v>161</v>
      </c>
      <c r="E38" s="103"/>
      <c r="F38" s="103"/>
      <c r="G38">
        <f>energy_data_per_scenario!E9*1000</f>
        <v>33610</v>
      </c>
      <c r="H38">
        <f>Overview!C47</f>
        <v>37.511652858034992</v>
      </c>
      <c r="I38" s="174">
        <f t="shared" ref="I38:I42" si="0">G38/G$45</f>
        <v>0.4268749671194515</v>
      </c>
      <c r="J38" s="219" t="e">
        <f>Results_energy_scenarios!K30</f>
        <v>#REF!</v>
      </c>
      <c r="K38" s="99" t="e">
        <f>Results_energy_scenarios!AA30</f>
        <v>#REF!</v>
      </c>
      <c r="L38" s="159" t="s">
        <v>334</v>
      </c>
      <c r="O38" t="s">
        <v>361</v>
      </c>
      <c r="P38" t="s">
        <v>334</v>
      </c>
      <c r="S38" t="e">
        <f>(SUMIF(L269:L276,P38,I269:I276)*Q268)+I268*Q267</f>
        <v>#REF!</v>
      </c>
      <c r="T38" t="s">
        <v>543</v>
      </c>
    </row>
    <row r="39" spans="1:20">
      <c r="A39" t="s">
        <v>4</v>
      </c>
      <c r="B39" t="s">
        <v>320</v>
      </c>
      <c r="C39" t="s">
        <v>320</v>
      </c>
      <c r="D39" s="130" t="s">
        <v>190</v>
      </c>
      <c r="E39" s="103"/>
      <c r="F39" s="103"/>
      <c r="G39">
        <f>energy_data_per_scenario!E6*1000</f>
        <v>16050</v>
      </c>
      <c r="H39">
        <f>Overview!C55</f>
        <v>8.9763100000000016</v>
      </c>
      <c r="I39" s="174">
        <f t="shared" si="0"/>
        <v>0.2038483553188693</v>
      </c>
      <c r="J39" s="219" t="e">
        <f>Results_energy_scenarios!K31</f>
        <v>#REF!</v>
      </c>
      <c r="K39" s="99" t="e">
        <f>Results_energy_scenarios!AA31</f>
        <v>#REF!</v>
      </c>
      <c r="L39" s="159" t="s">
        <v>37</v>
      </c>
      <c r="O39" t="s">
        <v>376</v>
      </c>
      <c r="P39" t="s">
        <v>37</v>
      </c>
      <c r="S39" t="e">
        <f>I277*R269+I279*R270</f>
        <v>#REF!</v>
      </c>
      <c r="T39" t="s">
        <v>543</v>
      </c>
    </row>
    <row r="40" spans="1:20">
      <c r="A40" t="s">
        <v>4</v>
      </c>
      <c r="B40" t="s">
        <v>320</v>
      </c>
      <c r="C40" t="s">
        <v>320</v>
      </c>
      <c r="D40" s="131" t="s">
        <v>372</v>
      </c>
      <c r="E40" s="103"/>
      <c r="F40" s="103"/>
      <c r="G40">
        <f>energy_data_per_scenario!E7*1000</f>
        <v>15490</v>
      </c>
      <c r="H40">
        <f>Overview!C54</f>
        <v>4.0666798000000002</v>
      </c>
      <c r="I40" s="174">
        <f t="shared" si="0"/>
        <v>0.19673588933889627</v>
      </c>
      <c r="J40" s="219" t="e">
        <f>Results_energy_scenarios!K32</f>
        <v>#REF!</v>
      </c>
      <c r="K40" s="99" t="e">
        <f>Results_energy_scenarios!AA32</f>
        <v>#REF!</v>
      </c>
      <c r="L40" s="159" t="s">
        <v>37</v>
      </c>
      <c r="O40" t="s">
        <v>376</v>
      </c>
      <c r="P40" t="s">
        <v>334</v>
      </c>
      <c r="S40" t="e">
        <f>I278*R269+I280*R270</f>
        <v>#REF!</v>
      </c>
      <c r="T40" t="s">
        <v>543</v>
      </c>
    </row>
    <row r="41" spans="1:20">
      <c r="A41" t="s">
        <v>4</v>
      </c>
      <c r="B41" t="s">
        <v>320</v>
      </c>
      <c r="C41" t="s">
        <v>320</v>
      </c>
      <c r="D41" s="132" t="s">
        <v>310</v>
      </c>
      <c r="E41" s="103"/>
      <c r="F41" s="103"/>
      <c r="G41">
        <f>energy_data_per_scenario!E11*1000</f>
        <v>4040</v>
      </c>
      <c r="H41">
        <f>Overview!C50</f>
        <v>2.2227403538937689</v>
      </c>
      <c r="I41" s="174">
        <f t="shared" si="0"/>
        <v>5.1311361712662429E-2</v>
      </c>
      <c r="J41" s="219" t="e">
        <f>Results_energy_scenarios!K33</f>
        <v>#REF!</v>
      </c>
      <c r="K41" s="99" t="e">
        <f>Results_energy_scenarios!AA33</f>
        <v>#REF!</v>
      </c>
      <c r="L41" s="159" t="s">
        <v>334</v>
      </c>
    </row>
    <row r="42" spans="1:20">
      <c r="A42" t="s">
        <v>4</v>
      </c>
      <c r="B42" t="s">
        <v>320</v>
      </c>
      <c r="C42" t="s">
        <v>320</v>
      </c>
      <c r="D42" s="133" t="s">
        <v>380</v>
      </c>
      <c r="E42" s="164"/>
      <c r="F42" s="103"/>
      <c r="G42">
        <f>Overview!G36</f>
        <v>6856</v>
      </c>
      <c r="H42" s="103"/>
      <c r="I42" s="174">
        <f t="shared" si="0"/>
        <v>8.7076904926240983E-2</v>
      </c>
      <c r="J42" s="219" t="e">
        <f>Results_energy_scenarios!K34</f>
        <v>#REF!</v>
      </c>
      <c r="K42" s="99" t="e">
        <f>Results_energy_scenarios!AA34</f>
        <v>#REF!</v>
      </c>
      <c r="L42" s="159" t="s">
        <v>334</v>
      </c>
    </row>
    <row r="43" spans="1:20">
      <c r="D43" t="s">
        <v>547</v>
      </c>
      <c r="E43" s="164"/>
      <c r="F43" s="103"/>
      <c r="H43" s="103"/>
      <c r="I43" s="174"/>
      <c r="J43" s="219" t="e">
        <f>SUMIF(L36:L42,L43,J36:J42)</f>
        <v>#REF!</v>
      </c>
      <c r="K43" s="99" t="e">
        <f>SUMIF(L36:L42,L43,K36:K42)</f>
        <v>#REF!</v>
      </c>
      <c r="L43" s="229" t="s">
        <v>37</v>
      </c>
    </row>
    <row r="44" spans="1:20">
      <c r="D44" t="s">
        <v>548</v>
      </c>
      <c r="E44" s="164"/>
      <c r="F44" s="103"/>
      <c r="H44" s="103"/>
      <c r="I44" s="174"/>
      <c r="J44" s="219" t="e">
        <f>SUMIF(L36:L42,L44,J36:J42)</f>
        <v>#REF!</v>
      </c>
      <c r="K44" s="99" t="e">
        <f>SUMIF(L36:L42,L44,K36:K42)</f>
        <v>#REF!</v>
      </c>
      <c r="L44" s="229" t="s">
        <v>334</v>
      </c>
    </row>
    <row r="45" spans="1:20">
      <c r="A45" s="90" t="s">
        <v>4</v>
      </c>
      <c r="B45" s="90" t="s">
        <v>320</v>
      </c>
      <c r="C45" s="90" t="s">
        <v>337</v>
      </c>
      <c r="D45" s="90"/>
      <c r="E45" s="165"/>
      <c r="F45" s="109"/>
      <c r="G45" s="90">
        <f>SUM(G37:G42)</f>
        <v>78734.99874401158</v>
      </c>
      <c r="H45" s="109"/>
      <c r="I45" s="174">
        <f>SUM(I37:I42)</f>
        <v>1</v>
      </c>
      <c r="J45" s="221" t="e">
        <f>Results_energy_scenarios!K35</f>
        <v>#REF!</v>
      </c>
      <c r="K45" s="125" t="e">
        <f>Results_energy_scenarios!AA35</f>
        <v>#REF!</v>
      </c>
      <c r="L45" s="160"/>
    </row>
    <row r="46" spans="1:20">
      <c r="A46" s="104" t="s">
        <v>4</v>
      </c>
      <c r="B46" s="104" t="s">
        <v>320</v>
      </c>
      <c r="C46" s="104" t="s">
        <v>384</v>
      </c>
      <c r="D46" s="104"/>
      <c r="E46" s="105"/>
      <c r="F46" s="105"/>
      <c r="G46" s="107">
        <v>1</v>
      </c>
      <c r="H46" s="105"/>
      <c r="I46" s="167"/>
      <c r="J46" s="222" t="e">
        <f>Results_energy_scenarios!K36</f>
        <v>#REF!</v>
      </c>
      <c r="K46" s="107" t="e">
        <f>Results_energy_scenarios!AA36</f>
        <v>#REF!</v>
      </c>
      <c r="L46" s="160"/>
    </row>
    <row r="47" spans="1:20">
      <c r="A47" t="s">
        <v>4</v>
      </c>
      <c r="B47" t="s">
        <v>376</v>
      </c>
      <c r="C47" t="s">
        <v>328</v>
      </c>
      <c r="D47" s="140" t="s">
        <v>377</v>
      </c>
      <c r="E47">
        <f>energy_data_per_scenario!E24*1000</f>
        <v>74790</v>
      </c>
      <c r="F47" s="103"/>
      <c r="G47" s="103"/>
      <c r="H47" s="103"/>
      <c r="I47" s="176">
        <f>E47/E63</f>
        <v>0.95896853328767306</v>
      </c>
      <c r="J47" s="219" t="e">
        <f>Results_energy_scenarios!K37</f>
        <v>#REF!</v>
      </c>
      <c r="K47" s="99" t="e">
        <f>Results_energy_scenarios!AA37</f>
        <v>#REF!</v>
      </c>
      <c r="L47" s="159" t="s">
        <v>334</v>
      </c>
    </row>
    <row r="48" spans="1:20">
      <c r="A48" t="s">
        <v>4</v>
      </c>
      <c r="B48" t="s">
        <v>376</v>
      </c>
      <c r="C48" t="s">
        <v>328</v>
      </c>
      <c r="D48" s="114" t="s">
        <v>389</v>
      </c>
      <c r="E48" s="103"/>
      <c r="F48" s="103"/>
      <c r="G48">
        <v>12774</v>
      </c>
      <c r="H48" s="103"/>
      <c r="I48" s="174"/>
      <c r="J48" s="219" t="e">
        <f>Results_energy_scenarios!K38</f>
        <v>#REF!</v>
      </c>
      <c r="K48" s="99" t="e">
        <f>Results_energy_scenarios!AA38</f>
        <v>#REF!</v>
      </c>
      <c r="L48" s="160"/>
    </row>
    <row r="49" spans="1:12">
      <c r="C49" t="s">
        <v>328</v>
      </c>
      <c r="D49" t="s">
        <v>547</v>
      </c>
      <c r="E49" s="103"/>
      <c r="F49" s="103"/>
      <c r="H49" s="103"/>
      <c r="I49" s="174"/>
      <c r="J49" s="219" t="e">
        <f>J43/$G45*($G48)</f>
        <v>#REF!</v>
      </c>
      <c r="K49" s="219" t="e">
        <f>K43/$G45*($G48)</f>
        <v>#REF!</v>
      </c>
      <c r="L49" s="159" t="s">
        <v>37</v>
      </c>
    </row>
    <row r="50" spans="1:12">
      <c r="C50" t="s">
        <v>328</v>
      </c>
      <c r="D50" t="s">
        <v>548</v>
      </c>
      <c r="E50" s="103"/>
      <c r="F50" s="103"/>
      <c r="H50" s="103"/>
      <c r="I50" s="174"/>
      <c r="J50" s="219" t="e">
        <f>J44/$G45*($G48)</f>
        <v>#REF!</v>
      </c>
      <c r="K50" s="219" t="e">
        <f>K44/$G45*($G48)</f>
        <v>#REF!</v>
      </c>
      <c r="L50" s="159" t="s">
        <v>334</v>
      </c>
    </row>
    <row r="51" spans="1:12">
      <c r="A51" t="s">
        <v>4</v>
      </c>
      <c r="B51" t="s">
        <v>376</v>
      </c>
      <c r="C51" t="s">
        <v>328</v>
      </c>
      <c r="D51" s="140" t="s">
        <v>415</v>
      </c>
      <c r="E51">
        <f>Overview!G43</f>
        <v>1.0870242761755119E-2</v>
      </c>
      <c r="F51" s="103"/>
      <c r="G51" s="103"/>
      <c r="H51" s="103"/>
      <c r="I51" s="174">
        <f>E51/E63</f>
        <v>1.3937987374944846E-7</v>
      </c>
      <c r="J51" s="219" t="e">
        <f>Results_energy_scenarios!K39</f>
        <v>#REF!</v>
      </c>
      <c r="K51" s="99" t="e">
        <f>Results_energy_scenarios!AA39</f>
        <v>#REF!</v>
      </c>
      <c r="L51" s="159" t="s">
        <v>334</v>
      </c>
    </row>
    <row r="52" spans="1:12">
      <c r="A52" t="s">
        <v>4</v>
      </c>
      <c r="B52" t="s">
        <v>376</v>
      </c>
      <c r="C52" t="s">
        <v>328</v>
      </c>
      <c r="D52" s="140" t="s">
        <v>417</v>
      </c>
      <c r="E52" s="103"/>
      <c r="F52" s="103"/>
      <c r="G52">
        <f>-Overview!G30</f>
        <v>3.5435903108877702E-5</v>
      </c>
      <c r="H52" s="103"/>
      <c r="I52" s="174"/>
      <c r="J52" s="219" t="e">
        <f>Results_energy_scenarios!K40</f>
        <v>#REF!</v>
      </c>
      <c r="K52" s="99" t="e">
        <f>Results_energy_scenarios!AA40</f>
        <v>#REF!</v>
      </c>
      <c r="L52" s="159" t="s">
        <v>334</v>
      </c>
    </row>
    <row r="53" spans="1:12">
      <c r="A53" t="s">
        <v>4</v>
      </c>
      <c r="B53" t="s">
        <v>376</v>
      </c>
      <c r="C53" t="s">
        <v>328</v>
      </c>
      <c r="D53" s="140" t="s">
        <v>416</v>
      </c>
      <c r="E53">
        <f>Overview!G44</f>
        <v>2.8139014523322351E-2</v>
      </c>
      <c r="F53" s="103"/>
      <c r="G53" s="103"/>
      <c r="H53" s="103"/>
      <c r="I53" s="174">
        <f>E53/E63</f>
        <v>3.6080264053471003E-7</v>
      </c>
      <c r="J53" s="219" t="e">
        <f>Results_energy_scenarios!K41</f>
        <v>#REF!</v>
      </c>
      <c r="K53" s="99" t="e">
        <f>Results_energy_scenarios!AA41</f>
        <v>#REF!</v>
      </c>
      <c r="L53" s="159" t="s">
        <v>37</v>
      </c>
    </row>
    <row r="54" spans="1:12">
      <c r="A54" t="s">
        <v>4</v>
      </c>
      <c r="B54" t="s">
        <v>376</v>
      </c>
      <c r="C54" t="s">
        <v>328</v>
      </c>
      <c r="D54" s="140" t="s">
        <v>418</v>
      </c>
      <c r="E54" s="103"/>
      <c r="F54" s="103"/>
      <c r="G54">
        <f>Overview!G8/(E61+E53)*E53</f>
        <v>7.8011648723559654E-3</v>
      </c>
      <c r="H54" s="103"/>
      <c r="I54" s="174"/>
      <c r="J54" s="219" t="e">
        <f>Results_energy_scenarios!K42</f>
        <v>#REF!</v>
      </c>
      <c r="K54" s="99" t="e">
        <f>Results_energy_scenarios!AA42</f>
        <v>#REF!</v>
      </c>
      <c r="L54" s="159" t="s">
        <v>37</v>
      </c>
    </row>
    <row r="55" spans="1:12">
      <c r="A55" t="s">
        <v>4</v>
      </c>
      <c r="B55" t="s">
        <v>376</v>
      </c>
      <c r="C55" t="s">
        <v>327</v>
      </c>
      <c r="D55" s="140" t="s">
        <v>377</v>
      </c>
      <c r="E55">
        <f>energy_data_per_scenario!E15*1000</f>
        <v>3200</v>
      </c>
      <c r="F55" s="103"/>
      <c r="G55" s="103"/>
      <c r="H55" s="103"/>
      <c r="I55" s="174">
        <f>E55/E63</f>
        <v>4.1030877209794807E-2</v>
      </c>
      <c r="J55" s="219" t="e">
        <f>Results_energy_scenarios!K43</f>
        <v>#REF!</v>
      </c>
      <c r="K55" s="99" t="e">
        <f>Results_energy_scenarios!AA43</f>
        <v>#REF!</v>
      </c>
      <c r="L55" s="159" t="s">
        <v>37</v>
      </c>
    </row>
    <row r="56" spans="1:12">
      <c r="A56" t="s">
        <v>4</v>
      </c>
      <c r="B56" t="s">
        <v>376</v>
      </c>
      <c r="C56" t="s">
        <v>327</v>
      </c>
      <c r="D56" s="114" t="s">
        <v>390</v>
      </c>
      <c r="E56" s="103"/>
      <c r="F56" s="103"/>
      <c r="G56">
        <v>3201</v>
      </c>
      <c r="H56" s="103"/>
      <c r="I56" s="174"/>
      <c r="J56" s="219" t="e">
        <f>Results_energy_scenarios!K44</f>
        <v>#REF!</v>
      </c>
      <c r="K56" s="99" t="e">
        <f>Results_energy_scenarios!AA44</f>
        <v>#REF!</v>
      </c>
      <c r="L56" s="160"/>
    </row>
    <row r="57" spans="1:12">
      <c r="C57" t="s">
        <v>327</v>
      </c>
      <c r="D57" t="s">
        <v>547</v>
      </c>
      <c r="E57" s="103"/>
      <c r="F57" s="103"/>
      <c r="H57" s="103"/>
      <c r="I57" s="174"/>
      <c r="J57" s="219" t="e">
        <f>J43/$G45*($G56)</f>
        <v>#REF!</v>
      </c>
      <c r="K57" s="219" t="e">
        <f>K43/$G45*($G56)</f>
        <v>#REF!</v>
      </c>
      <c r="L57" s="159" t="s">
        <v>37</v>
      </c>
    </row>
    <row r="58" spans="1:12">
      <c r="C58" t="s">
        <v>327</v>
      </c>
      <c r="D58" t="s">
        <v>548</v>
      </c>
      <c r="E58" s="103"/>
      <c r="F58" s="103"/>
      <c r="H58" s="103"/>
      <c r="I58" s="174"/>
      <c r="J58" s="219" t="e">
        <f>J44/$G45*($G56)</f>
        <v>#REF!</v>
      </c>
      <c r="K58" s="219" t="e">
        <f>K44/$G45*($G56)</f>
        <v>#REF!</v>
      </c>
      <c r="L58" s="159" t="s">
        <v>334</v>
      </c>
    </row>
    <row r="59" spans="1:12">
      <c r="A59" t="s">
        <v>4</v>
      </c>
      <c r="B59" t="s">
        <v>376</v>
      </c>
      <c r="C59" t="s">
        <v>327</v>
      </c>
      <c r="D59" s="140" t="s">
        <v>415</v>
      </c>
      <c r="E59">
        <f>Overview!G33</f>
        <v>1.4573628854929301E-4</v>
      </c>
      <c r="F59" s="103"/>
      <c r="G59" s="103"/>
      <c r="H59" s="103"/>
      <c r="I59" s="174">
        <f>E59/E63</f>
        <v>1.8686524251491457E-9</v>
      </c>
      <c r="J59" s="219" t="e">
        <f>Results_energy_scenarios!K45</f>
        <v>#REF!</v>
      </c>
      <c r="K59" s="99" t="e">
        <f>Results_energy_scenarios!AA45</f>
        <v>#REF!</v>
      </c>
      <c r="L59" s="159" t="s">
        <v>37</v>
      </c>
    </row>
    <row r="60" spans="1:12">
      <c r="A60" t="s">
        <v>4</v>
      </c>
      <c r="B60" t="s">
        <v>376</v>
      </c>
      <c r="C60" t="s">
        <v>327</v>
      </c>
      <c r="D60" s="140" t="s">
        <v>417</v>
      </c>
      <c r="E60" s="103"/>
      <c r="F60" s="103"/>
      <c r="G60">
        <f>-Overview!G31</f>
        <v>2.5952978566805111E-4</v>
      </c>
      <c r="H60" s="103"/>
      <c r="I60" s="174"/>
      <c r="J60" s="219" t="e">
        <f>Results_energy_scenarios!K46</f>
        <v>#REF!</v>
      </c>
      <c r="K60" s="99" t="e">
        <f>Results_energy_scenarios!AA46</f>
        <v>#REF!</v>
      </c>
      <c r="L60" s="159" t="s">
        <v>334</v>
      </c>
    </row>
    <row r="61" spans="1:12">
      <c r="A61" t="s">
        <v>4</v>
      </c>
      <c r="B61" t="s">
        <v>376</v>
      </c>
      <c r="C61" t="s">
        <v>327</v>
      </c>
      <c r="D61" s="140" t="s">
        <v>416</v>
      </c>
      <c r="E61">
        <f>Overview!G34</f>
        <v>6.8203360098421286E-3</v>
      </c>
      <c r="F61" s="103"/>
      <c r="G61" s="103"/>
      <c r="H61" s="103"/>
      <c r="I61" s="174">
        <f>E61/E63</f>
        <v>8.7451365421679452E-8</v>
      </c>
      <c r="J61" s="219" t="e">
        <f>Results_energy_scenarios!K47</f>
        <v>#REF!</v>
      </c>
      <c r="K61" s="99" t="e">
        <f>Results_energy_scenarios!AA47</f>
        <v>#REF!</v>
      </c>
      <c r="L61" s="159" t="s">
        <v>37</v>
      </c>
    </row>
    <row r="62" spans="1:12">
      <c r="A62" t="s">
        <v>4</v>
      </c>
      <c r="B62" t="s">
        <v>376</v>
      </c>
      <c r="C62" t="s">
        <v>327</v>
      </c>
      <c r="D62" s="140" t="s">
        <v>418</v>
      </c>
      <c r="E62" s="103"/>
      <c r="F62" s="103"/>
      <c r="G62">
        <f>Overview!G8/(E61+E53)*E61</f>
        <v>1.8908468046578487E-3</v>
      </c>
      <c r="H62" s="103"/>
      <c r="I62" s="174"/>
      <c r="J62" s="219" t="e">
        <f>Results_energy_scenarios!K48</f>
        <v>#REF!</v>
      </c>
      <c r="K62" s="99" t="e">
        <f>Results_energy_scenarios!AA48</f>
        <v>#REF!</v>
      </c>
      <c r="L62" s="159" t="s">
        <v>37</v>
      </c>
    </row>
    <row r="63" spans="1:12">
      <c r="A63" s="90" t="s">
        <v>4</v>
      </c>
      <c r="B63" s="90" t="s">
        <v>376</v>
      </c>
      <c r="C63" s="90" t="s">
        <v>337</v>
      </c>
      <c r="D63" s="90"/>
      <c r="E63" s="90">
        <f>E47++E51+E53+E55+E59+E61</f>
        <v>77990.045975329587</v>
      </c>
      <c r="F63" s="109"/>
      <c r="G63" s="109"/>
      <c r="H63" s="109"/>
      <c r="I63" s="174">
        <f>SUM(I47:I61)</f>
        <v>1</v>
      </c>
      <c r="J63" s="221" t="e">
        <f>Results_energy_scenarios!K49</f>
        <v>#REF!</v>
      </c>
      <c r="K63" s="125" t="e">
        <f>Results_energy_scenarios!AA49</f>
        <v>#REF!</v>
      </c>
      <c r="L63" s="160"/>
    </row>
    <row r="64" spans="1:12" ht="15" thickBot="1">
      <c r="A64" s="134" t="s">
        <v>4</v>
      </c>
      <c r="B64" s="134" t="s">
        <v>376</v>
      </c>
      <c r="C64" s="134" t="s">
        <v>391</v>
      </c>
      <c r="D64" s="134"/>
      <c r="E64" s="134">
        <v>1</v>
      </c>
      <c r="F64" s="135"/>
      <c r="G64" s="141"/>
      <c r="H64" s="141"/>
      <c r="I64" s="168"/>
      <c r="J64" s="224" t="e">
        <f>Results_energy_scenarios!K50</f>
        <v>#REF!</v>
      </c>
      <c r="K64" s="137" t="e">
        <f>Results_energy_scenarios!AA50</f>
        <v>#REF!</v>
      </c>
      <c r="L64" s="160"/>
    </row>
    <row r="65" spans="1:14">
      <c r="A65" t="s">
        <v>5</v>
      </c>
      <c r="B65" t="s">
        <v>361</v>
      </c>
      <c r="D65" s="115" t="s">
        <v>322</v>
      </c>
      <c r="E65" s="103"/>
      <c r="F65" s="103"/>
      <c r="G65">
        <v>6151</v>
      </c>
      <c r="H65" s="103"/>
      <c r="I65" s="94"/>
      <c r="J65" s="223" t="e">
        <f>Results_energy_scenarios!K51</f>
        <v>#REF!</v>
      </c>
      <c r="K65" s="148" t="e">
        <f>Results_energy_scenarios!AA51</f>
        <v>#REF!</v>
      </c>
      <c r="L65" s="160"/>
    </row>
    <row r="66" spans="1:14">
      <c r="D66" t="s">
        <v>545</v>
      </c>
      <c r="E66" s="103"/>
      <c r="F66" s="103"/>
      <c r="H66" s="103"/>
      <c r="I66" s="94"/>
      <c r="J66" s="223" t="e">
        <f>SUMIF(L69:L75,L66,J69:J75)</f>
        <v>#REF!</v>
      </c>
      <c r="K66" s="148" t="e">
        <f>SUMIF(L69:L75,L66,K69:K75)</f>
        <v>#REF!</v>
      </c>
      <c r="L66" s="159" t="s">
        <v>37</v>
      </c>
    </row>
    <row r="67" spans="1:14">
      <c r="D67" t="s">
        <v>546</v>
      </c>
      <c r="E67" s="103"/>
      <c r="F67" s="103"/>
      <c r="H67" s="103"/>
      <c r="I67" s="94"/>
      <c r="J67" s="223" t="e">
        <f>SUMIF(L69:L75,L67,J69:J75)</f>
        <v>#REF!</v>
      </c>
      <c r="K67" s="148" t="e">
        <f>SUMIF(L69:L75,L67,K69:K75)</f>
        <v>#REF!</v>
      </c>
      <c r="L67" s="159" t="s">
        <v>334</v>
      </c>
    </row>
    <row r="68" spans="1:14">
      <c r="A68" t="s">
        <v>5</v>
      </c>
      <c r="B68" t="s">
        <v>361</v>
      </c>
      <c r="D68" s="115" t="s">
        <v>406</v>
      </c>
      <c r="E68" s="103"/>
      <c r="F68" s="103"/>
      <c r="G68">
        <v>6151</v>
      </c>
      <c r="H68" s="103"/>
      <c r="I68" s="174"/>
      <c r="J68" s="223" t="e">
        <f>Results_energy_scenarios!K52</f>
        <v>#REF!</v>
      </c>
      <c r="K68" s="148" t="e">
        <f>Results_energy_scenarios!AA52</f>
        <v>#REF!</v>
      </c>
      <c r="L68" s="160"/>
    </row>
    <row r="69" spans="1:14">
      <c r="A69" t="s">
        <v>5</v>
      </c>
      <c r="B69" t="s">
        <v>361</v>
      </c>
      <c r="D69" s="117" t="s">
        <v>81</v>
      </c>
      <c r="E69" s="103"/>
      <c r="F69" s="149">
        <f>Overview!H23</f>
        <v>680567.03176643909</v>
      </c>
      <c r="G69" s="103"/>
      <c r="H69" s="103"/>
      <c r="I69" s="174"/>
      <c r="J69" s="223" t="e">
        <f>Results_energy_scenarios!K53</f>
        <v>#REF!</v>
      </c>
      <c r="K69" s="148" t="e">
        <f>Results_energy_scenarios!AA53</f>
        <v>#REF!</v>
      </c>
      <c r="L69" s="159" t="s">
        <v>37</v>
      </c>
    </row>
    <row r="70" spans="1:14">
      <c r="A70" t="s">
        <v>5</v>
      </c>
      <c r="B70" t="s">
        <v>361</v>
      </c>
      <c r="D70" s="117" t="s">
        <v>338</v>
      </c>
      <c r="E70" s="103"/>
      <c r="F70" s="103"/>
      <c r="G70" s="149">
        <f>Overview!H26</f>
        <v>5083.7695198768743</v>
      </c>
      <c r="H70">
        <f>Overview!D26</f>
        <v>1.217375639491908</v>
      </c>
      <c r="I70" s="174"/>
      <c r="J70" s="223" t="e">
        <f>Results_energy_scenarios!K54</f>
        <v>#REF!</v>
      </c>
      <c r="K70" s="148" t="e">
        <f>Results_energy_scenarios!AA54</f>
        <v>#REF!</v>
      </c>
      <c r="L70" s="159" t="s">
        <v>334</v>
      </c>
    </row>
    <row r="71" spans="1:14">
      <c r="A71" t="s">
        <v>5</v>
      </c>
      <c r="B71" t="s">
        <v>361</v>
      </c>
      <c r="D71" s="114" t="s">
        <v>385</v>
      </c>
      <c r="E71" s="103"/>
      <c r="F71" s="103"/>
      <c r="G71" s="149">
        <v>340</v>
      </c>
      <c r="H71" s="103"/>
      <c r="I71" s="174"/>
      <c r="J71" s="223" t="e">
        <f>Results_energy_scenarios!K55</f>
        <v>#REF!</v>
      </c>
      <c r="K71" s="148" t="e">
        <f>Results_energy_scenarios!AA55</f>
        <v>#REF!</v>
      </c>
      <c r="L71" s="160"/>
    </row>
    <row r="72" spans="1:14">
      <c r="A72" t="s">
        <v>5</v>
      </c>
      <c r="B72" t="s">
        <v>361</v>
      </c>
      <c r="D72" s="114" t="s">
        <v>386</v>
      </c>
      <c r="E72" s="103"/>
      <c r="F72" s="103"/>
      <c r="G72" s="149">
        <v>7087</v>
      </c>
      <c r="H72" s="103"/>
      <c r="I72" s="174"/>
      <c r="J72" s="223" t="e">
        <f>Results_energy_scenarios!K56</f>
        <v>#REF!</v>
      </c>
      <c r="K72" s="148" t="e">
        <f>Results_energy_scenarios!AA56</f>
        <v>#REF!</v>
      </c>
      <c r="L72" s="160"/>
      <c r="N72" s="157"/>
    </row>
    <row r="73" spans="1:14">
      <c r="D73" t="s">
        <v>547</v>
      </c>
      <c r="E73" s="103"/>
      <c r="F73" s="103"/>
      <c r="G73" s="149"/>
      <c r="H73" s="103"/>
      <c r="I73" s="174"/>
      <c r="J73" s="223" t="e">
        <f>J103/$G105*($G71+$G72)</f>
        <v>#REF!</v>
      </c>
      <c r="K73" s="223" t="e">
        <f>K103/$G105*($G71+$G72)</f>
        <v>#REF!</v>
      </c>
      <c r="L73" s="159" t="s">
        <v>37</v>
      </c>
    </row>
    <row r="74" spans="1:14">
      <c r="D74" t="s">
        <v>548</v>
      </c>
      <c r="E74" s="103"/>
      <c r="F74" s="103"/>
      <c r="G74" s="149"/>
      <c r="H74" s="103"/>
      <c r="I74" s="174"/>
      <c r="J74" s="223" t="e">
        <f>J104/$G105*($G71+$G72)</f>
        <v>#REF!</v>
      </c>
      <c r="K74" s="223" t="e">
        <f>K104/$G105*($G71+$G72)</f>
        <v>#REF!</v>
      </c>
      <c r="L74" s="159" t="s">
        <v>334</v>
      </c>
    </row>
    <row r="75" spans="1:14">
      <c r="A75" t="s">
        <v>5</v>
      </c>
      <c r="B75" t="s">
        <v>361</v>
      </c>
      <c r="D75" s="112" t="s">
        <v>396</v>
      </c>
      <c r="E75" s="103"/>
      <c r="F75" s="103"/>
      <c r="G75" s="149">
        <v>1021</v>
      </c>
      <c r="H75" s="157">
        <f>Overview!D35/Overview!H35*Results_energy_scenarios!G57</f>
        <v>0.26818371489252041</v>
      </c>
      <c r="I75" s="174"/>
      <c r="J75" s="223" t="e">
        <f>Results_energy_scenarios!K57</f>
        <v>#REF!</v>
      </c>
      <c r="K75" s="148" t="e">
        <f>Results_energy_scenarios!AA57</f>
        <v>#REF!</v>
      </c>
      <c r="L75" s="159" t="s">
        <v>37</v>
      </c>
    </row>
    <row r="76" spans="1:14">
      <c r="A76" t="s">
        <v>5</v>
      </c>
      <c r="B76" t="s">
        <v>361</v>
      </c>
      <c r="C76" t="s">
        <v>357</v>
      </c>
      <c r="D76" s="112" t="s">
        <v>358</v>
      </c>
      <c r="E76" s="103"/>
      <c r="F76" s="103"/>
      <c r="G76">
        <f>energy_data_per_scenario!K27*1000</f>
        <v>55110</v>
      </c>
      <c r="H76">
        <f>Overview!D35/Overview!H35*Results_energy_scenarios!G58</f>
        <v>14.475616579556121</v>
      </c>
      <c r="I76" s="174">
        <f>G76/G90</f>
        <v>0.77369086059244696</v>
      </c>
      <c r="J76" s="219" t="e">
        <f>Results_energy_scenarios!K58</f>
        <v>#REF!</v>
      </c>
      <c r="K76" s="99" t="e">
        <f>Results_energy_scenarios!AA58</f>
        <v>#REF!</v>
      </c>
      <c r="L76" s="159" t="s">
        <v>37</v>
      </c>
    </row>
    <row r="77" spans="1:14">
      <c r="A77" t="s">
        <v>5</v>
      </c>
      <c r="B77" t="s">
        <v>361</v>
      </c>
      <c r="C77" t="s">
        <v>357</v>
      </c>
      <c r="D77" s="114" t="s">
        <v>378</v>
      </c>
      <c r="E77" s="103"/>
      <c r="F77" s="103"/>
      <c r="G77">
        <f>14981/Overview!H35*Results_energy_scenarios!G58</f>
        <v>12936.431328795801</v>
      </c>
      <c r="H77" s="103"/>
      <c r="I77" s="174"/>
      <c r="J77" s="219" t="e">
        <f>Results_energy_scenarios!K59</f>
        <v>#REF!</v>
      </c>
      <c r="K77" s="99" t="e">
        <f>Results_energy_scenarios!AA59</f>
        <v>#REF!</v>
      </c>
      <c r="L77" s="160"/>
    </row>
    <row r="78" spans="1:14">
      <c r="A78" t="s">
        <v>5</v>
      </c>
      <c r="B78" t="s">
        <v>361</v>
      </c>
      <c r="C78" t="s">
        <v>357</v>
      </c>
      <c r="D78" s="115" t="s">
        <v>343</v>
      </c>
      <c r="E78" s="103"/>
      <c r="F78" s="103"/>
      <c r="H78">
        <f>Overview!D12</f>
        <v>3.3979215358144001E-6</v>
      </c>
      <c r="I78" s="174"/>
      <c r="J78" s="219" t="e">
        <f>Results_energy_scenarios!K60</f>
        <v>#REF!</v>
      </c>
      <c r="K78" s="99" t="e">
        <f>Results_energy_scenarios!AA60</f>
        <v>#REF!</v>
      </c>
      <c r="L78" s="159" t="s">
        <v>37</v>
      </c>
    </row>
    <row r="79" spans="1:14">
      <c r="A79" t="s">
        <v>5</v>
      </c>
      <c r="B79" t="s">
        <v>361</v>
      </c>
      <c r="C79" t="s">
        <v>329</v>
      </c>
      <c r="D79" s="115" t="s">
        <v>322</v>
      </c>
      <c r="E79" s="103"/>
      <c r="F79" s="103"/>
      <c r="G79" s="149">
        <v>6151</v>
      </c>
      <c r="H79" s="103"/>
      <c r="I79" s="174"/>
      <c r="J79" s="219" t="e">
        <f>Results_energy_scenarios!K61</f>
        <v>#REF!</v>
      </c>
      <c r="K79" s="99" t="e">
        <f>Results_energy_scenarios!AA61</f>
        <v>#REF!</v>
      </c>
      <c r="L79" s="160"/>
    </row>
    <row r="80" spans="1:14">
      <c r="D80" t="s">
        <v>545</v>
      </c>
      <c r="E80" s="103"/>
      <c r="F80" s="103"/>
      <c r="G80" s="149"/>
      <c r="H80" s="103"/>
      <c r="I80" s="174"/>
      <c r="J80" s="219" t="e">
        <f>J66</f>
        <v>#REF!</v>
      </c>
      <c r="K80" s="219" t="e">
        <f>K66</f>
        <v>#REF!</v>
      </c>
      <c r="L80" s="159" t="s">
        <v>37</v>
      </c>
    </row>
    <row r="81" spans="1:12">
      <c r="D81" t="s">
        <v>546</v>
      </c>
      <c r="E81" s="103"/>
      <c r="F81" s="103"/>
      <c r="G81" s="149"/>
      <c r="H81" s="103"/>
      <c r="I81" s="174"/>
      <c r="J81" s="219" t="e">
        <f>J67</f>
        <v>#REF!</v>
      </c>
      <c r="K81" s="219" t="e">
        <f>K67</f>
        <v>#REF!</v>
      </c>
      <c r="L81" s="159" t="s">
        <v>334</v>
      </c>
    </row>
    <row r="82" spans="1:12">
      <c r="A82" t="s">
        <v>5</v>
      </c>
      <c r="B82" t="s">
        <v>361</v>
      </c>
      <c r="C82" t="s">
        <v>329</v>
      </c>
      <c r="D82" s="115" t="s">
        <v>343</v>
      </c>
      <c r="E82" s="103"/>
      <c r="F82" s="103"/>
      <c r="G82">
        <f>energy_data_per_scenario!K17*1000</f>
        <v>5702</v>
      </c>
      <c r="H82">
        <f>Overview!D13</f>
        <v>0.64917135784942404</v>
      </c>
      <c r="I82" s="174">
        <f>G82/G90</f>
        <v>8.0050540502597217E-2</v>
      </c>
      <c r="J82" s="219" t="e">
        <f>Results_energy_scenarios!K62</f>
        <v>#REF!</v>
      </c>
      <c r="K82" s="99" t="e">
        <f>Results_energy_scenarios!AA62</f>
        <v>#REF!</v>
      </c>
      <c r="L82" s="159" t="s">
        <v>37</v>
      </c>
    </row>
    <row r="83" spans="1:12">
      <c r="A83" t="s">
        <v>5</v>
      </c>
      <c r="B83" t="s">
        <v>361</v>
      </c>
      <c r="C83" t="s">
        <v>330</v>
      </c>
      <c r="D83" s="116" t="s">
        <v>347</v>
      </c>
      <c r="E83" s="103"/>
      <c r="F83" s="103"/>
      <c r="G83">
        <f>energy_data_per_scenario!K20*1000</f>
        <v>6050</v>
      </c>
      <c r="H83">
        <f>Overview!D22/(G83+G93)*G83</f>
        <v>0.21193014481950298</v>
      </c>
      <c r="I83" s="174">
        <f>G83/G90</f>
        <v>8.4936122420328511E-2</v>
      </c>
      <c r="J83" s="219" t="e">
        <f>Results_energy_scenarios!K63</f>
        <v>#REF!</v>
      </c>
      <c r="K83" s="99" t="e">
        <f>Results_energy_scenarios!AA63</f>
        <v>#REF!</v>
      </c>
      <c r="L83" s="159" t="s">
        <v>37</v>
      </c>
    </row>
    <row r="84" spans="1:12">
      <c r="A84" t="s">
        <v>5</v>
      </c>
      <c r="B84" t="s">
        <v>361</v>
      </c>
      <c r="C84" t="s">
        <v>330</v>
      </c>
      <c r="D84" s="113" t="s">
        <v>339</v>
      </c>
      <c r="E84" s="103"/>
      <c r="F84" s="103"/>
      <c r="G84">
        <v>89</v>
      </c>
      <c r="H84" s="103"/>
      <c r="I84" s="174"/>
      <c r="J84" s="219" t="e">
        <f>Results_energy_scenarios!K64</f>
        <v>#REF!</v>
      </c>
      <c r="K84" s="99" t="e">
        <f>Results_energy_scenarios!AA64</f>
        <v>#REF!</v>
      </c>
      <c r="L84" s="159" t="s">
        <v>37</v>
      </c>
    </row>
    <row r="85" spans="1:12">
      <c r="A85" t="s">
        <v>5</v>
      </c>
      <c r="B85" t="s">
        <v>361</v>
      </c>
      <c r="C85" t="s">
        <v>330</v>
      </c>
      <c r="D85" s="113" t="s">
        <v>341</v>
      </c>
      <c r="E85" s="103"/>
      <c r="F85" s="103"/>
      <c r="G85">
        <v>77</v>
      </c>
      <c r="H85">
        <f>Overview!D41</f>
        <v>8.7495404026357963E-3</v>
      </c>
      <c r="I85" s="174">
        <f>G85/G90</f>
        <v>1.0810051944405447E-3</v>
      </c>
      <c r="J85" s="219" t="e">
        <f>Results_energy_scenarios!K65</f>
        <v>#REF!</v>
      </c>
      <c r="K85" s="99" t="e">
        <f>Results_energy_scenarios!AA65</f>
        <v>#REF!</v>
      </c>
      <c r="L85" s="159" t="s">
        <v>37</v>
      </c>
    </row>
    <row r="86" spans="1:12">
      <c r="A86" t="s">
        <v>5</v>
      </c>
      <c r="B86" t="s">
        <v>361</v>
      </c>
      <c r="C86" t="s">
        <v>331</v>
      </c>
      <c r="D86" s="114" t="s">
        <v>378</v>
      </c>
      <c r="E86" s="103"/>
      <c r="F86" s="103"/>
      <c r="G86">
        <f>14981/Overview!H35*Results_energy_scenarios!G67</f>
        <v>1007.2623268347447</v>
      </c>
      <c r="H86" s="103"/>
      <c r="I86" s="174"/>
      <c r="J86" s="219" t="e">
        <f>Results_energy_scenarios!K66</f>
        <v>#REF!</v>
      </c>
      <c r="K86" s="99" t="e">
        <f>Results_energy_scenarios!AA66</f>
        <v>#REF!</v>
      </c>
      <c r="L86" s="160"/>
    </row>
    <row r="87" spans="1:12">
      <c r="D87" t="s">
        <v>547</v>
      </c>
      <c r="E87" s="103"/>
      <c r="F87" s="103"/>
      <c r="H87" s="103"/>
      <c r="I87" s="174"/>
      <c r="J87" s="219" t="e">
        <f>J103/$G105*($G77+$G86)</f>
        <v>#REF!</v>
      </c>
      <c r="K87" s="219" t="e">
        <f>K103/$G105*($G77+$G86)</f>
        <v>#REF!</v>
      </c>
      <c r="L87" s="159" t="s">
        <v>37</v>
      </c>
    </row>
    <row r="88" spans="1:12">
      <c r="D88" t="s">
        <v>548</v>
      </c>
      <c r="E88" s="103"/>
      <c r="F88" s="103"/>
      <c r="H88" s="103"/>
      <c r="I88" s="174"/>
      <c r="J88" s="219" t="e">
        <f>J104/$G105*($G77+$G86)</f>
        <v>#REF!</v>
      </c>
      <c r="K88" s="219" t="e">
        <f>K104/$G105*($G77+$G86)</f>
        <v>#REF!</v>
      </c>
      <c r="L88" s="159" t="s">
        <v>334</v>
      </c>
    </row>
    <row r="89" spans="1:12">
      <c r="A89" t="s">
        <v>5</v>
      </c>
      <c r="B89" t="s">
        <v>361</v>
      </c>
      <c r="C89" t="s">
        <v>331</v>
      </c>
      <c r="D89" s="112" t="s">
        <v>358</v>
      </c>
      <c r="E89" s="103"/>
      <c r="F89" s="103"/>
      <c r="G89">
        <v>4291</v>
      </c>
      <c r="H89">
        <f>Overview!D35/Overview!H35*Results_energy_scenarios!G67</f>
        <v>1.1271070720899168</v>
      </c>
      <c r="I89" s="174">
        <f>G89/G90</f>
        <v>6.024147129018672E-2</v>
      </c>
      <c r="J89" s="219" t="e">
        <f>Results_energy_scenarios!K67</f>
        <v>#REF!</v>
      </c>
      <c r="K89" s="99" t="e">
        <f>Results_energy_scenarios!AA67</f>
        <v>#REF!</v>
      </c>
      <c r="L89" s="159" t="s">
        <v>37</v>
      </c>
    </row>
    <row r="90" spans="1:12">
      <c r="A90" s="90" t="s">
        <v>5</v>
      </c>
      <c r="B90" s="90" t="s">
        <v>361</v>
      </c>
      <c r="C90" s="90" t="s">
        <v>337</v>
      </c>
      <c r="D90" s="90"/>
      <c r="E90" s="109"/>
      <c r="F90" s="109"/>
      <c r="G90" s="125">
        <f>SUM(G76,G82,G83,G85,G89)</f>
        <v>71230</v>
      </c>
      <c r="H90" s="109"/>
      <c r="I90" s="174">
        <f>SUM(I76:I89)</f>
        <v>1</v>
      </c>
      <c r="J90" s="221" t="e">
        <f>Results_energy_scenarios!K68</f>
        <v>#REF!</v>
      </c>
      <c r="K90" s="125" t="e">
        <f>Results_energy_scenarios!AA68</f>
        <v>#REF!</v>
      </c>
      <c r="L90" s="160"/>
    </row>
    <row r="91" spans="1:12">
      <c r="A91" s="104" t="s">
        <v>5</v>
      </c>
      <c r="B91" s="104" t="s">
        <v>361</v>
      </c>
      <c r="C91" s="104" t="s">
        <v>384</v>
      </c>
      <c r="D91" s="104"/>
      <c r="E91" s="105"/>
      <c r="F91" s="105"/>
      <c r="G91" s="107">
        <v>1</v>
      </c>
      <c r="H91" s="105"/>
      <c r="I91" s="167"/>
      <c r="J91" s="222" t="e">
        <f>Results_energy_scenarios!K69</f>
        <v>#REF!</v>
      </c>
      <c r="K91" s="107" t="e">
        <f>Results_energy_scenarios!AA69</f>
        <v>#REF!</v>
      </c>
      <c r="L91" s="160"/>
    </row>
    <row r="92" spans="1:12">
      <c r="A92" t="s">
        <v>5</v>
      </c>
      <c r="B92" t="s">
        <v>320</v>
      </c>
      <c r="C92" t="s">
        <v>320</v>
      </c>
      <c r="D92" t="s">
        <v>442</v>
      </c>
      <c r="E92" s="103"/>
      <c r="F92" s="103"/>
      <c r="G92" s="148">
        <f>Overview!D4</f>
        <v>9.5158326026356278E-6</v>
      </c>
      <c r="H92" s="103"/>
      <c r="I92" s="176"/>
      <c r="J92" s="223" t="e">
        <f>Results_energy_scenarios!K70</f>
        <v>#REF!</v>
      </c>
      <c r="K92" s="148" t="e">
        <f>Results_energy_scenarios!AA70</f>
        <v>#REF!</v>
      </c>
      <c r="L92" s="159" t="s">
        <v>334</v>
      </c>
    </row>
    <row r="93" spans="1:12">
      <c r="A93" t="s">
        <v>5</v>
      </c>
      <c r="B93" t="s">
        <v>320</v>
      </c>
      <c r="C93" t="s">
        <v>320</v>
      </c>
      <c r="D93" s="116" t="s">
        <v>347</v>
      </c>
      <c r="E93" s="103"/>
      <c r="F93" s="103"/>
      <c r="G93">
        <f>energy_data_per_scenario!K4*1000</f>
        <v>2689.0001466848698</v>
      </c>
      <c r="H93">
        <f>Overview!D22/(G83+G93)*G93</f>
        <v>9.4195072811006489E-2</v>
      </c>
      <c r="I93" s="174">
        <f>G93/G$105</f>
        <v>2.7196506050140623E-2</v>
      </c>
      <c r="J93" s="219" t="e">
        <f>Results_energy_scenarios!K71</f>
        <v>#REF!</v>
      </c>
      <c r="K93" s="99" t="e">
        <f>Results_energy_scenarios!AA71</f>
        <v>#REF!</v>
      </c>
      <c r="L93" s="159" t="s">
        <v>37</v>
      </c>
    </row>
    <row r="94" spans="1:12">
      <c r="A94" t="s">
        <v>5</v>
      </c>
      <c r="B94" t="s">
        <v>320</v>
      </c>
      <c r="C94" t="s">
        <v>320</v>
      </c>
      <c r="D94" s="142" t="s">
        <v>393</v>
      </c>
      <c r="E94" s="103"/>
      <c r="F94" s="103"/>
      <c r="G94">
        <f>Overview!H37</f>
        <v>26916.736341578238</v>
      </c>
      <c r="H94" s="103"/>
      <c r="I94" s="174"/>
      <c r="J94" s="219" t="e">
        <f>Results_energy_scenarios!K72</f>
        <v>#REF!</v>
      </c>
      <c r="K94" s="99" t="e">
        <f>Results_energy_scenarios!AA72</f>
        <v>#REF!</v>
      </c>
      <c r="L94" s="159" t="s">
        <v>334</v>
      </c>
    </row>
    <row r="95" spans="1:12">
      <c r="A95" t="s">
        <v>5</v>
      </c>
      <c r="B95" t="s">
        <v>320</v>
      </c>
      <c r="C95" t="s">
        <v>320</v>
      </c>
      <c r="D95" s="142" t="s">
        <v>394</v>
      </c>
      <c r="E95" s="103"/>
      <c r="F95" s="103"/>
      <c r="G95">
        <f>energy_data_per_scenario!K12*1000</f>
        <v>12650</v>
      </c>
      <c r="H95">
        <f>Overview!D19</f>
        <v>3.3998486697868122</v>
      </c>
      <c r="I95" s="174">
        <f t="shared" ref="I95:I102" si="1">G95/G$105</f>
        <v>0.12794190508260958</v>
      </c>
      <c r="J95" s="219" t="e">
        <f>Results_energy_scenarios!K73</f>
        <v>#REF!</v>
      </c>
      <c r="K95" s="99" t="e">
        <f>Results_energy_scenarios!AA73</f>
        <v>#REF!</v>
      </c>
      <c r="L95" s="159" t="s">
        <v>37</v>
      </c>
    </row>
    <row r="96" spans="1:12">
      <c r="A96" t="s">
        <v>5</v>
      </c>
      <c r="B96" t="s">
        <v>320</v>
      </c>
      <c r="C96" t="s">
        <v>320</v>
      </c>
      <c r="D96" s="117" t="s">
        <v>87</v>
      </c>
      <c r="E96" s="103"/>
      <c r="F96" s="149">
        <f>Overview!H24</f>
        <v>2266282.5067671221</v>
      </c>
      <c r="G96" s="103"/>
      <c r="H96" s="103"/>
      <c r="I96" s="174"/>
      <c r="J96" s="223" t="e">
        <f>Results_energy_scenarios!K74</f>
        <v>#REF!</v>
      </c>
      <c r="K96" s="148" t="e">
        <f>Results_energy_scenarios!AA74</f>
        <v>#REF!</v>
      </c>
      <c r="L96" s="159" t="s">
        <v>37</v>
      </c>
    </row>
    <row r="97" spans="1:14">
      <c r="A97" t="s">
        <v>5</v>
      </c>
      <c r="B97" t="s">
        <v>320</v>
      </c>
      <c r="C97" t="s">
        <v>320</v>
      </c>
      <c r="D97" s="112" t="s">
        <v>397</v>
      </c>
      <c r="E97" s="103"/>
      <c r="F97" s="103"/>
      <c r="G97" s="149">
        <v>3399</v>
      </c>
      <c r="H97" s="157">
        <f>Overview!D35/Overview!H35*Results_energy_scenarios!G75</f>
        <v>0.89280748963729362</v>
      </c>
      <c r="I97" s="174"/>
      <c r="J97" s="223" t="e">
        <f>Results_energy_scenarios!K75</f>
        <v>#REF!</v>
      </c>
      <c r="K97" s="148" t="e">
        <f>Results_energy_scenarios!AA75</f>
        <v>#REF!</v>
      </c>
      <c r="L97" s="159" t="s">
        <v>37</v>
      </c>
    </row>
    <row r="98" spans="1:14">
      <c r="A98" t="s">
        <v>5</v>
      </c>
      <c r="B98" t="s">
        <v>320</v>
      </c>
      <c r="C98" t="s">
        <v>320</v>
      </c>
      <c r="D98" s="129" t="s">
        <v>161</v>
      </c>
      <c r="E98" s="103"/>
      <c r="F98" s="103"/>
      <c r="G98">
        <f>energy_data_per_scenario!K9*1000</f>
        <v>30220</v>
      </c>
      <c r="H98">
        <f>Overview!D47</f>
        <v>33.760485645676667</v>
      </c>
      <c r="I98" s="174">
        <f t="shared" si="1"/>
        <v>0.30564461435545154</v>
      </c>
      <c r="J98" s="219" t="e">
        <f>Results_energy_scenarios!K76</f>
        <v>#REF!</v>
      </c>
      <c r="K98" s="99" t="e">
        <f>Results_energy_scenarios!AA76</f>
        <v>#REF!</v>
      </c>
      <c r="L98" s="159" t="s">
        <v>334</v>
      </c>
    </row>
    <row r="99" spans="1:14">
      <c r="A99" t="s">
        <v>5</v>
      </c>
      <c r="B99" t="s">
        <v>320</v>
      </c>
      <c r="C99" t="s">
        <v>320</v>
      </c>
      <c r="D99" s="130" t="s">
        <v>190</v>
      </c>
      <c r="E99" s="103"/>
      <c r="F99" s="103"/>
      <c r="G99">
        <f>energy_data_per_scenario!K6*1000</f>
        <v>17370</v>
      </c>
      <c r="H99">
        <f>Overview!D55</f>
        <v>8.9763100000000016</v>
      </c>
      <c r="I99" s="174">
        <f t="shared" si="1"/>
        <v>0.17567991235453981</v>
      </c>
      <c r="J99" s="219" t="e">
        <f>Results_energy_scenarios!K77</f>
        <v>#REF!</v>
      </c>
      <c r="K99" s="99" t="e">
        <f>Results_energy_scenarios!AA77</f>
        <v>#REF!</v>
      </c>
      <c r="L99" s="159" t="s">
        <v>37</v>
      </c>
    </row>
    <row r="100" spans="1:14">
      <c r="A100" t="s">
        <v>5</v>
      </c>
      <c r="B100" t="s">
        <v>320</v>
      </c>
      <c r="C100" t="s">
        <v>320</v>
      </c>
      <c r="D100" s="131" t="s">
        <v>372</v>
      </c>
      <c r="E100" s="103"/>
      <c r="F100" s="103"/>
      <c r="G100">
        <f>energy_data_per_scenario!K7*1000</f>
        <v>15490</v>
      </c>
      <c r="H100">
        <f>Overview!D54</f>
        <v>4.0666798000000002</v>
      </c>
      <c r="I100" s="174">
        <f t="shared" si="1"/>
        <v>0.15666562132249981</v>
      </c>
      <c r="J100" s="219" t="e">
        <f>Results_energy_scenarios!K78</f>
        <v>#REF!</v>
      </c>
      <c r="K100" s="99" t="e">
        <f>Results_energy_scenarios!AA78</f>
        <v>#REF!</v>
      </c>
      <c r="L100" s="159" t="s">
        <v>37</v>
      </c>
    </row>
    <row r="101" spans="1:14">
      <c r="A101" t="s">
        <v>5</v>
      </c>
      <c r="B101" t="s">
        <v>320</v>
      </c>
      <c r="C101" t="s">
        <v>320</v>
      </c>
      <c r="D101" s="132" t="s">
        <v>310</v>
      </c>
      <c r="E101" s="103"/>
      <c r="F101" s="103"/>
      <c r="G101">
        <f>energy_data_per_scenario!K11*1000</f>
        <v>7320</v>
      </c>
      <c r="H101" s="102">
        <f>Overview!D50</f>
        <v>3.668161168747555</v>
      </c>
      <c r="I101" s="174">
        <f t="shared" si="1"/>
        <v>7.4034367209857871E-2</v>
      </c>
      <c r="J101" s="219" t="e">
        <f>Results_energy_scenarios!K79</f>
        <v>#REF!</v>
      </c>
      <c r="K101" s="99" t="e">
        <f>Results_energy_scenarios!AA79</f>
        <v>#REF!</v>
      </c>
      <c r="L101" s="159" t="s">
        <v>334</v>
      </c>
    </row>
    <row r="102" spans="1:14">
      <c r="A102" t="s">
        <v>5</v>
      </c>
      <c r="B102" t="s">
        <v>320</v>
      </c>
      <c r="C102" t="s">
        <v>320</v>
      </c>
      <c r="D102" s="133" t="s">
        <v>380</v>
      </c>
      <c r="E102" s="103"/>
      <c r="F102" s="103"/>
      <c r="G102">
        <f>Overview!H36</f>
        <v>13134</v>
      </c>
      <c r="H102" s="166"/>
      <c r="I102" s="174">
        <f t="shared" si="1"/>
        <v>0.13283707362490074</v>
      </c>
      <c r="J102" s="219" t="e">
        <f>Results_energy_scenarios!K80</f>
        <v>#REF!</v>
      </c>
      <c r="K102" s="99" t="e">
        <f>Results_energy_scenarios!AA80</f>
        <v>#REF!</v>
      </c>
      <c r="L102" s="159" t="s">
        <v>334</v>
      </c>
      <c r="N102" s="157"/>
    </row>
    <row r="103" spans="1:14">
      <c r="D103" t="s">
        <v>547</v>
      </c>
      <c r="E103" s="103"/>
      <c r="F103" s="103"/>
      <c r="H103" s="166"/>
      <c r="I103" s="174"/>
      <c r="J103" s="219" t="e">
        <f>SUMIF(L92:L102,L103,J92:J102)</f>
        <v>#REF!</v>
      </c>
      <c r="K103" s="99" t="e">
        <f>SUMIF(L92:L102,L103,K92:K102)</f>
        <v>#REF!</v>
      </c>
      <c r="L103" s="159" t="s">
        <v>37</v>
      </c>
    </row>
    <row r="104" spans="1:14">
      <c r="D104" t="s">
        <v>548</v>
      </c>
      <c r="E104" s="103"/>
      <c r="F104" s="103"/>
      <c r="H104" s="166"/>
      <c r="I104" s="174"/>
      <c r="J104" s="219" t="e">
        <f>SUMIF(L92:L102,L104,J92:J102)</f>
        <v>#REF!</v>
      </c>
      <c r="K104" s="99" t="e">
        <f>SUMIF(L92:L102,L104,K92:K102)</f>
        <v>#REF!</v>
      </c>
      <c r="L104" s="159" t="s">
        <v>334</v>
      </c>
    </row>
    <row r="105" spans="1:14">
      <c r="A105" s="90" t="s">
        <v>5</v>
      </c>
      <c r="B105" s="90" t="s">
        <v>320</v>
      </c>
      <c r="C105" s="90" t="s">
        <v>337</v>
      </c>
      <c r="D105" s="90"/>
      <c r="E105" s="109"/>
      <c r="F105" s="109"/>
      <c r="G105" s="147">
        <f>SUM(G93,G95,G98:G102)</f>
        <v>98873.000146684877</v>
      </c>
      <c r="H105" s="109"/>
      <c r="I105" s="175">
        <f>SUM(I93:I102)</f>
        <v>1</v>
      </c>
      <c r="J105" s="221" t="e">
        <f>Results_energy_scenarios!K81</f>
        <v>#REF!</v>
      </c>
      <c r="K105" s="125" t="e">
        <f>Results_energy_scenarios!AA81</f>
        <v>#REF!</v>
      </c>
      <c r="L105" s="160"/>
    </row>
    <row r="106" spans="1:14">
      <c r="A106" s="104" t="s">
        <v>5</v>
      </c>
      <c r="B106" s="104" t="s">
        <v>320</v>
      </c>
      <c r="C106" s="104" t="s">
        <v>384</v>
      </c>
      <c r="D106" s="104"/>
      <c r="E106" s="105"/>
      <c r="F106" s="105"/>
      <c r="G106" s="104">
        <v>1</v>
      </c>
      <c r="H106" s="105"/>
      <c r="I106" s="167"/>
      <c r="J106" s="225" t="e">
        <f>Results_energy_scenarios!K82</f>
        <v>#REF!</v>
      </c>
      <c r="K106" s="144" t="e">
        <f>Results_energy_scenarios!AA82</f>
        <v>#REF!</v>
      </c>
      <c r="L106" s="160"/>
    </row>
    <row r="107" spans="1:14">
      <c r="A107" t="s">
        <v>5</v>
      </c>
      <c r="B107" t="s">
        <v>376</v>
      </c>
      <c r="C107" t="s">
        <v>328</v>
      </c>
      <c r="D107" s="140" t="s">
        <v>377</v>
      </c>
      <c r="E107">
        <f>energy_data_per_scenario!K24*1000</f>
        <v>74790</v>
      </c>
      <c r="F107" s="103"/>
      <c r="G107" s="103"/>
      <c r="H107" s="103"/>
      <c r="I107" s="176">
        <f>E107/E119</f>
        <v>0.95896909860238488</v>
      </c>
      <c r="J107" s="219" t="e">
        <f>Results_energy_scenarios!K83</f>
        <v>#REF!</v>
      </c>
      <c r="K107" s="99" t="e">
        <f>Results_energy_scenarios!AA83</f>
        <v>#REF!</v>
      </c>
      <c r="L107" s="159" t="s">
        <v>334</v>
      </c>
    </row>
    <row r="108" spans="1:14">
      <c r="A108" t="s">
        <v>5</v>
      </c>
      <c r="B108" t="s">
        <v>376</v>
      </c>
      <c r="C108" t="s">
        <v>328</v>
      </c>
      <c r="D108" s="114" t="s">
        <v>389</v>
      </c>
      <c r="E108" s="103"/>
      <c r="F108" s="103"/>
      <c r="G108">
        <v>12774</v>
      </c>
      <c r="H108" s="103"/>
      <c r="I108" s="174"/>
      <c r="J108" s="219" t="e">
        <f>Results_energy_scenarios!K84</f>
        <v>#REF!</v>
      </c>
      <c r="K108" s="99" t="e">
        <f>Results_energy_scenarios!AA84</f>
        <v>#REF!</v>
      </c>
      <c r="L108" s="160"/>
    </row>
    <row r="109" spans="1:14">
      <c r="C109" t="s">
        <v>328</v>
      </c>
      <c r="D109" t="s">
        <v>547</v>
      </c>
      <c r="E109" s="103"/>
      <c r="F109" s="103"/>
      <c r="H109" s="103"/>
      <c r="I109" s="174"/>
      <c r="J109" s="219" t="e">
        <f>J103/$G105*($G108)</f>
        <v>#REF!</v>
      </c>
      <c r="K109" s="219" t="e">
        <f>K103/$G105*($G108)</f>
        <v>#REF!</v>
      </c>
      <c r="L109" s="159" t="s">
        <v>37</v>
      </c>
    </row>
    <row r="110" spans="1:14">
      <c r="C110" t="s">
        <v>328</v>
      </c>
      <c r="D110" t="s">
        <v>548</v>
      </c>
      <c r="E110" s="103"/>
      <c r="F110" s="103"/>
      <c r="H110" s="103"/>
      <c r="I110" s="174"/>
      <c r="J110" s="219" t="e">
        <f>J104/$G105*($G108)</f>
        <v>#REF!</v>
      </c>
      <c r="K110" s="219" t="e">
        <f>K104/$G105*($G108)</f>
        <v>#REF!</v>
      </c>
      <c r="L110" s="159" t="s">
        <v>334</v>
      </c>
    </row>
    <row r="111" spans="1:14">
      <c r="A111" t="s">
        <v>5</v>
      </c>
      <c r="B111" t="s">
        <v>376</v>
      </c>
      <c r="C111" t="s">
        <v>328</v>
      </c>
      <c r="D111" s="140" t="s">
        <v>415</v>
      </c>
      <c r="F111" s="103"/>
      <c r="G111" s="103"/>
      <c r="H111" s="103"/>
      <c r="I111" s="174">
        <f>E111/E119</f>
        <v>0</v>
      </c>
      <c r="J111" s="219" t="e">
        <f>Results_energy_scenarios!K85</f>
        <v>#REF!</v>
      </c>
      <c r="K111" s="99" t="e">
        <f>Results_energy_scenarios!AA85</f>
        <v>#REF!</v>
      </c>
      <c r="L111" s="159" t="s">
        <v>334</v>
      </c>
    </row>
    <row r="112" spans="1:14">
      <c r="A112" t="s">
        <v>5</v>
      </c>
      <c r="B112" t="s">
        <v>376</v>
      </c>
      <c r="C112" t="s">
        <v>328</v>
      </c>
      <c r="D112" s="140" t="s">
        <v>417</v>
      </c>
      <c r="E112" s="103"/>
      <c r="F112" s="103"/>
      <c r="G112" s="163">
        <f>Overview!H30</f>
        <v>0</v>
      </c>
      <c r="H112" s="103"/>
      <c r="I112" s="174"/>
      <c r="J112" s="219">
        <f>Results_energy_scenarios!K86</f>
        <v>0</v>
      </c>
      <c r="K112" s="99">
        <f>Results_energy_scenarios!AA86</f>
        <v>0</v>
      </c>
      <c r="L112" s="159" t="s">
        <v>334</v>
      </c>
    </row>
    <row r="113" spans="1:12">
      <c r="A113" t="s">
        <v>5</v>
      </c>
      <c r="B113" t="s">
        <v>376</v>
      </c>
      <c r="C113" t="s">
        <v>328</v>
      </c>
      <c r="D113" s="140" t="s">
        <v>416</v>
      </c>
      <c r="F113" s="103"/>
      <c r="G113" s="103"/>
      <c r="H113" s="103"/>
      <c r="I113" s="174">
        <f>E113/E119</f>
        <v>0</v>
      </c>
      <c r="J113" s="219" t="e">
        <f>Results_energy_scenarios!K87</f>
        <v>#REF!</v>
      </c>
      <c r="K113" s="99" t="e">
        <f>Results_energy_scenarios!AA87</f>
        <v>#REF!</v>
      </c>
      <c r="L113" s="159" t="s">
        <v>37</v>
      </c>
    </row>
    <row r="114" spans="1:12">
      <c r="A114" t="s">
        <v>5</v>
      </c>
      <c r="B114" t="s">
        <v>376</v>
      </c>
      <c r="C114" t="s">
        <v>328</v>
      </c>
      <c r="D114" s="140" t="s">
        <v>418</v>
      </c>
      <c r="E114" s="103"/>
      <c r="F114" s="103"/>
      <c r="G114" s="163">
        <f>Overview!H8</f>
        <v>0</v>
      </c>
      <c r="H114" s="103"/>
      <c r="I114" s="174"/>
      <c r="J114" s="219">
        <f>Results_energy_scenarios!K88</f>
        <v>0</v>
      </c>
      <c r="K114" s="99">
        <f>Results_energy_scenarios!AA88</f>
        <v>0</v>
      </c>
      <c r="L114" s="159" t="s">
        <v>37</v>
      </c>
    </row>
    <row r="115" spans="1:12">
      <c r="A115" t="s">
        <v>5</v>
      </c>
      <c r="B115" t="s">
        <v>376</v>
      </c>
      <c r="C115" t="s">
        <v>327</v>
      </c>
      <c r="D115" s="140" t="s">
        <v>377</v>
      </c>
      <c r="E115">
        <f>energy_data_per_scenario!K15*1000</f>
        <v>3200</v>
      </c>
      <c r="F115" s="103"/>
      <c r="G115" s="103"/>
      <c r="H115" s="103"/>
      <c r="I115" s="174">
        <f>E115/E119</f>
        <v>4.1030901397615081E-2</v>
      </c>
      <c r="J115" s="219" t="e">
        <f>Results_energy_scenarios!K89</f>
        <v>#REF!</v>
      </c>
      <c r="K115" s="99" t="e">
        <f>Results_energy_scenarios!AA89</f>
        <v>#REF!</v>
      </c>
      <c r="L115" s="159" t="s">
        <v>37</v>
      </c>
    </row>
    <row r="116" spans="1:12">
      <c r="C116" t="s">
        <v>327</v>
      </c>
      <c r="D116" t="s">
        <v>547</v>
      </c>
      <c r="F116" s="103"/>
      <c r="G116" s="103"/>
      <c r="H116" s="103"/>
      <c r="I116" s="174"/>
      <c r="J116" s="219" t="e">
        <f>J103/$G105*($G118)</f>
        <v>#REF!</v>
      </c>
      <c r="K116" s="219" t="e">
        <f>K103/$G105*($G118)</f>
        <v>#REF!</v>
      </c>
      <c r="L116" s="159" t="s">
        <v>37</v>
      </c>
    </row>
    <row r="117" spans="1:12">
      <c r="C117" t="s">
        <v>327</v>
      </c>
      <c r="D117" t="s">
        <v>548</v>
      </c>
      <c r="F117" s="103"/>
      <c r="G117" s="103"/>
      <c r="H117" s="103"/>
      <c r="I117" s="174"/>
      <c r="J117" s="219" t="e">
        <f>J104/$G105*($G118)</f>
        <v>#REF!</v>
      </c>
      <c r="K117" s="219" t="e">
        <f>K104/$G105*($G118)</f>
        <v>#REF!</v>
      </c>
      <c r="L117" s="159" t="s">
        <v>334</v>
      </c>
    </row>
    <row r="118" spans="1:12">
      <c r="A118" t="s">
        <v>5</v>
      </c>
      <c r="B118" t="s">
        <v>376</v>
      </c>
      <c r="C118" t="s">
        <v>327</v>
      </c>
      <c r="D118" s="114" t="s">
        <v>390</v>
      </c>
      <c r="E118" s="103"/>
      <c r="F118" s="103"/>
      <c r="G118">
        <v>3201</v>
      </c>
      <c r="H118" s="103"/>
      <c r="I118" s="174"/>
      <c r="J118" s="219" t="e">
        <f>Results_energy_scenarios!K90</f>
        <v>#REF!</v>
      </c>
      <c r="K118" s="99" t="e">
        <f>Results_energy_scenarios!AA90</f>
        <v>#REF!</v>
      </c>
      <c r="L118" s="160"/>
    </row>
    <row r="119" spans="1:12">
      <c r="A119" s="90" t="s">
        <v>5</v>
      </c>
      <c r="B119" s="90" t="s">
        <v>376</v>
      </c>
      <c r="C119" s="90" t="s">
        <v>337</v>
      </c>
      <c r="D119" s="90"/>
      <c r="E119" s="90">
        <f>SUM(E107:E118)</f>
        <v>77990</v>
      </c>
      <c r="F119" s="109"/>
      <c r="G119" s="109"/>
      <c r="H119" s="103"/>
      <c r="I119" s="174">
        <f>SUM(I107:I118)</f>
        <v>1</v>
      </c>
      <c r="J119" s="221" t="e">
        <f>Results_energy_scenarios!K91</f>
        <v>#REF!</v>
      </c>
      <c r="K119" s="125" t="e">
        <f>Results_energy_scenarios!AA91</f>
        <v>#REF!</v>
      </c>
      <c r="L119" s="160"/>
    </row>
    <row r="120" spans="1:12" ht="15" thickBot="1">
      <c r="A120" s="134" t="s">
        <v>5</v>
      </c>
      <c r="B120" s="134" t="s">
        <v>376</v>
      </c>
      <c r="C120" s="134" t="s">
        <v>391</v>
      </c>
      <c r="D120" s="134"/>
      <c r="E120" s="134">
        <v>1</v>
      </c>
      <c r="F120" s="135"/>
      <c r="G120" s="135"/>
      <c r="H120" s="135"/>
      <c r="I120" s="168"/>
      <c r="J120" s="224" t="e">
        <f>Results_energy_scenarios!K92</f>
        <v>#REF!</v>
      </c>
      <c r="K120" s="137" t="e">
        <f>Results_energy_scenarios!AA92</f>
        <v>#REF!</v>
      </c>
      <c r="L120" s="160"/>
    </row>
    <row r="121" spans="1:12">
      <c r="A121" t="s">
        <v>6</v>
      </c>
      <c r="D121" s="115" t="s">
        <v>322</v>
      </c>
      <c r="E121" s="103"/>
      <c r="F121" s="103"/>
      <c r="G121">
        <v>14226</v>
      </c>
      <c r="H121" s="103"/>
      <c r="I121" s="174"/>
      <c r="J121" s="219" t="e">
        <f>Results_energy_scenarios!K93</f>
        <v>#REF!</v>
      </c>
      <c r="K121" s="99" t="e">
        <f>Results_energy_scenarios!AA93</f>
        <v>#REF!</v>
      </c>
      <c r="L121" s="160"/>
    </row>
    <row r="122" spans="1:12">
      <c r="D122" t="s">
        <v>545</v>
      </c>
      <c r="E122" s="103"/>
      <c r="F122" s="103"/>
      <c r="H122" s="103"/>
      <c r="I122" s="174"/>
      <c r="J122" s="219" t="e">
        <f>SUMIF(L127:L135,L122,J127:J135)</f>
        <v>#REF!</v>
      </c>
      <c r="K122" s="219" t="e">
        <f>SUMIF(L127:L135,L122,K127:K135)</f>
        <v>#REF!</v>
      </c>
      <c r="L122" s="229" t="s">
        <v>37</v>
      </c>
    </row>
    <row r="123" spans="1:12">
      <c r="D123" t="s">
        <v>546</v>
      </c>
      <c r="E123" s="103"/>
      <c r="F123" s="103"/>
      <c r="H123" s="103"/>
      <c r="I123" s="174"/>
      <c r="J123" s="219" t="e">
        <f>SUMIF(L127:L135,L123,J127:J135)</f>
        <v>#REF!</v>
      </c>
      <c r="K123" s="219" t="e">
        <f>SUMIF(L127:L135,L123,K127:K135)</f>
        <v>#REF!</v>
      </c>
      <c r="L123" s="229" t="s">
        <v>334</v>
      </c>
    </row>
    <row r="124" spans="1:12">
      <c r="A124" t="s">
        <v>6</v>
      </c>
      <c r="D124" s="115" t="s">
        <v>406</v>
      </c>
      <c r="E124" s="103"/>
      <c r="F124" s="103"/>
      <c r="G124">
        <v>14226</v>
      </c>
      <c r="H124" s="103"/>
      <c r="I124" s="94"/>
      <c r="J124" s="219" t="e">
        <f>Results_energy_scenarios!K94</f>
        <v>#REF!</v>
      </c>
      <c r="K124" s="99" t="e">
        <f>Results_energy_scenarios!AA94</f>
        <v>#REF!</v>
      </c>
      <c r="L124" s="160"/>
    </row>
    <row r="125" spans="1:12">
      <c r="D125" t="s">
        <v>549</v>
      </c>
      <c r="E125" s="103"/>
      <c r="F125" s="103"/>
      <c r="H125" s="103"/>
      <c r="I125" s="94"/>
      <c r="J125" s="219" t="e">
        <f>SUMIF(L127:L133,L125,J127:J133)</f>
        <v>#REF!</v>
      </c>
      <c r="K125" s="99" t="e">
        <f>SUMIF(L127:L133,L125,K127:K133)</f>
        <v>#REF!</v>
      </c>
      <c r="L125" s="229" t="s">
        <v>37</v>
      </c>
    </row>
    <row r="126" spans="1:12">
      <c r="D126" t="s">
        <v>550</v>
      </c>
      <c r="E126" s="103"/>
      <c r="F126" s="103"/>
      <c r="H126" s="103"/>
      <c r="I126" s="94"/>
      <c r="J126" s="219" t="e">
        <f>SUMIF(L127:L133,L126,J127:J133)</f>
        <v>#REF!</v>
      </c>
      <c r="K126" s="99" t="e">
        <f>SUMIF(L127:L133,L126,K127:K133)</f>
        <v>#REF!</v>
      </c>
      <c r="L126" s="229" t="s">
        <v>334</v>
      </c>
    </row>
    <row r="127" spans="1:12">
      <c r="A127" t="s">
        <v>6</v>
      </c>
      <c r="D127" s="113" t="s">
        <v>387</v>
      </c>
      <c r="E127" s="103"/>
      <c r="F127" s="103"/>
      <c r="G127">
        <f>Overview!I9</f>
        <v>13579.55095917299</v>
      </c>
      <c r="H127">
        <f>Overview!E9</f>
        <v>1.5459477104146919</v>
      </c>
      <c r="I127" s="94"/>
      <c r="J127" s="219" t="e">
        <f>Results_energy_scenarios!K95</f>
        <v>#REF!</v>
      </c>
      <c r="K127" s="99" t="e">
        <f>Results_energy_scenarios!AA95</f>
        <v>#REF!</v>
      </c>
      <c r="L127" s="159" t="s">
        <v>37</v>
      </c>
    </row>
    <row r="128" spans="1:12">
      <c r="A128" t="s">
        <v>6</v>
      </c>
      <c r="D128" s="117" t="s">
        <v>81</v>
      </c>
      <c r="E128" s="103"/>
      <c r="F128">
        <f>Overview!I23</f>
        <v>71476.791967814177</v>
      </c>
      <c r="G128" s="103"/>
      <c r="H128" s="103"/>
      <c r="I128" s="94"/>
      <c r="J128" s="219" t="e">
        <f>Results_energy_scenarios!K96</f>
        <v>#REF!</v>
      </c>
      <c r="K128" s="99" t="e">
        <f>Results_energy_scenarios!AA96</f>
        <v>#REF!</v>
      </c>
      <c r="L128" s="159" t="s">
        <v>37</v>
      </c>
    </row>
    <row r="129" spans="1:14">
      <c r="A129" t="s">
        <v>6</v>
      </c>
      <c r="D129" s="117" t="s">
        <v>338</v>
      </c>
      <c r="E129" s="103"/>
      <c r="F129" s="103"/>
      <c r="G129">
        <f>Overview!I26</f>
        <v>533.93813749292747</v>
      </c>
      <c r="H129">
        <f>Overview!E26</f>
        <v>0.12476500485866621</v>
      </c>
      <c r="I129" s="94"/>
      <c r="J129" s="219" t="e">
        <f>Results_energy_scenarios!K97</f>
        <v>#REF!</v>
      </c>
      <c r="K129" s="99" t="e">
        <f>Results_energy_scenarios!AA97</f>
        <v>#REF!</v>
      </c>
      <c r="L129" s="159" t="s">
        <v>334</v>
      </c>
    </row>
    <row r="130" spans="1:14">
      <c r="A130" t="s">
        <v>6</v>
      </c>
      <c r="D130" s="114" t="s">
        <v>385</v>
      </c>
      <c r="E130" s="103"/>
      <c r="F130" s="103"/>
      <c r="G130">
        <v>36</v>
      </c>
      <c r="H130" s="103"/>
      <c r="I130" s="94"/>
      <c r="J130" s="219" t="e">
        <f>Results_energy_scenarios!K98</f>
        <v>#REF!</v>
      </c>
      <c r="K130" s="99" t="e">
        <f>Results_energy_scenarios!AA98</f>
        <v>#REF!</v>
      </c>
      <c r="L130" s="160"/>
    </row>
    <row r="131" spans="1:14">
      <c r="A131" t="s">
        <v>6</v>
      </c>
      <c r="D131" s="114" t="s">
        <v>386</v>
      </c>
      <c r="E131" s="103"/>
      <c r="F131" s="103"/>
      <c r="G131">
        <v>744</v>
      </c>
      <c r="H131" s="103"/>
      <c r="I131" s="94"/>
      <c r="J131" s="219" t="e">
        <f>Results_energy_scenarios!K99</f>
        <v>#REF!</v>
      </c>
      <c r="K131" s="99" t="e">
        <f>Results_energy_scenarios!AA99</f>
        <v>#REF!</v>
      </c>
      <c r="L131" s="160"/>
    </row>
    <row r="132" spans="1:14">
      <c r="A132" t="s">
        <v>6</v>
      </c>
      <c r="D132" s="112" t="s">
        <v>358</v>
      </c>
      <c r="E132" s="103"/>
      <c r="F132" s="103"/>
      <c r="G132">
        <v>107</v>
      </c>
      <c r="H132">
        <f>Overview!E35/Overview!I35*Results_energy_scenarios!G100</f>
        <v>2.8378873150489543E-2</v>
      </c>
      <c r="I132" s="94"/>
      <c r="J132" s="219" t="e">
        <f>Results_energy_scenarios!K100</f>
        <v>#REF!</v>
      </c>
      <c r="K132" s="99" t="e">
        <f>Results_energy_scenarios!AA100</f>
        <v>#REF!</v>
      </c>
      <c r="L132" s="159" t="s">
        <v>37</v>
      </c>
    </row>
    <row r="133" spans="1:14">
      <c r="A133" t="s">
        <v>6</v>
      </c>
      <c r="D133" s="114" t="s">
        <v>378</v>
      </c>
      <c r="E133" s="103"/>
      <c r="F133" s="103"/>
      <c r="G133">
        <f>9688/Overview!I35*Results_energy_scenarios!G100</f>
        <v>25.118036802229948</v>
      </c>
      <c r="H133" s="103"/>
      <c r="I133" s="94"/>
      <c r="J133" s="219" t="e">
        <f>Results_energy_scenarios!K101</f>
        <v>#REF!</v>
      </c>
      <c r="K133" s="99" t="e">
        <f>Results_energy_scenarios!AA101</f>
        <v>#REF!</v>
      </c>
      <c r="L133" s="160"/>
    </row>
    <row r="134" spans="1:14">
      <c r="D134" t="s">
        <v>547</v>
      </c>
      <c r="E134" s="103"/>
      <c r="F134" s="103"/>
      <c r="H134" s="103"/>
      <c r="I134" s="94"/>
      <c r="J134" s="219" t="e">
        <f>J167/$G169*($G130+$G131+$G133)</f>
        <v>#REF!</v>
      </c>
      <c r="K134" s="219" t="e">
        <f>K167/$G169*($G130+$G131+$G133)</f>
        <v>#REF!</v>
      </c>
      <c r="L134" s="159" t="s">
        <v>37</v>
      </c>
    </row>
    <row r="135" spans="1:14">
      <c r="A135" s="151"/>
      <c r="B135" s="151"/>
      <c r="C135" s="151"/>
      <c r="D135" s="151" t="s">
        <v>548</v>
      </c>
      <c r="E135" s="153"/>
      <c r="F135" s="153"/>
      <c r="G135" s="151"/>
      <c r="H135" s="153"/>
      <c r="I135" s="169"/>
      <c r="J135" s="226" t="e">
        <f>J168/$G169*($G130+$G131+$G133)</f>
        <v>#REF!</v>
      </c>
      <c r="K135" s="226" t="e">
        <f>K168/$G169*($G130+$G131+$G133)</f>
        <v>#REF!</v>
      </c>
      <c r="L135" s="159" t="s">
        <v>334</v>
      </c>
    </row>
    <row r="136" spans="1:14">
      <c r="A136" t="s">
        <v>6</v>
      </c>
      <c r="B136" t="s">
        <v>361</v>
      </c>
      <c r="C136" t="s">
        <v>357</v>
      </c>
      <c r="D136" s="113" t="s">
        <v>339</v>
      </c>
      <c r="E136" s="103"/>
      <c r="F136" s="103"/>
      <c r="G136">
        <v>21455</v>
      </c>
      <c r="H136" s="103"/>
      <c r="I136" s="174"/>
      <c r="J136" s="219" t="e">
        <f>Results_energy_scenarios!K102</f>
        <v>#REF!</v>
      </c>
      <c r="K136" s="99" t="e">
        <f>Results_energy_scenarios!AA102</f>
        <v>#REF!</v>
      </c>
      <c r="L136" s="159" t="s">
        <v>37</v>
      </c>
    </row>
    <row r="137" spans="1:14">
      <c r="A137" t="s">
        <v>6</v>
      </c>
      <c r="B137" t="s">
        <v>361</v>
      </c>
      <c r="C137" t="s">
        <v>357</v>
      </c>
      <c r="D137" s="113" t="s">
        <v>340</v>
      </c>
      <c r="E137" s="103"/>
      <c r="F137" s="103"/>
      <c r="G137">
        <v>18237</v>
      </c>
      <c r="H137">
        <f>Overview!E10</f>
        <v>5.3391327540755711</v>
      </c>
      <c r="I137" s="177">
        <f>G137/G152</f>
        <v>0.25604054642200291</v>
      </c>
      <c r="J137" s="219" t="e">
        <f>Results_energy_scenarios!K103</f>
        <v>#REF!</v>
      </c>
      <c r="K137" s="99" t="e">
        <f>Results_energy_scenarios!AA103</f>
        <v>#REF!</v>
      </c>
      <c r="L137" s="159" t="s">
        <v>37</v>
      </c>
    </row>
    <row r="138" spans="1:14">
      <c r="A138" t="s">
        <v>6</v>
      </c>
      <c r="B138" t="s">
        <v>361</v>
      </c>
      <c r="C138" t="s">
        <v>357</v>
      </c>
      <c r="D138" s="112" t="s">
        <v>358</v>
      </c>
      <c r="E138" s="103"/>
      <c r="F138" s="103"/>
      <c r="G138">
        <f>energy_data_per_scenario!L27*1000</f>
        <v>36870</v>
      </c>
      <c r="H138">
        <f>Overview!E35/Overview!I35*Results_energy_scenarios!G104</f>
        <v>9.7787761968088738</v>
      </c>
      <c r="I138" s="177">
        <f>G138/G152</f>
        <v>0.51764078228761568</v>
      </c>
      <c r="J138" s="219" t="e">
        <f>Results_energy_scenarios!K104</f>
        <v>#REF!</v>
      </c>
      <c r="K138" s="99" t="e">
        <f>Results_energy_scenarios!AA104</f>
        <v>#REF!</v>
      </c>
      <c r="L138" s="159" t="s">
        <v>37</v>
      </c>
    </row>
    <row r="139" spans="1:14">
      <c r="A139" t="s">
        <v>6</v>
      </c>
      <c r="B139" t="s">
        <v>361</v>
      </c>
      <c r="C139" t="s">
        <v>357</v>
      </c>
      <c r="D139" s="114" t="s">
        <v>378</v>
      </c>
      <c r="E139" s="103"/>
      <c r="F139" s="103"/>
      <c r="G139">
        <f>9688/Overview!I35*Results_energy_scenarios!G104</f>
        <v>8655.1590364319454</v>
      </c>
      <c r="H139" s="103"/>
      <c r="I139" s="177"/>
      <c r="J139" s="219" t="e">
        <f>Results_energy_scenarios!K105</f>
        <v>#REF!</v>
      </c>
      <c r="K139" s="99" t="e">
        <f>Results_energy_scenarios!AA105</f>
        <v>#REF!</v>
      </c>
      <c r="L139" s="160"/>
    </row>
    <row r="140" spans="1:14">
      <c r="A140" t="s">
        <v>6</v>
      </c>
      <c r="B140" t="s">
        <v>361</v>
      </c>
      <c r="C140" t="s">
        <v>357</v>
      </c>
      <c r="D140" s="115" t="s">
        <v>343</v>
      </c>
      <c r="E140" s="103"/>
      <c r="F140" s="103"/>
      <c r="H140">
        <f>Overview!E12</f>
        <v>8.0582741523256154E-6</v>
      </c>
      <c r="I140" s="177"/>
      <c r="J140" s="219" t="e">
        <f>Results_energy_scenarios!K106</f>
        <v>#REF!</v>
      </c>
      <c r="K140" s="99" t="e">
        <f>Results_energy_scenarios!AA106</f>
        <v>#REF!</v>
      </c>
      <c r="L140" s="159" t="s">
        <v>37</v>
      </c>
    </row>
    <row r="141" spans="1:14">
      <c r="A141" t="s">
        <v>6</v>
      </c>
      <c r="B141" t="s">
        <v>361</v>
      </c>
      <c r="C141" t="s">
        <v>329</v>
      </c>
      <c r="D141" s="115" t="s">
        <v>322</v>
      </c>
      <c r="E141" s="103"/>
      <c r="F141" s="103"/>
      <c r="G141">
        <v>6151</v>
      </c>
      <c r="H141" s="103"/>
      <c r="I141" s="177"/>
      <c r="J141" s="219" t="e">
        <f>Results_energy_scenarios!K107</f>
        <v>#REF!</v>
      </c>
      <c r="K141" s="99" t="e">
        <f>Results_energy_scenarios!AA107</f>
        <v>#REF!</v>
      </c>
      <c r="L141" s="160"/>
    </row>
    <row r="142" spans="1:14">
      <c r="D142" t="s">
        <v>545</v>
      </c>
      <c r="E142" s="103"/>
      <c r="F142" s="103"/>
      <c r="H142" s="103"/>
      <c r="I142" s="177"/>
      <c r="J142" s="219" t="e">
        <f>J122/$G121*$G141</f>
        <v>#REF!</v>
      </c>
      <c r="K142" s="219" t="e">
        <f>K122/$G121*$G141</f>
        <v>#REF!</v>
      </c>
      <c r="L142" s="159" t="s">
        <v>37</v>
      </c>
      <c r="N142" s="157"/>
    </row>
    <row r="143" spans="1:14">
      <c r="D143" t="s">
        <v>546</v>
      </c>
      <c r="E143" s="103"/>
      <c r="F143" s="103"/>
      <c r="H143" s="103"/>
      <c r="I143" s="177"/>
      <c r="J143" s="219" t="e">
        <f>J123/$G121*$G141</f>
        <v>#REF!</v>
      </c>
      <c r="K143" s="219" t="e">
        <f>K123/$G121*$G141</f>
        <v>#REF!</v>
      </c>
      <c r="L143" s="159" t="s">
        <v>334</v>
      </c>
    </row>
    <row r="144" spans="1:14">
      <c r="A144" t="s">
        <v>6</v>
      </c>
      <c r="B144" t="s">
        <v>361</v>
      </c>
      <c r="C144" t="s">
        <v>329</v>
      </c>
      <c r="D144" s="115" t="s">
        <v>343</v>
      </c>
      <c r="E144" s="103"/>
      <c r="F144" s="103"/>
      <c r="G144">
        <f>energy_data_per_scenario!L17*1000</f>
        <v>5702</v>
      </c>
      <c r="H144">
        <f>Overview!E13</f>
        <v>0.64917703956610506</v>
      </c>
      <c r="I144" s="177">
        <f>G144/G152</f>
        <v>8.0053912140059247E-2</v>
      </c>
      <c r="J144" s="219" t="e">
        <f>Results_energy_scenarios!K108</f>
        <v>#REF!</v>
      </c>
      <c r="K144" s="99" t="e">
        <f>Results_energy_scenarios!AA108</f>
        <v>#REF!</v>
      </c>
      <c r="L144" s="159" t="s">
        <v>37</v>
      </c>
    </row>
    <row r="145" spans="1:12">
      <c r="A145" t="s">
        <v>6</v>
      </c>
      <c r="B145" t="s">
        <v>361</v>
      </c>
      <c r="C145" t="s">
        <v>330</v>
      </c>
      <c r="D145" s="116" t="s">
        <v>347</v>
      </c>
      <c r="E145" s="103"/>
      <c r="F145" s="103"/>
      <c r="G145">
        <f>energy_data_per_scenario!L20*1000</f>
        <v>6050</v>
      </c>
      <c r="H145">
        <f>Overview!E22/(Results_energy_scenarios!G109+Results_energy_scenarios!G117)*Results_energy_scenarios!G109</f>
        <v>0.21193020596138012</v>
      </c>
      <c r="I145" s="177">
        <f>G145/G152</f>
        <v>8.4939699832928525E-2</v>
      </c>
      <c r="J145" s="219" t="e">
        <f>Results_energy_scenarios!K109</f>
        <v>#REF!</v>
      </c>
      <c r="K145" s="99" t="e">
        <f>Results_energy_scenarios!AA109</f>
        <v>#REF!</v>
      </c>
      <c r="L145" s="159" t="s">
        <v>37</v>
      </c>
    </row>
    <row r="146" spans="1:12">
      <c r="A146" t="s">
        <v>6</v>
      </c>
      <c r="B146" t="s">
        <v>361</v>
      </c>
      <c r="C146" t="s">
        <v>330</v>
      </c>
      <c r="D146" s="113" t="s">
        <v>339</v>
      </c>
      <c r="E146" s="103"/>
      <c r="F146" s="103"/>
      <c r="G146">
        <v>145</v>
      </c>
      <c r="H146" s="103"/>
      <c r="I146" s="177"/>
      <c r="J146" s="219" t="e">
        <f>Results_energy_scenarios!K110</f>
        <v>#REF!</v>
      </c>
      <c r="K146" s="99" t="e">
        <f>Results_energy_scenarios!AA110</f>
        <v>#REF!</v>
      </c>
      <c r="L146" s="159" t="s">
        <v>37</v>
      </c>
    </row>
    <row r="147" spans="1:12">
      <c r="A147" t="s">
        <v>6</v>
      </c>
      <c r="B147" t="s">
        <v>361</v>
      </c>
      <c r="C147" t="s">
        <v>330</v>
      </c>
      <c r="D147" s="116" t="s">
        <v>399</v>
      </c>
      <c r="E147" s="103"/>
      <c r="F147" s="103"/>
      <c r="G147">
        <v>77</v>
      </c>
      <c r="H147">
        <f>Overview!E20/(Results_energy_scenarios!G111+Results_energy_scenarios!G118)*Results_energy_scenarios!G111</f>
        <v>2.2212848968601795E-3</v>
      </c>
      <c r="I147" s="177">
        <f>G147/G152</f>
        <v>1.0810507251463629E-3</v>
      </c>
      <c r="J147" s="219" t="e">
        <f>Results_energy_scenarios!K111</f>
        <v>#REF!</v>
      </c>
      <c r="K147" s="99" t="e">
        <f>Results_energy_scenarios!AA111</f>
        <v>#REF!</v>
      </c>
      <c r="L147" s="159" t="s">
        <v>37</v>
      </c>
    </row>
    <row r="148" spans="1:12">
      <c r="A148" t="s">
        <v>6</v>
      </c>
      <c r="B148" t="s">
        <v>361</v>
      </c>
      <c r="C148" t="s">
        <v>331</v>
      </c>
      <c r="D148" s="114" t="s">
        <v>378</v>
      </c>
      <c r="E148" s="103"/>
      <c r="F148" s="103"/>
      <c r="G148">
        <f>9688/Overview!I35*Results_energy_scenarios!G113</f>
        <v>1007.3037001716701</v>
      </c>
      <c r="H148" s="103"/>
      <c r="I148" s="177"/>
      <c r="J148" s="219" t="e">
        <f>Results_energy_scenarios!K112</f>
        <v>#REF!</v>
      </c>
      <c r="K148" s="99" t="e">
        <f>Results_energy_scenarios!AA112</f>
        <v>#REF!</v>
      </c>
      <c r="L148" s="160"/>
    </row>
    <row r="149" spans="1:12">
      <c r="D149" t="s">
        <v>547</v>
      </c>
      <c r="E149" s="103"/>
      <c r="F149" s="103"/>
      <c r="H149" s="103"/>
      <c r="I149" s="177"/>
      <c r="J149" s="219" t="e">
        <f>J167/$G169*($G139+$G148)</f>
        <v>#REF!</v>
      </c>
      <c r="K149" s="219" t="e">
        <f>K167/$G169*($G139+$G148)</f>
        <v>#REF!</v>
      </c>
      <c r="L149" s="159" t="s">
        <v>37</v>
      </c>
    </row>
    <row r="150" spans="1:12">
      <c r="D150" t="s">
        <v>548</v>
      </c>
      <c r="E150" s="103"/>
      <c r="F150" s="103"/>
      <c r="H150" s="103"/>
      <c r="I150" s="177"/>
      <c r="J150" s="219" t="e">
        <f>J168/$G169*($G139+$G148)</f>
        <v>#REF!</v>
      </c>
      <c r="K150" s="219" t="e">
        <f>K168/$G169*($G139+$G148)</f>
        <v>#REF!</v>
      </c>
      <c r="L150" s="159" t="s">
        <v>334</v>
      </c>
    </row>
    <row r="151" spans="1:12">
      <c r="A151" t="s">
        <v>6</v>
      </c>
      <c r="B151" t="s">
        <v>361</v>
      </c>
      <c r="C151" t="s">
        <v>331</v>
      </c>
      <c r="D151" s="112" t="s">
        <v>358</v>
      </c>
      <c r="E151" s="103"/>
      <c r="F151" s="103"/>
      <c r="G151">
        <v>4291</v>
      </c>
      <c r="H151">
        <f>Overview!E35/Overview!I35*Results_energy_scenarios!G113</f>
        <v>1.1380723802686974</v>
      </c>
      <c r="I151" s="177">
        <f>G151/G152</f>
        <v>6.0244008592247322E-2</v>
      </c>
      <c r="J151" s="219" t="e">
        <f>Results_energy_scenarios!K113</f>
        <v>#REF!</v>
      </c>
      <c r="K151" s="99" t="e">
        <f>Results_energy_scenarios!AA113</f>
        <v>#REF!</v>
      </c>
      <c r="L151" s="159" t="s">
        <v>37</v>
      </c>
    </row>
    <row r="152" spans="1:12">
      <c r="A152" s="90" t="s">
        <v>6</v>
      </c>
      <c r="B152" s="90" t="s">
        <v>361</v>
      </c>
      <c r="C152" s="90" t="s">
        <v>337</v>
      </c>
      <c r="D152" s="90"/>
      <c r="E152" s="109"/>
      <c r="F152" s="109"/>
      <c r="G152" s="125">
        <f>SUM(G137,G138,G144,G145,G147,G151)</f>
        <v>71227</v>
      </c>
      <c r="H152" s="109"/>
      <c r="I152" s="178">
        <f>SUM(I137:I151)</f>
        <v>1</v>
      </c>
      <c r="J152" s="221" t="e">
        <f>Results_energy_scenarios!K114</f>
        <v>#REF!</v>
      </c>
      <c r="K152" s="125" t="e">
        <f>Results_energy_scenarios!AA114</f>
        <v>#REF!</v>
      </c>
      <c r="L152" s="160"/>
    </row>
    <row r="153" spans="1:12">
      <c r="A153" s="104" t="s">
        <v>6</v>
      </c>
      <c r="B153" s="104" t="s">
        <v>361</v>
      </c>
      <c r="C153" s="104" t="s">
        <v>384</v>
      </c>
      <c r="D153" s="104"/>
      <c r="E153" s="105"/>
      <c r="F153" s="105"/>
      <c r="G153" s="107">
        <v>1</v>
      </c>
      <c r="H153" s="105"/>
      <c r="I153" s="167"/>
      <c r="J153" s="222" t="e">
        <f>Results_energy_scenarios!K115</f>
        <v>#REF!</v>
      </c>
      <c r="K153" s="107" t="e">
        <f>Results_energy_scenarios!AA115</f>
        <v>#REF!</v>
      </c>
      <c r="L153" s="160"/>
    </row>
    <row r="154" spans="1:12">
      <c r="A154" t="s">
        <v>6</v>
      </c>
      <c r="B154" t="s">
        <v>320</v>
      </c>
      <c r="C154" t="s">
        <v>320</v>
      </c>
      <c r="D154" t="s">
        <v>442</v>
      </c>
      <c r="E154" s="103"/>
      <c r="F154" s="103"/>
      <c r="G154" s="148">
        <f>Overview!E4</f>
        <v>2.7873239344584359E-5</v>
      </c>
      <c r="H154" s="103"/>
      <c r="I154" s="174"/>
      <c r="J154" s="223" t="e">
        <f>Results_energy_scenarios!K116</f>
        <v>#REF!</v>
      </c>
      <c r="K154" s="148" t="e">
        <f>Results_energy_scenarios!AA116</f>
        <v>#REF!</v>
      </c>
      <c r="L154" s="159" t="s">
        <v>334</v>
      </c>
    </row>
    <row r="155" spans="1:12">
      <c r="A155" t="s">
        <v>6</v>
      </c>
      <c r="B155" t="s">
        <v>320</v>
      </c>
      <c r="C155" t="s">
        <v>320</v>
      </c>
      <c r="D155" s="116" t="s">
        <v>347</v>
      </c>
      <c r="E155" s="103"/>
      <c r="F155" s="103"/>
      <c r="G155">
        <f>energy_data_per_scenario!L4*1000</f>
        <v>2689.0004371219102</v>
      </c>
      <c r="H155">
        <f>Overview!E22/(Results_energy_scenarios!G109+Results_energy_scenarios!G117)*G155</f>
        <v>9.4195110160245885E-2</v>
      </c>
      <c r="I155" s="174">
        <f>G155/G169</f>
        <v>3.1461290786880466E-2</v>
      </c>
      <c r="J155" s="219" t="e">
        <f>Results_energy_scenarios!K117</f>
        <v>#REF!</v>
      </c>
      <c r="K155" s="99" t="e">
        <f>Results_energy_scenarios!AA117</f>
        <v>#REF!</v>
      </c>
      <c r="L155" s="159" t="s">
        <v>37</v>
      </c>
    </row>
    <row r="156" spans="1:12">
      <c r="A156" t="s">
        <v>6</v>
      </c>
      <c r="B156" t="s">
        <v>320</v>
      </c>
      <c r="C156" t="s">
        <v>320</v>
      </c>
      <c r="D156" s="116" t="s">
        <v>399</v>
      </c>
      <c r="E156" s="103"/>
      <c r="F156" s="103"/>
      <c r="G156">
        <f>energy_data_per_scenario!L3*1000</f>
        <v>26.123955970000001</v>
      </c>
      <c r="H156">
        <f>Overview!E20/(G147+G156)*G156</f>
        <v>7.5362011483638073E-4</v>
      </c>
      <c r="I156" s="174">
        <f>G156/G169</f>
        <v>3.0565014565617574E-4</v>
      </c>
      <c r="J156" s="219" t="e">
        <f>Results_energy_scenarios!K118</f>
        <v>#REF!</v>
      </c>
      <c r="K156" s="99" t="e">
        <f>Results_energy_scenarios!AA118</f>
        <v>#REF!</v>
      </c>
      <c r="L156" s="159" t="s">
        <v>37</v>
      </c>
    </row>
    <row r="157" spans="1:12">
      <c r="A157" t="s">
        <v>6</v>
      </c>
      <c r="B157" t="s">
        <v>320</v>
      </c>
      <c r="D157" s="115" t="s">
        <v>322</v>
      </c>
      <c r="E157" s="103"/>
      <c r="F157" s="103"/>
      <c r="G157">
        <v>8075</v>
      </c>
      <c r="H157" s="103"/>
      <c r="I157" s="174"/>
      <c r="J157" s="219" t="e">
        <f>Results_energy_scenarios!K119</f>
        <v>#REF!</v>
      </c>
      <c r="K157" s="99" t="e">
        <f>Results_energy_scenarios!AA119</f>
        <v>#REF!</v>
      </c>
      <c r="L157" s="160"/>
    </row>
    <row r="158" spans="1:12">
      <c r="D158" t="s">
        <v>549</v>
      </c>
      <c r="E158" s="103"/>
      <c r="F158" s="103"/>
      <c r="H158" s="103"/>
      <c r="I158" s="174"/>
      <c r="J158" s="219" t="e">
        <f>J125/$G124*$G157</f>
        <v>#REF!</v>
      </c>
      <c r="K158" s="219" t="e">
        <f>K125/$G124*$G157</f>
        <v>#REF!</v>
      </c>
      <c r="L158" s="159" t="s">
        <v>37</v>
      </c>
    </row>
    <row r="159" spans="1:12">
      <c r="D159" t="s">
        <v>550</v>
      </c>
      <c r="E159" s="103"/>
      <c r="F159" s="103"/>
      <c r="H159" s="103"/>
      <c r="I159" s="174"/>
      <c r="J159" s="219" t="e">
        <f>J126/$G124*$G157</f>
        <v>#REF!</v>
      </c>
      <c r="K159" s="219" t="e">
        <f>K126/$G124*$G157</f>
        <v>#REF!</v>
      </c>
      <c r="L159" s="159" t="s">
        <v>334</v>
      </c>
    </row>
    <row r="160" spans="1:12">
      <c r="A160" t="s">
        <v>6</v>
      </c>
      <c r="B160" t="s">
        <v>320</v>
      </c>
      <c r="C160" t="s">
        <v>320</v>
      </c>
      <c r="D160" s="142" t="s">
        <v>394</v>
      </c>
      <c r="E160" s="103"/>
      <c r="F160" s="103"/>
      <c r="G160">
        <f>energy_data_per_scenario!L2*1000</f>
        <v>4280</v>
      </c>
      <c r="H160">
        <f>Overview!E16</f>
        <v>1.381501867391937</v>
      </c>
      <c r="I160" s="174">
        <f>G160/G169</f>
        <v>5.0075977195441275E-2</v>
      </c>
      <c r="J160" s="219" t="e">
        <f>Results_energy_scenarios!K120</f>
        <v>#REF!</v>
      </c>
      <c r="K160" s="99" t="e">
        <f>Results_energy_scenarios!AA120</f>
        <v>#REF!</v>
      </c>
      <c r="L160" s="159" t="s">
        <v>37</v>
      </c>
    </row>
    <row r="161" spans="1:12">
      <c r="A161" t="s">
        <v>6</v>
      </c>
      <c r="B161" t="s">
        <v>320</v>
      </c>
      <c r="C161" t="s">
        <v>320</v>
      </c>
      <c r="D161" s="129" t="s">
        <v>161</v>
      </c>
      <c r="E161" s="103"/>
      <c r="F161" s="103"/>
      <c r="G161">
        <f>energy_data_per_scenario!L9*1000</f>
        <v>30250</v>
      </c>
      <c r="H161">
        <f>Overview!E47</f>
        <v>33.760486338428279</v>
      </c>
      <c r="I161" s="174">
        <f>G161/G169</f>
        <v>0.35392483882292025</v>
      </c>
      <c r="J161" s="219" t="e">
        <f>Results_energy_scenarios!K121</f>
        <v>#REF!</v>
      </c>
      <c r="K161" s="99" t="e">
        <f>Results_energy_scenarios!AA121</f>
        <v>#REF!</v>
      </c>
      <c r="L161" s="159" t="s">
        <v>334</v>
      </c>
    </row>
    <row r="162" spans="1:12">
      <c r="A162" t="s">
        <v>6</v>
      </c>
      <c r="B162" t="s">
        <v>320</v>
      </c>
      <c r="C162" t="s">
        <v>320</v>
      </c>
      <c r="D162" s="130" t="s">
        <v>190</v>
      </c>
      <c r="E162" s="103"/>
      <c r="F162" s="103"/>
      <c r="G162">
        <f>energy_data_per_scenario!L6*1000</f>
        <v>16050</v>
      </c>
      <c r="H162">
        <f>Overview!E55</f>
        <v>8.9763100000000016</v>
      </c>
      <c r="I162" s="174">
        <f>G162/G169</f>
        <v>0.1877849144829048</v>
      </c>
      <c r="J162" s="219" t="e">
        <f>Results_energy_scenarios!K122</f>
        <v>#REF!</v>
      </c>
      <c r="K162" s="99" t="e">
        <f>Results_energy_scenarios!AA122</f>
        <v>#REF!</v>
      </c>
      <c r="L162" s="159" t="s">
        <v>37</v>
      </c>
    </row>
    <row r="163" spans="1:12">
      <c r="A163" t="s">
        <v>6</v>
      </c>
      <c r="B163" t="s">
        <v>320</v>
      </c>
      <c r="C163" t="s">
        <v>320</v>
      </c>
      <c r="D163" s="131" t="s">
        <v>372</v>
      </c>
      <c r="E163" s="103"/>
      <c r="F163" s="103"/>
      <c r="G163">
        <f>energy_data_per_scenario!L7*1000</f>
        <v>15490</v>
      </c>
      <c r="H163">
        <f>Overview!E54</f>
        <v>4.0666798000000002</v>
      </c>
      <c r="I163" s="174">
        <f>G163/G169</f>
        <v>0.18123291746667883</v>
      </c>
      <c r="J163" s="219" t="e">
        <f>Results_energy_scenarios!K123</f>
        <v>#REF!</v>
      </c>
      <c r="K163" s="99" t="e">
        <f>Results_energy_scenarios!AA123</f>
        <v>#REF!</v>
      </c>
      <c r="L163" s="159" t="s">
        <v>37</v>
      </c>
    </row>
    <row r="164" spans="1:12">
      <c r="A164" t="s">
        <v>6</v>
      </c>
      <c r="B164" t="s">
        <v>320</v>
      </c>
      <c r="C164" t="s">
        <v>320</v>
      </c>
      <c r="D164" s="132" t="s">
        <v>310</v>
      </c>
      <c r="E164" s="103"/>
      <c r="F164" s="103"/>
      <c r="G164">
        <f>energy_data_per_scenario!L11*1000</f>
        <v>8039.9999999999991</v>
      </c>
      <c r="H164">
        <f>Overview!E50</f>
        <v>4.4454793358204716</v>
      </c>
      <c r="I164" s="174">
        <f>G164/G169</f>
        <v>9.4067957161529867E-2</v>
      </c>
      <c r="J164" s="219" t="e">
        <f>Results_energy_scenarios!K124</f>
        <v>#REF!</v>
      </c>
      <c r="K164" s="99" t="e">
        <f>Results_energy_scenarios!AA124</f>
        <v>#REF!</v>
      </c>
      <c r="L164" s="159" t="s">
        <v>334</v>
      </c>
    </row>
    <row r="165" spans="1:12">
      <c r="A165" t="s">
        <v>6</v>
      </c>
      <c r="B165" t="s">
        <v>320</v>
      </c>
      <c r="C165" t="s">
        <v>320</v>
      </c>
      <c r="D165" s="133" t="s">
        <v>380</v>
      </c>
      <c r="E165" s="109"/>
      <c r="F165" s="109"/>
      <c r="G165">
        <f>Overview!I36</f>
        <v>1585</v>
      </c>
      <c r="H165" s="103"/>
      <c r="I165" s="174">
        <f>G165/G169</f>
        <v>1.8544491554853836E-2</v>
      </c>
      <c r="J165" s="219" t="e">
        <f>Results_energy_scenarios!K125</f>
        <v>#REF!</v>
      </c>
      <c r="K165" s="99" t="e">
        <f>Results_energy_scenarios!AA125</f>
        <v>#REF!</v>
      </c>
      <c r="L165" s="159" t="s">
        <v>334</v>
      </c>
    </row>
    <row r="166" spans="1:12">
      <c r="A166" t="s">
        <v>6</v>
      </c>
      <c r="B166" t="s">
        <v>320</v>
      </c>
      <c r="C166" t="s">
        <v>320</v>
      </c>
      <c r="D166" s="114" t="s">
        <v>398</v>
      </c>
      <c r="E166" s="109"/>
      <c r="F166" s="109"/>
      <c r="G166">
        <f>energy_data_per_scenario!L13*1000</f>
        <v>7060</v>
      </c>
      <c r="H166">
        <f>Overview!E53</f>
        <v>4.127756342859036</v>
      </c>
      <c r="I166" s="174">
        <f>G166/G169</f>
        <v>8.2601962383134442E-2</v>
      </c>
      <c r="J166" s="219" t="e">
        <f>Results_energy_scenarios!K126</f>
        <v>#REF!</v>
      </c>
      <c r="K166" s="99" t="e">
        <f>Results_energy_scenarios!AA126</f>
        <v>#REF!</v>
      </c>
      <c r="L166" s="159" t="s">
        <v>334</v>
      </c>
    </row>
    <row r="167" spans="1:12">
      <c r="D167" t="s">
        <v>547</v>
      </c>
      <c r="E167" s="109"/>
      <c r="F167" s="109"/>
      <c r="I167" s="174"/>
      <c r="J167" s="219" t="e">
        <f>SUMIF(L154:L166,L167,J154:J166)</f>
        <v>#REF!</v>
      </c>
      <c r="K167" s="219" t="e">
        <f>SUMIF(L154:L166,L167,K154:K166)</f>
        <v>#REF!</v>
      </c>
      <c r="L167" s="159" t="s">
        <v>37</v>
      </c>
    </row>
    <row r="168" spans="1:12">
      <c r="D168" t="s">
        <v>548</v>
      </c>
      <c r="E168" s="109"/>
      <c r="F168" s="109"/>
      <c r="I168" s="174"/>
      <c r="J168" s="219" t="e">
        <f>SUMIF(L154:L166,L168,J154:J166)</f>
        <v>#REF!</v>
      </c>
      <c r="K168" s="99" t="e">
        <f>SUMIF(L154:L166,L168,K154:K166)</f>
        <v>#REF!</v>
      </c>
      <c r="L168" s="159" t="s">
        <v>334</v>
      </c>
    </row>
    <row r="169" spans="1:12">
      <c r="A169" s="90" t="s">
        <v>6</v>
      </c>
      <c r="B169" s="90" t="s">
        <v>320</v>
      </c>
      <c r="C169" s="90" t="s">
        <v>337</v>
      </c>
      <c r="D169" s="90"/>
      <c r="E169" s="109"/>
      <c r="F169" s="109"/>
      <c r="G169" s="147">
        <f>SUM(G155:G156,G160:G166)</f>
        <v>85470.124393091915</v>
      </c>
      <c r="H169" s="109"/>
      <c r="I169" s="175">
        <f>SUM(I155:I166)</f>
        <v>0.99999999999999989</v>
      </c>
      <c r="J169" s="221" t="e">
        <f>Results_energy_scenarios!K127</f>
        <v>#REF!</v>
      </c>
      <c r="K169" s="125" t="e">
        <f>Results_energy_scenarios!AA127</f>
        <v>#REF!</v>
      </c>
      <c r="L169" s="160"/>
    </row>
    <row r="170" spans="1:12">
      <c r="A170" s="104" t="s">
        <v>6</v>
      </c>
      <c r="B170" s="104" t="s">
        <v>320</v>
      </c>
      <c r="C170" s="104" t="s">
        <v>384</v>
      </c>
      <c r="D170" s="104"/>
      <c r="E170" s="105"/>
      <c r="F170" s="105"/>
      <c r="G170" s="104">
        <v>1</v>
      </c>
      <c r="H170" s="105"/>
      <c r="I170" s="167"/>
      <c r="J170" s="225" t="e">
        <f>Results_energy_scenarios!K128</f>
        <v>#REF!</v>
      </c>
      <c r="K170" s="144" t="e">
        <f>Results_energy_scenarios!AA128</f>
        <v>#REF!</v>
      </c>
      <c r="L170" s="160"/>
    </row>
    <row r="171" spans="1:12">
      <c r="A171" t="s">
        <v>6</v>
      </c>
      <c r="B171" t="s">
        <v>376</v>
      </c>
      <c r="C171" t="s">
        <v>328</v>
      </c>
      <c r="D171" s="140" t="s">
        <v>377</v>
      </c>
      <c r="E171">
        <f>energy_data_per_scenario!L24*1000</f>
        <v>74790</v>
      </c>
      <c r="F171" s="103"/>
      <c r="G171" s="103"/>
      <c r="H171" s="103"/>
      <c r="I171" s="174">
        <f>E171/E186</f>
        <v>0.95896823623849814</v>
      </c>
      <c r="J171" s="219" t="e">
        <f>Results_energy_scenarios!K129</f>
        <v>#REF!</v>
      </c>
      <c r="K171" s="99" t="e">
        <f>Results_energy_scenarios!AA129</f>
        <v>#REF!</v>
      </c>
      <c r="L171" s="159" t="s">
        <v>334</v>
      </c>
    </row>
    <row r="172" spans="1:12">
      <c r="A172" t="s">
        <v>6</v>
      </c>
      <c r="B172" t="s">
        <v>376</v>
      </c>
      <c r="C172" t="s">
        <v>328</v>
      </c>
      <c r="D172" s="114" t="s">
        <v>389</v>
      </c>
      <c r="E172" s="103"/>
      <c r="F172" s="103"/>
      <c r="G172">
        <v>12774</v>
      </c>
      <c r="H172" s="103"/>
      <c r="I172" s="174"/>
      <c r="J172" s="219" t="e">
        <f>Results_energy_scenarios!K130</f>
        <v>#REF!</v>
      </c>
      <c r="K172" s="99" t="e">
        <f>Results_energy_scenarios!AA130</f>
        <v>#REF!</v>
      </c>
      <c r="L172" s="160"/>
    </row>
    <row r="173" spans="1:12">
      <c r="D173" t="s">
        <v>547</v>
      </c>
      <c r="E173" s="103"/>
      <c r="F173" s="103"/>
      <c r="H173" s="103"/>
      <c r="I173" s="174"/>
      <c r="J173" s="219" t="e">
        <f>J167/$G169*($G172)</f>
        <v>#REF!</v>
      </c>
      <c r="K173" s="219" t="e">
        <f>K167/$G169*($G172)</f>
        <v>#REF!</v>
      </c>
      <c r="L173" s="159" t="s">
        <v>37</v>
      </c>
    </row>
    <row r="174" spans="1:12">
      <c r="D174" t="s">
        <v>548</v>
      </c>
      <c r="E174" s="103"/>
      <c r="F174" s="103"/>
      <c r="H174" s="103"/>
      <c r="I174" s="174"/>
      <c r="J174" s="219" t="e">
        <f>J168/$G169*($G172)</f>
        <v>#REF!</v>
      </c>
      <c r="K174" s="219" t="e">
        <f>K168/$G169*($G172)</f>
        <v>#REF!</v>
      </c>
      <c r="L174" s="159" t="s">
        <v>334</v>
      </c>
    </row>
    <row r="175" spans="1:12">
      <c r="A175" t="s">
        <v>6</v>
      </c>
      <c r="B175" t="s">
        <v>376</v>
      </c>
      <c r="C175" t="s">
        <v>328</v>
      </c>
      <c r="D175" s="140" t="s">
        <v>415</v>
      </c>
      <c r="E175">
        <f>Overview!I43</f>
        <v>3.1692762170420899E-2</v>
      </c>
      <c r="F175" s="103"/>
      <c r="G175" s="103"/>
      <c r="H175" s="103"/>
      <c r="I175" s="174">
        <f>E175/E186</f>
        <v>4.0636919695273064E-7</v>
      </c>
      <c r="J175" s="219" t="e">
        <f>Results_energy_scenarios!K131</f>
        <v>#REF!</v>
      </c>
      <c r="K175" s="99" t="e">
        <f>Results_energy_scenarios!AA131</f>
        <v>#REF!</v>
      </c>
      <c r="L175" s="159" t="s">
        <v>334</v>
      </c>
    </row>
    <row r="176" spans="1:12">
      <c r="A176" t="s">
        <v>6</v>
      </c>
      <c r="B176" t="s">
        <v>376</v>
      </c>
      <c r="C176" t="s">
        <v>328</v>
      </c>
      <c r="D176" s="140" t="s">
        <v>417</v>
      </c>
      <c r="E176" s="103"/>
      <c r="F176" s="103"/>
      <c r="G176">
        <f>-Overview!I30</f>
        <v>8.2467924590416582E-3</v>
      </c>
      <c r="H176" s="103"/>
      <c r="I176" s="174"/>
      <c r="J176" s="219" t="e">
        <f>Results_energy_scenarios!K132</f>
        <v>#REF!</v>
      </c>
      <c r="K176" s="99" t="e">
        <f>Results_energy_scenarios!AA132</f>
        <v>#REF!</v>
      </c>
      <c r="L176" s="159" t="s">
        <v>334</v>
      </c>
    </row>
    <row r="177" spans="1:12">
      <c r="A177" t="s">
        <v>6</v>
      </c>
      <c r="B177" t="s">
        <v>376</v>
      </c>
      <c r="C177" t="s">
        <v>328</v>
      </c>
      <c r="D177" s="140" t="s">
        <v>449</v>
      </c>
      <c r="E177" s="103"/>
      <c r="F177" s="103"/>
      <c r="G177">
        <f>Overview!I39</f>
        <v>1.658698082699581E-2</v>
      </c>
      <c r="H177" s="103"/>
      <c r="I177" s="174"/>
      <c r="J177" s="219" t="e">
        <f>Results_energy_scenarios!K133</f>
        <v>#REF!</v>
      </c>
      <c r="K177" s="99" t="e">
        <f>Results_energy_scenarios!AA133</f>
        <v>#REF!</v>
      </c>
      <c r="L177" s="159" t="s">
        <v>334</v>
      </c>
    </row>
    <row r="178" spans="1:12">
      <c r="A178" t="s">
        <v>6</v>
      </c>
      <c r="B178" t="s">
        <v>376</v>
      </c>
      <c r="C178" t="s">
        <v>328</v>
      </c>
      <c r="D178" s="140" t="s">
        <v>416</v>
      </c>
      <c r="E178">
        <f>Overview!I44</f>
        <v>2.1608223735463641E-2</v>
      </c>
      <c r="F178" s="103"/>
      <c r="G178" s="103"/>
      <c r="H178" s="103"/>
      <c r="I178" s="174">
        <f>E178/E186</f>
        <v>2.7706378130558119E-7</v>
      </c>
      <c r="J178" s="219" t="e">
        <f>Results_energy_scenarios!K134</f>
        <v>#REF!</v>
      </c>
      <c r="K178" s="99" t="e">
        <f>Results_energy_scenarios!AA134</f>
        <v>#REF!</v>
      </c>
      <c r="L178" s="159" t="s">
        <v>37</v>
      </c>
    </row>
    <row r="179" spans="1:12">
      <c r="A179" t="s">
        <v>6</v>
      </c>
      <c r="B179" t="s">
        <v>376</v>
      </c>
      <c r="C179" t="s">
        <v>328</v>
      </c>
      <c r="D179" s="140" t="s">
        <v>418</v>
      </c>
      <c r="E179" s="103"/>
      <c r="F179" s="103"/>
      <c r="G179">
        <f>Overview!I8</f>
        <v>1.001444935168532E-2</v>
      </c>
      <c r="H179" s="103"/>
      <c r="I179" s="174"/>
      <c r="J179" s="219" t="e">
        <f>Results_energy_scenarios!K135</f>
        <v>#REF!</v>
      </c>
      <c r="K179" s="99" t="e">
        <f>Results_energy_scenarios!AA135</f>
        <v>#REF!</v>
      </c>
      <c r="L179" s="159" t="s">
        <v>37</v>
      </c>
    </row>
    <row r="180" spans="1:12">
      <c r="A180" t="s">
        <v>6</v>
      </c>
      <c r="B180" t="s">
        <v>376</v>
      </c>
      <c r="C180" t="s">
        <v>327</v>
      </c>
      <c r="D180" s="140" t="s">
        <v>377</v>
      </c>
      <c r="E180">
        <f>energy_data_per_scenario!L15*1000</f>
        <v>3200</v>
      </c>
      <c r="F180" s="103"/>
      <c r="G180" s="103"/>
      <c r="H180" s="103"/>
      <c r="I180" s="174">
        <f>E180/E186</f>
        <v>4.1030864500109558E-2</v>
      </c>
      <c r="J180" s="219" t="e">
        <f>Results_energy_scenarios!K136</f>
        <v>#REF!</v>
      </c>
      <c r="K180" s="99" t="e">
        <f>Results_energy_scenarios!AA136</f>
        <v>#REF!</v>
      </c>
      <c r="L180" s="159" t="s">
        <v>37</v>
      </c>
    </row>
    <row r="181" spans="1:12">
      <c r="A181" t="s">
        <v>6</v>
      </c>
      <c r="B181" t="s">
        <v>376</v>
      </c>
      <c r="C181" t="s">
        <v>327</v>
      </c>
      <c r="D181" s="114" t="s">
        <v>390</v>
      </c>
      <c r="E181" s="103"/>
      <c r="F181" s="103"/>
      <c r="G181">
        <v>3201</v>
      </c>
      <c r="H181" s="103"/>
      <c r="I181" s="174"/>
      <c r="J181" s="219" t="e">
        <f>Results_energy_scenarios!K137</f>
        <v>#REF!</v>
      </c>
      <c r="K181" s="99" t="e">
        <f>Results_energy_scenarios!AA137</f>
        <v>#REF!</v>
      </c>
      <c r="L181" s="160"/>
    </row>
    <row r="182" spans="1:12">
      <c r="D182" t="s">
        <v>547</v>
      </c>
      <c r="E182" s="103"/>
      <c r="F182" s="103"/>
      <c r="H182" s="103"/>
      <c r="I182" s="174"/>
      <c r="J182" s="219" t="e">
        <f>J167/$G169*($G181)</f>
        <v>#REF!</v>
      </c>
      <c r="K182" s="219" t="e">
        <f>K167/$G169*($G181)</f>
        <v>#REF!</v>
      </c>
      <c r="L182" s="159" t="s">
        <v>37</v>
      </c>
    </row>
    <row r="183" spans="1:12">
      <c r="D183" t="s">
        <v>548</v>
      </c>
      <c r="E183" s="103"/>
      <c r="F183" s="103"/>
      <c r="H183" s="103"/>
      <c r="I183" s="174"/>
      <c r="J183" s="219" t="e">
        <f>J168/$G169*($G181)</f>
        <v>#REF!</v>
      </c>
      <c r="K183" s="219" t="e">
        <f>K168/$G169*($G181)</f>
        <v>#REF!</v>
      </c>
      <c r="L183" s="159" t="s">
        <v>334</v>
      </c>
    </row>
    <row r="184" spans="1:12">
      <c r="A184" t="s">
        <v>6</v>
      </c>
      <c r="B184" t="s">
        <v>376</v>
      </c>
      <c r="C184" t="s">
        <v>327</v>
      </c>
      <c r="D184" s="140" t="s">
        <v>415</v>
      </c>
      <c r="E184">
        <f>Overview!I33</f>
        <v>1.6832473153690321E-2</v>
      </c>
      <c r="F184" s="103"/>
      <c r="G184" s="103"/>
      <c r="H184" s="103"/>
      <c r="I184" s="174">
        <f>E184/E186</f>
        <v>2.1582841411587481E-7</v>
      </c>
      <c r="J184" s="219" t="e">
        <f>Results_energy_scenarios!K138</f>
        <v>#REF!</v>
      </c>
      <c r="K184" s="99" t="e">
        <f>Results_energy_scenarios!AA138</f>
        <v>#REF!</v>
      </c>
      <c r="L184" s="159" t="s">
        <v>37</v>
      </c>
    </row>
    <row r="185" spans="1:12">
      <c r="A185" t="s">
        <v>6</v>
      </c>
      <c r="B185" t="s">
        <v>376</v>
      </c>
      <c r="C185" t="s">
        <v>327</v>
      </c>
      <c r="D185" s="140" t="s">
        <v>417</v>
      </c>
      <c r="E185" s="103"/>
      <c r="F185" s="103"/>
      <c r="G185">
        <f>-Overview!I31</f>
        <v>2.0570676252943801E-2</v>
      </c>
      <c r="H185" s="103"/>
      <c r="I185" s="174"/>
      <c r="J185" s="219" t="e">
        <f>Results_energy_scenarios!K139</f>
        <v>#REF!</v>
      </c>
      <c r="K185" s="99" t="e">
        <f>Results_energy_scenarios!AA139</f>
        <v>#REF!</v>
      </c>
      <c r="L185" s="159" t="s">
        <v>334</v>
      </c>
    </row>
    <row r="186" spans="1:12">
      <c r="A186" s="90" t="s">
        <v>6</v>
      </c>
      <c r="B186" s="90" t="s">
        <v>376</v>
      </c>
      <c r="C186" s="90" t="s">
        <v>337</v>
      </c>
      <c r="D186" s="90"/>
      <c r="E186" s="90">
        <f>SUM(E171:E184)</f>
        <v>77990.070133459056</v>
      </c>
      <c r="F186" s="109"/>
      <c r="G186" s="109"/>
      <c r="H186" s="109"/>
      <c r="I186" s="175">
        <f>SUM(I171:I185)</f>
        <v>1</v>
      </c>
      <c r="J186" s="221" t="e">
        <f>Results_energy_scenarios!K140</f>
        <v>#REF!</v>
      </c>
      <c r="K186" s="125" t="e">
        <f>Results_energy_scenarios!AA140</f>
        <v>#REF!</v>
      </c>
      <c r="L186" s="160"/>
    </row>
    <row r="187" spans="1:12" ht="15" thickBot="1">
      <c r="A187" s="134" t="s">
        <v>6</v>
      </c>
      <c r="B187" s="134" t="s">
        <v>376</v>
      </c>
      <c r="C187" s="134" t="s">
        <v>391</v>
      </c>
      <c r="D187" s="134"/>
      <c r="E187" s="134">
        <v>1</v>
      </c>
      <c r="F187" s="135"/>
      <c r="G187" s="135"/>
      <c r="H187" s="135"/>
      <c r="I187" s="168"/>
      <c r="J187" s="224" t="e">
        <f>Results_energy_scenarios!K141</f>
        <v>#REF!</v>
      </c>
      <c r="K187" s="137" t="e">
        <f>Results_energy_scenarios!AA141</f>
        <v>#REF!</v>
      </c>
      <c r="L187" s="160"/>
    </row>
    <row r="188" spans="1:12">
      <c r="A188" t="s">
        <v>520</v>
      </c>
      <c r="D188" s="115" t="s">
        <v>322</v>
      </c>
      <c r="E188" s="103"/>
      <c r="F188" s="103"/>
      <c r="G188">
        <v>29518</v>
      </c>
      <c r="H188" s="103"/>
      <c r="I188" s="174"/>
      <c r="J188" s="223" t="e">
        <f>Results_energy_scenarios!K142</f>
        <v>#REF!</v>
      </c>
      <c r="K188" s="148" t="e">
        <f>Results_energy_scenarios!AA142</f>
        <v>#REF!</v>
      </c>
      <c r="L188" s="160"/>
    </row>
    <row r="189" spans="1:12">
      <c r="D189" t="s">
        <v>545</v>
      </c>
      <c r="E189" s="103"/>
      <c r="F189" s="103"/>
      <c r="H189" s="103"/>
      <c r="I189" s="174"/>
      <c r="J189" s="223" t="e">
        <f>SUMIF(L193:L202,L189,J193:J202)</f>
        <v>#REF!</v>
      </c>
      <c r="K189" s="148" t="e">
        <f>SUMIF(L193:L202,L189,K193:K202)</f>
        <v>#REF!</v>
      </c>
      <c r="L189" s="159" t="s">
        <v>37</v>
      </c>
    </row>
    <row r="190" spans="1:12">
      <c r="D190" t="s">
        <v>546</v>
      </c>
      <c r="E190" s="103"/>
      <c r="F190" s="103"/>
      <c r="H190" s="103"/>
      <c r="I190" s="174"/>
      <c r="J190" s="223" t="e">
        <f>SUMIF(L193:L202,L190,J193:J202)</f>
        <v>#REF!</v>
      </c>
      <c r="K190" s="148" t="e">
        <f>SUMIF(L193:L202,L190,K193:K202)</f>
        <v>#REF!</v>
      </c>
      <c r="L190" s="159" t="s">
        <v>334</v>
      </c>
    </row>
    <row r="191" spans="1:12">
      <c r="A191" t="s">
        <v>520</v>
      </c>
      <c r="D191" s="115" t="s">
        <v>406</v>
      </c>
      <c r="E191" s="103"/>
      <c r="F191" s="103"/>
      <c r="G191">
        <v>29518</v>
      </c>
      <c r="H191" s="103"/>
      <c r="I191" s="205"/>
      <c r="J191" s="223" t="e">
        <f>Results_energy_scenarios!K143</f>
        <v>#REF!</v>
      </c>
      <c r="K191" s="148" t="e">
        <f>Results_energy_scenarios!AA143</f>
        <v>#REF!</v>
      </c>
      <c r="L191" s="160"/>
    </row>
    <row r="192" spans="1:12">
      <c r="A192" t="s">
        <v>520</v>
      </c>
      <c r="D192" s="114" t="s">
        <v>528</v>
      </c>
      <c r="E192" s="103"/>
      <c r="F192" s="103"/>
      <c r="G192">
        <f>G209/G203*G198+G195+G197</f>
        <v>15370.951825128261</v>
      </c>
      <c r="H192" s="103"/>
      <c r="I192" s="205"/>
      <c r="J192" s="223" t="e">
        <f>Results_energy_scenarios!K144</f>
        <v>#REF!</v>
      </c>
      <c r="K192" s="148" t="e">
        <f>Results_energy_scenarios!AA144</f>
        <v>#REF!</v>
      </c>
      <c r="L192" s="160"/>
    </row>
    <row r="193" spans="1:12">
      <c r="A193" t="s">
        <v>520</v>
      </c>
      <c r="D193" s="115" t="s">
        <v>395</v>
      </c>
      <c r="E193" s="103"/>
      <c r="F193" s="103"/>
      <c r="G193">
        <f>Overview!J40</f>
        <v>7598.0081874911839</v>
      </c>
      <c r="H193" s="103"/>
      <c r="I193" s="205"/>
      <c r="J193" s="223" t="e">
        <f>Results_energy_scenarios!K145</f>
        <v>#REF!</v>
      </c>
      <c r="K193" s="148" t="e">
        <f>Results_energy_scenarios!AA145</f>
        <v>#REF!</v>
      </c>
      <c r="L193" s="159" t="s">
        <v>334</v>
      </c>
    </row>
    <row r="194" spans="1:12">
      <c r="A194" t="s">
        <v>520</v>
      </c>
      <c r="D194" s="117" t="s">
        <v>81</v>
      </c>
      <c r="E194" s="103"/>
      <c r="F194">
        <f>Overview!J23</f>
        <v>2425150.6634538602</v>
      </c>
      <c r="G194" s="103"/>
      <c r="H194" s="103"/>
      <c r="I194" s="205"/>
      <c r="J194" s="223" t="e">
        <f>Results_energy_scenarios!K146</f>
        <v>#REF!</v>
      </c>
      <c r="K194" s="148" t="e">
        <f>Results_energy_scenarios!AA146</f>
        <v>#REF!</v>
      </c>
      <c r="L194" s="159" t="s">
        <v>37</v>
      </c>
    </row>
    <row r="195" spans="1:12">
      <c r="A195" t="s">
        <v>520</v>
      </c>
      <c r="D195" s="114" t="s">
        <v>385</v>
      </c>
      <c r="E195" s="103"/>
      <c r="F195" s="103"/>
      <c r="G195">
        <v>1213</v>
      </c>
      <c r="H195" s="103"/>
      <c r="I195" s="205"/>
      <c r="J195" s="223" t="e">
        <f>Results_energy_scenarios!K147</f>
        <v>#REF!</v>
      </c>
      <c r="K195" s="148" t="e">
        <f>Results_energy_scenarios!AA147</f>
        <v>#REF!</v>
      </c>
      <c r="L195" s="160"/>
    </row>
    <row r="196" spans="1:12">
      <c r="A196" t="s">
        <v>520</v>
      </c>
      <c r="D196" s="112" t="s">
        <v>358</v>
      </c>
      <c r="E196" s="103"/>
      <c r="F196" s="103"/>
      <c r="G196">
        <v>3637</v>
      </c>
      <c r="H196">
        <f>Overview!F35/(Results_energy_scenarios!G148+Results_energy_scenarios!G162+Results_energy_scenarios!G172)*Results_energy_scenarios!G148</f>
        <v>0.51026700462484276</v>
      </c>
      <c r="I196" s="205"/>
      <c r="J196" s="223" t="e">
        <f>Results_energy_scenarios!K148</f>
        <v>#REF!</v>
      </c>
      <c r="K196" s="148" t="e">
        <f>Results_energy_scenarios!AA148</f>
        <v>#REF!</v>
      </c>
      <c r="L196" s="159" t="s">
        <v>37</v>
      </c>
    </row>
    <row r="197" spans="1:12">
      <c r="A197" t="s">
        <v>520</v>
      </c>
      <c r="D197" s="114" t="s">
        <v>378</v>
      </c>
      <c r="E197" s="103"/>
      <c r="F197" s="103"/>
      <c r="G197">
        <f>2243/(G228+G218+G196)*G196</f>
        <v>853.5039757271395</v>
      </c>
      <c r="H197" s="103"/>
      <c r="I197" s="205"/>
      <c r="J197" s="223" t="e">
        <f>Results_energy_scenarios!K149</f>
        <v>#REF!</v>
      </c>
      <c r="K197" s="148" t="e">
        <f>Results_energy_scenarios!AA149</f>
        <v>#REF!</v>
      </c>
      <c r="L197" s="160"/>
    </row>
    <row r="198" spans="1:12">
      <c r="A198" t="s">
        <v>520</v>
      </c>
      <c r="D198" s="117" t="s">
        <v>523</v>
      </c>
      <c r="E198" s="103"/>
      <c r="F198" s="103"/>
      <c r="G198">
        <v>18116</v>
      </c>
      <c r="H198" s="103"/>
      <c r="J198" s="159" t="e">
        <f>Results_energy_scenarios!K150</f>
        <v>#REF!</v>
      </c>
      <c r="K198" t="e">
        <f>Results_energy_scenarios!AA150</f>
        <v>#REF!</v>
      </c>
      <c r="L198" s="160"/>
    </row>
    <row r="199" spans="1:12">
      <c r="D199" t="s">
        <v>551</v>
      </c>
      <c r="E199" s="103"/>
      <c r="F199" s="103"/>
      <c r="H199" s="103"/>
      <c r="I199" s="230"/>
      <c r="J199" s="231" t="e">
        <f>J204/$G203*$G198</f>
        <v>#REF!</v>
      </c>
      <c r="K199" s="231" t="e">
        <f>K204/$G203*$G198</f>
        <v>#REF!</v>
      </c>
      <c r="L199" s="159" t="s">
        <v>37</v>
      </c>
    </row>
    <row r="200" spans="1:12">
      <c r="D200" t="s">
        <v>552</v>
      </c>
      <c r="E200" s="103"/>
      <c r="F200" s="103"/>
      <c r="H200" s="103"/>
      <c r="J200" s="231" t="e">
        <f>J205/$G203*$G198</f>
        <v>#REF!</v>
      </c>
      <c r="K200" s="231" t="e">
        <f>K205/$G203*$G198</f>
        <v>#REF!</v>
      </c>
      <c r="L200" s="159" t="s">
        <v>334</v>
      </c>
    </row>
    <row r="201" spans="1:12">
      <c r="D201" t="s">
        <v>547</v>
      </c>
      <c r="E201" s="103"/>
      <c r="F201" s="103"/>
      <c r="H201" s="103"/>
      <c r="I201" s="230"/>
      <c r="J201" s="231" t="e">
        <f>J244/$G246*($G195+$G198)</f>
        <v>#REF!</v>
      </c>
      <c r="K201" s="231" t="e">
        <f>K244/$G246*($G195+$G198)</f>
        <v>#REF!</v>
      </c>
      <c r="L201" s="159" t="s">
        <v>37</v>
      </c>
    </row>
    <row r="202" spans="1:12">
      <c r="D202" s="151" t="s">
        <v>548</v>
      </c>
      <c r="E202" s="103"/>
      <c r="F202" s="103"/>
      <c r="H202" s="103"/>
      <c r="I202" s="167"/>
      <c r="J202" s="231" t="e">
        <f>J245/$G246*($G195+$G197)</f>
        <v>#REF!</v>
      </c>
      <c r="K202" s="231" t="e">
        <f>K245/$G246*($G195+$G197)</f>
        <v>#REF!</v>
      </c>
      <c r="L202" s="159" t="s">
        <v>334</v>
      </c>
    </row>
    <row r="203" spans="1:12">
      <c r="A203" s="203" t="s">
        <v>520</v>
      </c>
      <c r="B203" s="203"/>
      <c r="C203" s="203"/>
      <c r="D203" s="211" t="s">
        <v>523</v>
      </c>
      <c r="E203" s="209"/>
      <c r="F203" s="209"/>
      <c r="G203" s="203">
        <f>SUM(G207:G208)</f>
        <v>23481.652417019519</v>
      </c>
      <c r="H203" s="209"/>
      <c r="I203" s="174"/>
      <c r="J203" s="227" t="e">
        <f>Results_energy_scenarios!K151</f>
        <v>#REF!</v>
      </c>
      <c r="K203" s="204" t="e">
        <f>Results_energy_scenarios!AA151</f>
        <v>#REF!</v>
      </c>
      <c r="L203" s="160"/>
    </row>
    <row r="204" spans="1:12">
      <c r="D204" t="s">
        <v>551</v>
      </c>
      <c r="E204" s="103"/>
      <c r="F204" s="103"/>
      <c r="H204" s="103"/>
      <c r="I204" s="174"/>
      <c r="J204" s="223" t="e">
        <f>SUMIF(L207:L211,L204,J207:J211)</f>
        <v>#REF!</v>
      </c>
      <c r="K204" s="148" t="e">
        <f>SUMIF(L207:L211,L204,K207:K211)</f>
        <v>#REF!</v>
      </c>
      <c r="L204" s="159" t="s">
        <v>37</v>
      </c>
    </row>
    <row r="205" spans="1:12">
      <c r="D205" t="s">
        <v>552</v>
      </c>
      <c r="E205" s="103"/>
      <c r="F205" s="103"/>
      <c r="H205" s="103"/>
      <c r="I205" s="174"/>
      <c r="J205" s="223" t="e">
        <f>SUMIF(L207:L211,L205,J207:J211)</f>
        <v>#REF!</v>
      </c>
      <c r="K205" s="148" t="e">
        <f>SUMIF(L207:L211,L205,K207:K211)</f>
        <v>#REF!</v>
      </c>
      <c r="L205" s="159" t="s">
        <v>334</v>
      </c>
    </row>
    <row r="206" spans="1:12">
      <c r="A206" t="s">
        <v>520</v>
      </c>
      <c r="C206" s="157"/>
      <c r="D206" s="117" t="s">
        <v>527</v>
      </c>
      <c r="E206" s="103"/>
      <c r="F206" s="103"/>
      <c r="G206">
        <f>SUM(G207:G208)</f>
        <v>23481.652417019519</v>
      </c>
      <c r="H206" s="103"/>
      <c r="I206" s="205"/>
      <c r="J206" s="223" t="e">
        <f>Results_energy_scenarios!K152</f>
        <v>#REF!</v>
      </c>
      <c r="K206" s="148" t="e">
        <f>Results_energy_scenarios!AA152</f>
        <v>#REF!</v>
      </c>
      <c r="L206" s="160"/>
    </row>
    <row r="207" spans="1:12">
      <c r="A207" t="s">
        <v>520</v>
      </c>
      <c r="C207" s="157"/>
      <c r="D207" s="117" t="s">
        <v>520</v>
      </c>
      <c r="E207" s="103"/>
      <c r="F207" s="103"/>
      <c r="G207">
        <f>Overview!J39</f>
        <v>11111.1186418303</v>
      </c>
      <c r="H207" s="103"/>
      <c r="I207" s="205"/>
      <c r="J207" s="223" t="e">
        <f>Results_energy_scenarios!K153</f>
        <v>#REF!</v>
      </c>
      <c r="K207" s="148" t="e">
        <f>Results_energy_scenarios!AA153</f>
        <v>#REF!</v>
      </c>
      <c r="L207" s="159" t="s">
        <v>334</v>
      </c>
    </row>
    <row r="208" spans="1:12">
      <c r="A208" t="s">
        <v>520</v>
      </c>
      <c r="D208" s="117" t="s">
        <v>338</v>
      </c>
      <c r="E208" s="103"/>
      <c r="F208" s="103"/>
      <c r="G208">
        <f>Overview!J26</f>
        <v>12370.53377518922</v>
      </c>
      <c r="H208">
        <f>Overview!F26</f>
        <v>2.8286482830531909</v>
      </c>
      <c r="I208" s="205"/>
      <c r="J208" s="223" t="e">
        <f>Results_energy_scenarios!K154</f>
        <v>#REF!</v>
      </c>
      <c r="K208" s="148" t="e">
        <f>Results_energy_scenarios!AA154</f>
        <v>#REF!</v>
      </c>
      <c r="L208" s="159" t="s">
        <v>334</v>
      </c>
    </row>
    <row r="209" spans="1:12">
      <c r="A209" t="s">
        <v>520</v>
      </c>
      <c r="D209" s="114" t="s">
        <v>386</v>
      </c>
      <c r="E209" s="103"/>
      <c r="F209" s="103"/>
      <c r="G209">
        <v>17245</v>
      </c>
      <c r="H209" s="103"/>
      <c r="J209" s="223" t="e">
        <f>Results_energy_scenarios!K155</f>
        <v>#REF!</v>
      </c>
      <c r="K209" s="148" t="e">
        <f>Results_energy_scenarios!AA155</f>
        <v>#REF!</v>
      </c>
      <c r="L209" s="160"/>
    </row>
    <row r="210" spans="1:12">
      <c r="D210" t="s">
        <v>547</v>
      </c>
      <c r="E210" s="103"/>
      <c r="F210" s="103"/>
      <c r="H210" s="103"/>
      <c r="I210" s="230"/>
      <c r="J210" s="223" t="e">
        <f>J244/$G246*$G209</f>
        <v>#REF!</v>
      </c>
      <c r="K210" s="223" t="e">
        <f>K244/$G246*$G209</f>
        <v>#REF!</v>
      </c>
      <c r="L210" s="159" t="s">
        <v>37</v>
      </c>
    </row>
    <row r="211" spans="1:12">
      <c r="D211" s="151" t="s">
        <v>548</v>
      </c>
      <c r="E211" s="103"/>
      <c r="F211" s="103"/>
      <c r="H211" s="103"/>
      <c r="I211" s="167"/>
      <c r="J211" s="223" t="e">
        <f>J245/$G246*$G209</f>
        <v>#REF!</v>
      </c>
      <c r="K211" s="223" t="e">
        <f>K245/$G246*$G209</f>
        <v>#REF!</v>
      </c>
      <c r="L211" s="159" t="s">
        <v>334</v>
      </c>
    </row>
    <row r="212" spans="1:12">
      <c r="A212" s="203" t="s">
        <v>520</v>
      </c>
      <c r="B212" s="203" t="s">
        <v>361</v>
      </c>
      <c r="C212" s="203" t="s">
        <v>357</v>
      </c>
      <c r="D212" s="210" t="s">
        <v>322</v>
      </c>
      <c r="E212" s="209"/>
      <c r="F212" s="209"/>
      <c r="G212" s="203">
        <v>18037</v>
      </c>
      <c r="H212" s="209"/>
      <c r="I212" s="174"/>
      <c r="J212" s="227" t="e">
        <f>Results_energy_scenarios!K156</f>
        <v>#REF!</v>
      </c>
      <c r="K212" s="204" t="e">
        <f>Results_energy_scenarios!AA156</f>
        <v>#REF!</v>
      </c>
      <c r="L212" s="160"/>
    </row>
    <row r="213" spans="1:12">
      <c r="A213" t="s">
        <v>520</v>
      </c>
      <c r="B213" t="s">
        <v>361</v>
      </c>
      <c r="C213" t="s">
        <v>357</v>
      </c>
      <c r="D213" s="115" t="s">
        <v>343</v>
      </c>
      <c r="E213" s="103"/>
      <c r="F213" s="103"/>
      <c r="G213">
        <f>Overview!J12</f>
        <v>16232.87756873591</v>
      </c>
      <c r="H213">
        <f>Overview!F12</f>
        <v>4.9007100259151333</v>
      </c>
      <c r="I213" s="205"/>
      <c r="J213" s="223" t="e">
        <f>Results_energy_scenarios!K157</f>
        <v>#REF!</v>
      </c>
      <c r="K213" s="148" t="e">
        <f>Results_energy_scenarios!AA157</f>
        <v>#REF!</v>
      </c>
      <c r="L213" s="159" t="s">
        <v>37</v>
      </c>
    </row>
    <row r="214" spans="1:12">
      <c r="A214" t="s">
        <v>520</v>
      </c>
      <c r="B214" t="s">
        <v>361</v>
      </c>
      <c r="C214" t="s">
        <v>357</v>
      </c>
      <c r="D214" s="115" t="s">
        <v>322</v>
      </c>
      <c r="E214" s="103"/>
      <c r="F214" s="103"/>
      <c r="G214">
        <f>G191-G212-G220</f>
        <v>5330</v>
      </c>
      <c r="H214" s="103"/>
      <c r="I214" s="205"/>
      <c r="J214" s="223" t="e">
        <f>Results_energy_scenarios!K158</f>
        <v>#REF!</v>
      </c>
      <c r="K214" s="148" t="e">
        <f>Results_energy_scenarios!AA158</f>
        <v>#REF!</v>
      </c>
      <c r="L214" s="160"/>
    </row>
    <row r="215" spans="1:12">
      <c r="A215" t="s">
        <v>520</v>
      </c>
      <c r="B215" t="s">
        <v>361</v>
      </c>
      <c r="C215" t="s">
        <v>357</v>
      </c>
      <c r="D215" s="116" t="s">
        <v>348</v>
      </c>
      <c r="E215" s="103"/>
      <c r="F215" s="103"/>
      <c r="G215">
        <f>Overview!J21</f>
        <v>2451.820008733127</v>
      </c>
      <c r="H215">
        <f>Overview!F21</f>
        <v>0.67903385084054668</v>
      </c>
      <c r="I215" s="205"/>
      <c r="J215" s="223" t="e">
        <f>Results_energy_scenarios!K159</f>
        <v>#REF!</v>
      </c>
      <c r="K215" s="148" t="e">
        <f>Results_energy_scenarios!AA159</f>
        <v>#REF!</v>
      </c>
      <c r="L215" s="159" t="s">
        <v>37</v>
      </c>
    </row>
    <row r="216" spans="1:12">
      <c r="A216" t="s">
        <v>520</v>
      </c>
      <c r="B216" t="s">
        <v>361</v>
      </c>
      <c r="C216" t="s">
        <v>357</v>
      </c>
      <c r="D216" s="113" t="s">
        <v>339</v>
      </c>
      <c r="E216" s="103"/>
      <c r="F216" s="103"/>
      <c r="G216">
        <v>41000</v>
      </c>
      <c r="H216" s="103"/>
      <c r="I216" s="205"/>
      <c r="J216" s="223" t="e">
        <f>Results_energy_scenarios!K160</f>
        <v>#REF!</v>
      </c>
      <c r="K216" s="148" t="e">
        <f>Results_energy_scenarios!AA160</f>
        <v>#REF!</v>
      </c>
      <c r="L216" s="159" t="s">
        <v>37</v>
      </c>
    </row>
    <row r="217" spans="1:12">
      <c r="A217" t="s">
        <v>520</v>
      </c>
      <c r="B217" t="s">
        <v>361</v>
      </c>
      <c r="C217" t="s">
        <v>357</v>
      </c>
      <c r="D217" s="113" t="s">
        <v>340</v>
      </c>
      <c r="E217" s="103"/>
      <c r="F217" s="103"/>
      <c r="G217">
        <f>Overview!J10</f>
        <v>34849.91637777986</v>
      </c>
      <c r="H217">
        <f>Overview!F10</f>
        <v>9.7710102305302051</v>
      </c>
      <c r="I217" s="205"/>
      <c r="J217" s="223" t="e">
        <f>Results_energy_scenarios!K161</f>
        <v>#REF!</v>
      </c>
      <c r="K217" s="148" t="e">
        <f>Results_energy_scenarios!AA161</f>
        <v>#REF!</v>
      </c>
      <c r="L217" s="159" t="s">
        <v>37</v>
      </c>
    </row>
    <row r="218" spans="1:12">
      <c r="A218" t="s">
        <v>520</v>
      </c>
      <c r="B218" t="s">
        <v>361</v>
      </c>
      <c r="C218" t="s">
        <v>357</v>
      </c>
      <c r="D218" s="112" t="s">
        <v>358</v>
      </c>
      <c r="E218" s="103"/>
      <c r="F218" s="103"/>
      <c r="G218">
        <f>energy_data_per_scenario!D27*1000</f>
        <v>1630</v>
      </c>
      <c r="H218">
        <f>Overview!F35/(Results_energy_scenarios!G148+Results_energy_scenarios!G162+Results_energy_scenarios!G172)*Results_energy_scenarios!G162</f>
        <v>0.22868716456928617</v>
      </c>
      <c r="I218" s="205"/>
      <c r="J218" s="223" t="e">
        <f>Results_energy_scenarios!K162</f>
        <v>#REF!</v>
      </c>
      <c r="K218" s="148" t="e">
        <f>Results_energy_scenarios!AA162</f>
        <v>#REF!</v>
      </c>
      <c r="L218" s="159" t="s">
        <v>37</v>
      </c>
    </row>
    <row r="219" spans="1:12">
      <c r="A219" t="s">
        <v>520</v>
      </c>
      <c r="B219" t="s">
        <v>361</v>
      </c>
      <c r="C219" t="s">
        <v>357</v>
      </c>
      <c r="D219" s="114" t="s">
        <v>378</v>
      </c>
      <c r="E219" s="103"/>
      <c r="F219" s="103"/>
      <c r="G219">
        <f>2243/(G228+G218+G196)*G218</f>
        <v>382.51621678175349</v>
      </c>
      <c r="H219" s="103"/>
      <c r="I219" s="205"/>
      <c r="J219" s="223" t="e">
        <f>Results_energy_scenarios!K163</f>
        <v>#REF!</v>
      </c>
      <c r="K219" s="148" t="e">
        <f>Results_energy_scenarios!AA163</f>
        <v>#REF!</v>
      </c>
      <c r="L219" s="160"/>
    </row>
    <row r="220" spans="1:12">
      <c r="A220" t="s">
        <v>520</v>
      </c>
      <c r="B220" t="s">
        <v>361</v>
      </c>
      <c r="C220" t="s">
        <v>329</v>
      </c>
      <c r="D220" s="115" t="s">
        <v>322</v>
      </c>
      <c r="E220" s="103"/>
      <c r="F220" s="103"/>
      <c r="G220">
        <v>6151</v>
      </c>
      <c r="H220" s="103"/>
      <c r="I220" s="205"/>
      <c r="J220" s="223" t="e">
        <f>Results_energy_scenarios!K164</f>
        <v>#REF!</v>
      </c>
      <c r="K220" s="148" t="e">
        <f>Results_energy_scenarios!AA164</f>
        <v>#REF!</v>
      </c>
      <c r="L220" s="160"/>
    </row>
    <row r="221" spans="1:12">
      <c r="A221" t="s">
        <v>520</v>
      </c>
      <c r="B221" t="s">
        <v>361</v>
      </c>
      <c r="C221" t="s">
        <v>329</v>
      </c>
      <c r="D221" s="115" t="s">
        <v>343</v>
      </c>
      <c r="E221" s="103"/>
      <c r="F221" s="103"/>
      <c r="G221">
        <f>Overview!J13</f>
        <v>5702.3223926927103</v>
      </c>
      <c r="H221">
        <f>Overview!F13</f>
        <v>0.64921823111594479</v>
      </c>
      <c r="I221" s="205"/>
      <c r="J221" s="223" t="e">
        <f>Results_energy_scenarios!K165</f>
        <v>#REF!</v>
      </c>
      <c r="K221" s="148" t="e">
        <f>Results_energy_scenarios!AA165</f>
        <v>#REF!</v>
      </c>
      <c r="L221" s="159" t="s">
        <v>37</v>
      </c>
    </row>
    <row r="222" spans="1:12">
      <c r="A222" t="s">
        <v>520</v>
      </c>
      <c r="B222" t="s">
        <v>361</v>
      </c>
      <c r="C222" t="s">
        <v>330</v>
      </c>
      <c r="D222" s="116" t="s">
        <v>347</v>
      </c>
      <c r="E222" s="103"/>
      <c r="F222" s="103"/>
      <c r="G222">
        <f>energy_data_per_scenario!D20*1000</f>
        <v>6050</v>
      </c>
      <c r="H222">
        <f>Overview!F22/(G222*G236)*G222</f>
        <v>1.138800565931161E-4</v>
      </c>
      <c r="I222" s="205"/>
      <c r="J222" s="223" t="e">
        <f>Results_energy_scenarios!K166</f>
        <v>#REF!</v>
      </c>
      <c r="K222" s="148" t="e">
        <f>Results_energy_scenarios!AA166</f>
        <v>#REF!</v>
      </c>
      <c r="L222" s="159" t="s">
        <v>37</v>
      </c>
    </row>
    <row r="223" spans="1:12">
      <c r="A223" t="s">
        <v>520</v>
      </c>
      <c r="B223" t="s">
        <v>361</v>
      </c>
      <c r="C223" t="s">
        <v>330</v>
      </c>
      <c r="D223" t="s">
        <v>522</v>
      </c>
      <c r="E223" s="103"/>
      <c r="F223" s="103"/>
      <c r="G223">
        <v>77</v>
      </c>
      <c r="H223">
        <f>Overview!F56</f>
        <v>2.4413634538967759E-2</v>
      </c>
      <c r="I223" s="205"/>
      <c r="J223" s="223" t="e">
        <f>Results_energy_scenarios!K167</f>
        <v>#REF!</v>
      </c>
      <c r="K223" s="148" t="e">
        <f>Results_energy_scenarios!AA167</f>
        <v>#REF!</v>
      </c>
      <c r="L223" s="159" t="s">
        <v>37</v>
      </c>
    </row>
    <row r="224" spans="1:12">
      <c r="A224" t="s">
        <v>520</v>
      </c>
      <c r="B224" t="s">
        <v>361</v>
      </c>
      <c r="C224" t="s">
        <v>330</v>
      </c>
      <c r="D224" s="114" t="s">
        <v>526</v>
      </c>
      <c r="E224" s="103"/>
      <c r="F224" s="103"/>
      <c r="G224">
        <v>99</v>
      </c>
      <c r="H224" s="103"/>
      <c r="I224" s="205"/>
      <c r="J224" s="223" t="e">
        <f>Results_energy_scenarios!K168</f>
        <v>#REF!</v>
      </c>
      <c r="K224" s="148" t="e">
        <f>Results_energy_scenarios!AA168</f>
        <v>#REF!</v>
      </c>
      <c r="L224" s="160"/>
    </row>
    <row r="225" spans="1:12">
      <c r="A225" t="s">
        <v>520</v>
      </c>
      <c r="B225" t="s">
        <v>361</v>
      </c>
      <c r="C225" t="s">
        <v>330</v>
      </c>
      <c r="D225" s="113" t="s">
        <v>339</v>
      </c>
      <c r="E225" s="103"/>
      <c r="F225" s="103"/>
      <c r="G225">
        <f>G238/0.18/(G226+G238)*G226</f>
        <v>3.4486203104139183E-2</v>
      </c>
      <c r="H225" s="103"/>
      <c r="I225" s="205"/>
      <c r="J225" s="223" t="e">
        <f>Results_energy_scenarios!K169</f>
        <v>#REF!</v>
      </c>
      <c r="K225" s="148" t="e">
        <f>Results_energy_scenarios!AA169</f>
        <v>#REF!</v>
      </c>
      <c r="L225" s="159" t="s">
        <v>37</v>
      </c>
    </row>
    <row r="226" spans="1:12">
      <c r="A226" t="s">
        <v>520</v>
      </c>
      <c r="B226" t="s">
        <v>361</v>
      </c>
      <c r="C226" t="s">
        <v>330</v>
      </c>
      <c r="D226" s="116" t="s">
        <v>399</v>
      </c>
      <c r="E226" s="103"/>
      <c r="F226" s="103"/>
      <c r="G226">
        <f>G238*2.94</f>
        <v>2.4457615241455507E-2</v>
      </c>
      <c r="H226">
        <f>Overview!F20/(G238+G226)*G226</f>
        <v>6.3082612874984985E-6</v>
      </c>
      <c r="I226" s="205"/>
      <c r="J226" s="223" t="e">
        <f>Results_energy_scenarios!K170</f>
        <v>#REF!</v>
      </c>
      <c r="K226" s="148" t="e">
        <f>Results_energy_scenarios!AA170</f>
        <v>#REF!</v>
      </c>
      <c r="L226" s="159" t="s">
        <v>37</v>
      </c>
    </row>
    <row r="227" spans="1:12">
      <c r="A227" t="s">
        <v>520</v>
      </c>
      <c r="B227" t="s">
        <v>361</v>
      </c>
      <c r="C227" t="s">
        <v>331</v>
      </c>
      <c r="D227" s="114" t="s">
        <v>378</v>
      </c>
      <c r="E227" s="103"/>
      <c r="F227" s="164"/>
      <c r="G227">
        <f>2243/(G228+G218+G196)*G228</f>
        <v>1006.979807491107</v>
      </c>
      <c r="H227" s="103"/>
      <c r="I227" s="205"/>
      <c r="J227" s="223" t="e">
        <f>Results_energy_scenarios!K171</f>
        <v>#REF!</v>
      </c>
      <c r="K227" s="148" t="e">
        <f>Results_energy_scenarios!AA171</f>
        <v>#REF!</v>
      </c>
      <c r="L227" s="160"/>
    </row>
    <row r="228" spans="1:12">
      <c r="A228" t="s">
        <v>520</v>
      </c>
      <c r="B228" t="s">
        <v>361</v>
      </c>
      <c r="C228" t="s">
        <v>331</v>
      </c>
      <c r="D228" s="112" t="s">
        <v>358</v>
      </c>
      <c r="E228" s="103"/>
      <c r="F228" s="164"/>
      <c r="G228">
        <v>4291</v>
      </c>
      <c r="H228">
        <f>Overview!F35/(Results_energy_scenarios!G148+Results_energy_scenarios!G162+Results_energy_scenarios!G172)*Results_energy_scenarios!G172</f>
        <v>0.60202246820049499</v>
      </c>
      <c r="I228" s="205"/>
      <c r="J228" s="223" t="e">
        <f>Results_energy_scenarios!K172</f>
        <v>#REF!</v>
      </c>
      <c r="K228" s="148" t="e">
        <f>Results_energy_scenarios!AA172</f>
        <v>#REF!</v>
      </c>
      <c r="L228" s="159" t="s">
        <v>37</v>
      </c>
    </row>
    <row r="229" spans="1:12">
      <c r="D229" t="s">
        <v>545</v>
      </c>
      <c r="E229" s="103"/>
      <c r="F229" s="164"/>
      <c r="I229" s="205"/>
      <c r="J229" s="223" t="e">
        <f>J189/$G188*($G212+$G214+$G220)</f>
        <v>#REF!</v>
      </c>
      <c r="K229" s="223" t="e">
        <f>K189/$G188*($G212+$G214+$G220)</f>
        <v>#REF!</v>
      </c>
      <c r="L229" s="159" t="s">
        <v>37</v>
      </c>
    </row>
    <row r="230" spans="1:12">
      <c r="D230" t="s">
        <v>546</v>
      </c>
      <c r="E230" s="103"/>
      <c r="F230" s="164"/>
      <c r="I230" s="205"/>
      <c r="J230" s="223" t="e">
        <f>J190/$G188*($G212+$G214+$G220)</f>
        <v>#REF!</v>
      </c>
      <c r="K230" s="223" t="e">
        <f>K190/$G188*($G212+$G214+$G220)</f>
        <v>#REF!</v>
      </c>
      <c r="L230" s="159" t="s">
        <v>334</v>
      </c>
    </row>
    <row r="231" spans="1:12">
      <c r="D231" t="s">
        <v>547</v>
      </c>
      <c r="E231" s="103"/>
      <c r="F231" s="164"/>
      <c r="I231" s="205"/>
      <c r="J231" s="223" t="e">
        <f>J244/$G246*($G219+$G224+$G227)</f>
        <v>#REF!</v>
      </c>
      <c r="K231" s="223" t="e">
        <f>K244/$G246*($G219+$G224+$G227)</f>
        <v>#REF!</v>
      </c>
      <c r="L231" s="159" t="s">
        <v>37</v>
      </c>
    </row>
    <row r="232" spans="1:12">
      <c r="D232" t="s">
        <v>548</v>
      </c>
      <c r="E232" s="103"/>
      <c r="F232" s="164"/>
      <c r="I232" s="205"/>
      <c r="J232" s="223" t="e">
        <f>J245/$G246*($G219+$G224+$G227)</f>
        <v>#REF!</v>
      </c>
      <c r="K232" s="223" t="e">
        <f>K245/$G246*($G219+$G224+$G227)</f>
        <v>#REF!</v>
      </c>
      <c r="L232" s="159" t="s">
        <v>334</v>
      </c>
    </row>
    <row r="233" spans="1:12">
      <c r="A233" s="90" t="s">
        <v>520</v>
      </c>
      <c r="B233" s="90" t="s">
        <v>361</v>
      </c>
      <c r="C233" s="90" t="s">
        <v>337</v>
      </c>
      <c r="D233" s="90"/>
      <c r="E233" s="90"/>
      <c r="F233" s="212"/>
      <c r="G233" s="90">
        <f>SUM(G213,G215,G217:G218,G221:G222,G228)</f>
        <v>71207.936347941606</v>
      </c>
      <c r="H233" s="90"/>
      <c r="I233" s="175"/>
      <c r="J233" s="221" t="e">
        <f>Results_energy_scenarios!K173</f>
        <v>#REF!</v>
      </c>
      <c r="K233" s="122" t="e">
        <f>Results_energy_scenarios!AA173</f>
        <v>#REF!</v>
      </c>
      <c r="L233" s="160"/>
    </row>
    <row r="234" spans="1:12">
      <c r="A234" s="90" t="s">
        <v>520</v>
      </c>
      <c r="B234" s="90" t="s">
        <v>361</v>
      </c>
      <c r="C234" s="104" t="s">
        <v>384</v>
      </c>
      <c r="D234" s="90"/>
      <c r="E234" s="90"/>
      <c r="F234" s="90"/>
      <c r="G234" s="90">
        <v>1</v>
      </c>
      <c r="H234" s="90"/>
      <c r="I234" s="167"/>
      <c r="J234" s="221" t="e">
        <f>Results_energy_scenarios!K174</f>
        <v>#REF!</v>
      </c>
      <c r="K234" s="122" t="e">
        <f>Results_energy_scenarios!AA174</f>
        <v>#REF!</v>
      </c>
      <c r="L234" s="160"/>
    </row>
    <row r="235" spans="1:12">
      <c r="A235" s="203" t="s">
        <v>520</v>
      </c>
      <c r="B235" s="203" t="s">
        <v>320</v>
      </c>
      <c r="C235" s="203" t="s">
        <v>320</v>
      </c>
      <c r="D235" s="203" t="s">
        <v>442</v>
      </c>
      <c r="E235" s="209"/>
      <c r="F235" s="209"/>
      <c r="G235" s="203">
        <f>Overview!F4</f>
        <v>2.1582062169887199E-4</v>
      </c>
      <c r="H235" s="209"/>
      <c r="I235" s="174"/>
      <c r="J235" s="227" t="e">
        <f>Results_energy_scenarios!K175</f>
        <v>#REF!</v>
      </c>
      <c r="K235" s="204" t="e">
        <f>Results_energy_scenarios!AA175</f>
        <v>#REF!</v>
      </c>
      <c r="L235" s="159" t="s">
        <v>334</v>
      </c>
    </row>
    <row r="236" spans="1:12">
      <c r="A236" t="s">
        <v>520</v>
      </c>
      <c r="B236" t="s">
        <v>320</v>
      </c>
      <c r="C236" t="s">
        <v>320</v>
      </c>
      <c r="D236" s="116" t="s">
        <v>347</v>
      </c>
      <c r="E236" s="103"/>
      <c r="F236" s="103"/>
      <c r="G236">
        <f>Overview!J22</f>
        <v>2688.9930322347441</v>
      </c>
      <c r="H236">
        <f>Overview!F22/(G222+G236)*G236</f>
        <v>9.4224889100003484E-2</v>
      </c>
      <c r="I236" s="205"/>
      <c r="J236" s="223" t="e">
        <f>Results_energy_scenarios!K176</f>
        <v>#REF!</v>
      </c>
      <c r="K236" s="148" t="e">
        <f>Results_energy_scenarios!AA176</f>
        <v>#REF!</v>
      </c>
      <c r="L236" s="159" t="s">
        <v>37</v>
      </c>
    </row>
    <row r="237" spans="1:12">
      <c r="A237" t="s">
        <v>520</v>
      </c>
      <c r="B237" t="s">
        <v>320</v>
      </c>
      <c r="C237" t="s">
        <v>320</v>
      </c>
      <c r="D237" s="113" t="s">
        <v>339</v>
      </c>
      <c r="E237" s="103"/>
      <c r="F237" s="103"/>
      <c r="G237">
        <f>G238/0.18/(G226+G238)*G238</f>
        <v>1.1730001055829654E-2</v>
      </c>
      <c r="H237" s="103"/>
      <c r="I237" s="205"/>
      <c r="J237" s="223" t="e">
        <f>Results_energy_scenarios!K177</f>
        <v>#REF!</v>
      </c>
      <c r="K237" s="148" t="e">
        <f>Results_energy_scenarios!AA177</f>
        <v>#REF!</v>
      </c>
      <c r="L237" s="159" t="s">
        <v>37</v>
      </c>
    </row>
    <row r="238" spans="1:12">
      <c r="A238" t="s">
        <v>520</v>
      </c>
      <c r="B238" t="s">
        <v>320</v>
      </c>
      <c r="C238" t="s">
        <v>320</v>
      </c>
      <c r="D238" s="116" t="s">
        <v>399</v>
      </c>
      <c r="E238" s="103"/>
      <c r="F238" s="103"/>
      <c r="G238">
        <f>Overview!J20</f>
        <v>8.3189167487943902E-3</v>
      </c>
      <c r="H238">
        <f>Overview!F20/(G238+G226)*G238</f>
        <v>2.1456671045913261E-6</v>
      </c>
      <c r="I238" s="205"/>
      <c r="J238" s="223" t="e">
        <f>Results_energy_scenarios!K178</f>
        <v>#REF!</v>
      </c>
      <c r="K238" s="148" t="e">
        <f>Results_energy_scenarios!AA178</f>
        <v>#REF!</v>
      </c>
      <c r="L238" s="159" t="s">
        <v>37</v>
      </c>
    </row>
    <row r="239" spans="1:12">
      <c r="A239" t="s">
        <v>520</v>
      </c>
      <c r="B239" t="s">
        <v>320</v>
      </c>
      <c r="C239" t="s">
        <v>320</v>
      </c>
      <c r="D239" s="129" t="s">
        <v>161</v>
      </c>
      <c r="E239" s="103"/>
      <c r="F239" s="103"/>
      <c r="G239">
        <f>Overview!J47</f>
        <v>33609.104071709182</v>
      </c>
      <c r="H239">
        <f>Overview!F47</f>
        <v>37.511650510928789</v>
      </c>
      <c r="I239" s="205"/>
      <c r="J239" s="223" t="e">
        <f>Results_energy_scenarios!K179</f>
        <v>#REF!</v>
      </c>
      <c r="K239" s="148" t="e">
        <f>Results_energy_scenarios!AA179</f>
        <v>#REF!</v>
      </c>
      <c r="L239" s="159" t="s">
        <v>334</v>
      </c>
    </row>
    <row r="240" spans="1:12">
      <c r="A240" t="s">
        <v>520</v>
      </c>
      <c r="B240" t="s">
        <v>320</v>
      </c>
      <c r="C240" t="s">
        <v>320</v>
      </c>
      <c r="D240" s="130" t="s">
        <v>190</v>
      </c>
      <c r="E240" s="103"/>
      <c r="F240" s="103"/>
      <c r="G240">
        <f>Overview!J55</f>
        <v>18264.20830862856</v>
      </c>
      <c r="H240">
        <f>Overview!F55</f>
        <v>8.9763100000000016</v>
      </c>
      <c r="I240" s="205"/>
      <c r="J240" s="223" t="e">
        <f>Results_energy_scenarios!K180</f>
        <v>#REF!</v>
      </c>
      <c r="K240" s="148" t="e">
        <f>Results_energy_scenarios!AA180</f>
        <v>#REF!</v>
      </c>
      <c r="L240" s="159" t="s">
        <v>37</v>
      </c>
    </row>
    <row r="241" spans="1:12">
      <c r="A241" t="s">
        <v>520</v>
      </c>
      <c r="B241" t="s">
        <v>320</v>
      </c>
      <c r="C241" t="s">
        <v>320</v>
      </c>
      <c r="D241" s="131" t="s">
        <v>372</v>
      </c>
      <c r="E241" s="103"/>
      <c r="F241" s="103"/>
      <c r="G241">
        <f>Overview!J54</f>
        <v>15493.72126772824</v>
      </c>
      <c r="H241">
        <f>Overview!F54</f>
        <v>4.0666798000000002</v>
      </c>
      <c r="I241" s="205"/>
      <c r="J241" s="223" t="e">
        <f>Results_energy_scenarios!K181</f>
        <v>#REF!</v>
      </c>
      <c r="K241" s="148" t="e">
        <f>Results_energy_scenarios!AA181</f>
        <v>#REF!</v>
      </c>
      <c r="L241" s="159" t="s">
        <v>37</v>
      </c>
    </row>
    <row r="242" spans="1:12">
      <c r="A242" t="s">
        <v>520</v>
      </c>
      <c r="B242" t="s">
        <v>320</v>
      </c>
      <c r="C242" t="s">
        <v>320</v>
      </c>
      <c r="D242" s="132" t="s">
        <v>310</v>
      </c>
      <c r="E242" s="103"/>
      <c r="F242" s="103"/>
      <c r="G242">
        <f>Overview!J50</f>
        <v>4116.9967720241038</v>
      </c>
      <c r="H242">
        <f>Overview!F50</f>
        <v>2.2227390268250589</v>
      </c>
      <c r="I242" s="205"/>
      <c r="J242" s="223" t="e">
        <f>Results_energy_scenarios!K182</f>
        <v>#REF!</v>
      </c>
      <c r="K242" s="148" t="e">
        <f>Results_energy_scenarios!AA182</f>
        <v>#REF!</v>
      </c>
      <c r="L242" s="159" t="s">
        <v>334</v>
      </c>
    </row>
    <row r="243" spans="1:12">
      <c r="A243" t="s">
        <v>520</v>
      </c>
      <c r="B243" t="s">
        <v>320</v>
      </c>
      <c r="C243" t="s">
        <v>320</v>
      </c>
      <c r="D243" s="133" t="s">
        <v>380</v>
      </c>
      <c r="E243" s="103"/>
      <c r="F243" s="103"/>
      <c r="G243">
        <f>Overview!J36</f>
        <v>14795</v>
      </c>
      <c r="H243" s="208"/>
      <c r="I243" s="205"/>
      <c r="J243" s="223" t="e">
        <f>Results_energy_scenarios!K183</f>
        <v>#REF!</v>
      </c>
      <c r="K243" s="148" t="e">
        <f>Results_energy_scenarios!AA183</f>
        <v>#REF!</v>
      </c>
      <c r="L243" s="159" t="s">
        <v>334</v>
      </c>
    </row>
    <row r="244" spans="1:12">
      <c r="D244" t="s">
        <v>547</v>
      </c>
      <c r="E244" s="103"/>
      <c r="F244" s="103"/>
      <c r="H244" s="208"/>
      <c r="I244" s="205"/>
      <c r="J244" s="223" t="e">
        <f>SUMIF(L235:L243,L244,J235:J243)</f>
        <v>#REF!</v>
      </c>
      <c r="K244" s="148" t="e">
        <f>SUMIF(L235:L243,L244,K235:K243)</f>
        <v>#REF!</v>
      </c>
      <c r="L244" s="159" t="s">
        <v>37</v>
      </c>
    </row>
    <row r="245" spans="1:12">
      <c r="D245" t="s">
        <v>548</v>
      </c>
      <c r="E245" s="103"/>
      <c r="F245" s="103"/>
      <c r="H245" s="208"/>
      <c r="I245" s="205"/>
      <c r="J245" s="223" t="e">
        <f>SUMIF(L235:L243,L245,J235:J243)</f>
        <v>#REF!</v>
      </c>
      <c r="K245" s="148" t="e">
        <f>SUMIF(L235:L243,L245,K235:K243)</f>
        <v>#REF!</v>
      </c>
      <c r="L245" s="159" t="s">
        <v>334</v>
      </c>
    </row>
    <row r="246" spans="1:12">
      <c r="A246" s="90" t="s">
        <v>520</v>
      </c>
      <c r="B246" s="90" t="s">
        <v>320</v>
      </c>
      <c r="C246" s="90" t="s">
        <v>337</v>
      </c>
      <c r="D246" s="90"/>
      <c r="E246" s="109"/>
      <c r="F246" s="109"/>
      <c r="G246" s="147">
        <f>SUM(G236:G243)</f>
        <v>88968.043501242617</v>
      </c>
      <c r="H246" s="109"/>
      <c r="I246" s="175"/>
      <c r="J246" s="221" t="e">
        <f>Results_energy_scenarios!K184</f>
        <v>#REF!</v>
      </c>
      <c r="K246" s="122" t="e">
        <f>Results_energy_scenarios!AA184</f>
        <v>#REF!</v>
      </c>
      <c r="L246" s="216"/>
    </row>
    <row r="247" spans="1:12">
      <c r="A247" s="104" t="s">
        <v>520</v>
      </c>
      <c r="B247" s="104" t="s">
        <v>320</v>
      </c>
      <c r="C247" s="104" t="s">
        <v>384</v>
      </c>
      <c r="D247" s="104"/>
      <c r="E247" s="105"/>
      <c r="F247" s="105"/>
      <c r="G247" s="104">
        <v>1</v>
      </c>
      <c r="H247" s="105"/>
      <c r="I247" s="167"/>
      <c r="J247" s="228" t="e">
        <f>Results_energy_scenarios!K185</f>
        <v>#REF!</v>
      </c>
      <c r="K247" s="213" t="e">
        <f>Results_energy_scenarios!AA185</f>
        <v>#REF!</v>
      </c>
      <c r="L247" s="216"/>
    </row>
    <row r="248" spans="1:12">
      <c r="A248" s="203" t="s">
        <v>520</v>
      </c>
      <c r="B248" s="203" t="s">
        <v>376</v>
      </c>
      <c r="C248" s="203" t="s">
        <v>328</v>
      </c>
      <c r="D248" s="140" t="s">
        <v>377</v>
      </c>
      <c r="E248" s="203">
        <f>energy_data_per_scenario!D24*1000</f>
        <v>69220</v>
      </c>
      <c r="F248" s="209"/>
      <c r="G248" s="209"/>
      <c r="H248" s="209"/>
      <c r="I248" s="174"/>
      <c r="J248" s="227" t="e">
        <f>Results_energy_scenarios!K186</f>
        <v>#REF!</v>
      </c>
      <c r="K248" s="204" t="e">
        <f>Results_energy_scenarios!AA186</f>
        <v>#REF!</v>
      </c>
      <c r="L248" s="159" t="s">
        <v>334</v>
      </c>
    </row>
    <row r="249" spans="1:12">
      <c r="A249" t="s">
        <v>520</v>
      </c>
      <c r="B249" t="s">
        <v>376</v>
      </c>
      <c r="C249" t="s">
        <v>328</v>
      </c>
      <c r="D249" s="114" t="s">
        <v>389</v>
      </c>
      <c r="E249" s="103"/>
      <c r="F249" s="103"/>
      <c r="G249">
        <v>11823</v>
      </c>
      <c r="H249" s="103"/>
      <c r="I249" s="205"/>
      <c r="J249" s="223" t="e">
        <f>Results_energy_scenarios!K187</f>
        <v>#REF!</v>
      </c>
      <c r="K249" s="148" t="e">
        <f>Results_energy_scenarios!AA187</f>
        <v>#REF!</v>
      </c>
      <c r="L249" s="216"/>
    </row>
    <row r="250" spans="1:12">
      <c r="A250" t="s">
        <v>520</v>
      </c>
      <c r="B250" t="s">
        <v>376</v>
      </c>
      <c r="C250" t="s">
        <v>328</v>
      </c>
      <c r="D250" s="140" t="s">
        <v>415</v>
      </c>
      <c r="E250">
        <f>energy_data_per_scenario!D25*1000</f>
        <v>5570</v>
      </c>
      <c r="F250" s="103"/>
      <c r="G250" s="103"/>
      <c r="H250" s="103"/>
      <c r="I250" s="205"/>
      <c r="J250" s="223" t="e">
        <f>Results_energy_scenarios!K188</f>
        <v>#REF!</v>
      </c>
      <c r="K250" s="148" t="e">
        <f>Results_energy_scenarios!AA188</f>
        <v>#REF!</v>
      </c>
      <c r="L250" s="159" t="s">
        <v>334</v>
      </c>
    </row>
    <row r="251" spans="1:12">
      <c r="A251" t="s">
        <v>520</v>
      </c>
      <c r="B251" t="s">
        <v>376</v>
      </c>
      <c r="C251" t="s">
        <v>328</v>
      </c>
      <c r="D251" s="117" t="s">
        <v>523</v>
      </c>
      <c r="E251" s="103"/>
      <c r="F251" s="103"/>
      <c r="G251">
        <v>1467</v>
      </c>
      <c r="H251" s="103"/>
      <c r="I251" s="205"/>
      <c r="J251" s="223" t="e">
        <f>Results_energy_scenarios!K189</f>
        <v>#REF!</v>
      </c>
      <c r="K251" s="148" t="e">
        <f>Results_energy_scenarios!AA189</f>
        <v>#REF!</v>
      </c>
      <c r="L251" s="216"/>
    </row>
    <row r="252" spans="1:12">
      <c r="C252" t="s">
        <v>328</v>
      </c>
      <c r="D252" t="s">
        <v>551</v>
      </c>
      <c r="E252" s="103"/>
      <c r="F252" s="103"/>
      <c r="H252" s="103"/>
      <c r="I252" s="205"/>
      <c r="J252" s="223" t="e">
        <f>J204/$G203*($G251)</f>
        <v>#REF!</v>
      </c>
      <c r="K252" s="223" t="e">
        <f>K204/$G203*($G251)</f>
        <v>#REF!</v>
      </c>
      <c r="L252" s="216"/>
    </row>
    <row r="253" spans="1:12">
      <c r="C253" t="s">
        <v>328</v>
      </c>
      <c r="D253" t="s">
        <v>552</v>
      </c>
      <c r="E253" s="103"/>
      <c r="F253" s="103"/>
      <c r="H253" s="103"/>
      <c r="I253" s="205"/>
      <c r="J253" s="223" t="e">
        <f>J205/$G203*($G251)</f>
        <v>#REF!</v>
      </c>
      <c r="K253" s="223" t="e">
        <f>K205/$G203*($G251)</f>
        <v>#REF!</v>
      </c>
      <c r="L253" s="216"/>
    </row>
    <row r="254" spans="1:12">
      <c r="A254" t="s">
        <v>520</v>
      </c>
      <c r="B254" t="s">
        <v>376</v>
      </c>
      <c r="C254" t="s">
        <v>327</v>
      </c>
      <c r="D254" s="140" t="s">
        <v>415</v>
      </c>
      <c r="E254">
        <f>energy_data_per_scenario!D16*1000</f>
        <v>3200</v>
      </c>
      <c r="F254" s="103"/>
      <c r="G254" s="103"/>
      <c r="H254" s="103"/>
      <c r="I254" s="205"/>
      <c r="J254" s="223" t="e">
        <f>Results_energy_scenarios!K190</f>
        <v>#REF!</v>
      </c>
      <c r="K254" s="148" t="e">
        <f>Results_energy_scenarios!AA190</f>
        <v>#REF!</v>
      </c>
      <c r="L254" s="159" t="s">
        <v>37</v>
      </c>
    </row>
    <row r="255" spans="1:12">
      <c r="A255" t="s">
        <v>520</v>
      </c>
      <c r="B255" t="s">
        <v>376</v>
      </c>
      <c r="C255" t="s">
        <v>327</v>
      </c>
      <c r="D255" s="117" t="s">
        <v>523</v>
      </c>
      <c r="E255" s="103"/>
      <c r="F255" s="103"/>
      <c r="G255">
        <v>3899</v>
      </c>
      <c r="H255" s="103"/>
      <c r="I255" s="205"/>
      <c r="J255" s="223" t="e">
        <f>Results_energy_scenarios!K191</f>
        <v>#REF!</v>
      </c>
      <c r="K255" s="148" t="e">
        <f>Results_energy_scenarios!AA191</f>
        <v>#REF!</v>
      </c>
      <c r="L255" s="216"/>
    </row>
    <row r="256" spans="1:12">
      <c r="C256" t="s">
        <v>327</v>
      </c>
      <c r="D256" t="s">
        <v>551</v>
      </c>
      <c r="E256" s="103"/>
      <c r="F256" s="103"/>
      <c r="H256" s="103"/>
      <c r="I256" s="205"/>
      <c r="J256" s="223" t="e">
        <f>J204/$G203*($G255)</f>
        <v>#REF!</v>
      </c>
      <c r="K256" s="223" t="e">
        <f>K204/$G203*($G255)</f>
        <v>#REF!</v>
      </c>
      <c r="L256" s="159" t="s">
        <v>37</v>
      </c>
    </row>
    <row r="257" spans="1:21">
      <c r="C257" t="s">
        <v>327</v>
      </c>
      <c r="D257" t="s">
        <v>552</v>
      </c>
      <c r="E257" s="103"/>
      <c r="F257" s="103"/>
      <c r="H257" s="103"/>
      <c r="I257" s="205"/>
      <c r="J257" s="223" t="e">
        <f>J205/$G203*($G255)</f>
        <v>#REF!</v>
      </c>
      <c r="K257" s="223" t="e">
        <f>K205/$G203*($G255)</f>
        <v>#REF!</v>
      </c>
      <c r="L257" s="159" t="s">
        <v>334</v>
      </c>
    </row>
    <row r="258" spans="1:21">
      <c r="C258" t="s">
        <v>328</v>
      </c>
      <c r="D258" t="s">
        <v>547</v>
      </c>
      <c r="E258" s="103"/>
      <c r="F258" s="103"/>
      <c r="H258" s="103"/>
      <c r="I258" s="205"/>
      <c r="J258" s="223" t="e">
        <f>J244/$G246*$G249</f>
        <v>#REF!</v>
      </c>
      <c r="K258" s="223" t="e">
        <f>K244/$G246*$G249</f>
        <v>#REF!</v>
      </c>
      <c r="L258" s="159" t="s">
        <v>37</v>
      </c>
    </row>
    <row r="259" spans="1:21">
      <c r="C259" t="s">
        <v>328</v>
      </c>
      <c r="D259" t="s">
        <v>548</v>
      </c>
      <c r="E259" s="103"/>
      <c r="F259" s="103"/>
      <c r="H259" s="103"/>
      <c r="I259" s="205"/>
      <c r="J259" s="223" t="e">
        <f>J245/$G246*$G249</f>
        <v>#REF!</v>
      </c>
      <c r="K259" s="223" t="e">
        <f>K245/$G246*$G249</f>
        <v>#REF!</v>
      </c>
      <c r="L259" s="159" t="s">
        <v>334</v>
      </c>
    </row>
    <row r="260" spans="1:21">
      <c r="A260" s="90" t="s">
        <v>520</v>
      </c>
      <c r="B260" s="90" t="s">
        <v>376</v>
      </c>
      <c r="C260" s="90" t="s">
        <v>337</v>
      </c>
      <c r="D260" s="90"/>
      <c r="E260" s="90">
        <f>SUM(E248:E254)</f>
        <v>77990</v>
      </c>
      <c r="F260" s="109"/>
      <c r="G260" s="109"/>
      <c r="H260" s="109"/>
      <c r="I260" s="175"/>
      <c r="J260" s="221" t="e">
        <f>Results_energy_scenarios!K192</f>
        <v>#REF!</v>
      </c>
      <c r="K260" s="122" t="e">
        <f>Results_energy_scenarios!AA192</f>
        <v>#REF!</v>
      </c>
      <c r="L260" s="216"/>
    </row>
    <row r="261" spans="1:21" ht="15" thickBot="1">
      <c r="A261" s="134" t="s">
        <v>520</v>
      </c>
      <c r="B261" s="134" t="s">
        <v>376</v>
      </c>
      <c r="C261" s="134" t="s">
        <v>391</v>
      </c>
      <c r="D261" s="134"/>
      <c r="E261" s="134">
        <v>1</v>
      </c>
      <c r="F261" s="135"/>
      <c r="G261" s="135"/>
      <c r="H261" s="135"/>
      <c r="I261" s="168"/>
      <c r="J261" s="224" t="e">
        <f>Results_energy_scenarios!K193</f>
        <v>#REF!</v>
      </c>
      <c r="K261" s="137" t="e">
        <f>Results_energy_scenarios!AA193</f>
        <v>#REF!</v>
      </c>
      <c r="L261" s="162"/>
    </row>
    <row r="264" spans="1:21" ht="15.5">
      <c r="A264" s="243" t="s">
        <v>413</v>
      </c>
      <c r="B264" s="243"/>
      <c r="C264" s="243"/>
      <c r="D264" s="243"/>
      <c r="E264" s="243"/>
      <c r="F264" s="243"/>
      <c r="G264" s="243"/>
      <c r="H264" s="243"/>
      <c r="I264" s="243"/>
      <c r="J264" s="243"/>
      <c r="K264" s="243"/>
      <c r="L264" s="243"/>
    </row>
    <row r="265" spans="1:21">
      <c r="A265" t="s">
        <v>320</v>
      </c>
      <c r="I265" t="e">
        <f>SUMIF(Results_energy_scenarios!H201:H209,Energy_LoI!L265,Results_energy_scenarios!K201:K209)</f>
        <v>#REF!</v>
      </c>
      <c r="J265" t="s">
        <v>568</v>
      </c>
      <c r="L265" t="s">
        <v>37</v>
      </c>
      <c r="P265" t="s">
        <v>559</v>
      </c>
      <c r="Q265" t="s">
        <v>560</v>
      </c>
      <c r="R265" t="s">
        <v>563</v>
      </c>
      <c r="S265" t="s">
        <v>564</v>
      </c>
      <c r="T265" t="s">
        <v>365</v>
      </c>
      <c r="U265" t="s">
        <v>467</v>
      </c>
    </row>
    <row r="266" spans="1:21">
      <c r="A266" t="s">
        <v>320</v>
      </c>
      <c r="I266" t="e">
        <f>SUMIF(Results_energy_scenarios!H201:H209,Energy_LoI!L266,Results_energy_scenarios!K201:K209)</f>
        <v>#REF!</v>
      </c>
      <c r="J266" t="s">
        <v>568</v>
      </c>
      <c r="L266" t="s">
        <v>334</v>
      </c>
      <c r="P266" t="s">
        <v>320</v>
      </c>
      <c r="Q266">
        <f>S266*277.78</f>
        <v>56056.004000000001</v>
      </c>
      <c r="R266" s="103"/>
      <c r="S266">
        <v>201.8</v>
      </c>
      <c r="T266" t="s">
        <v>565</v>
      </c>
      <c r="U266" t="s">
        <v>567</v>
      </c>
    </row>
    <row r="267" spans="1:21">
      <c r="A267" t="s">
        <v>361</v>
      </c>
      <c r="C267" t="s">
        <v>554</v>
      </c>
      <c r="D267" t="s">
        <v>555</v>
      </c>
      <c r="I267" t="e">
        <f>#REF!*3.6*1000000*Results_energy_scenarios!K242</f>
        <v>#REF!</v>
      </c>
      <c r="J267" t="s">
        <v>568</v>
      </c>
      <c r="L267" t="s">
        <v>37</v>
      </c>
      <c r="P267" t="s">
        <v>561</v>
      </c>
      <c r="Q267">
        <f>S267*277.78</f>
        <v>26861.325999999997</v>
      </c>
      <c r="R267" s="103"/>
      <c r="S267">
        <v>96.7</v>
      </c>
      <c r="T267" t="s">
        <v>565</v>
      </c>
      <c r="U267" t="s">
        <v>566</v>
      </c>
    </row>
    <row r="268" spans="1:21">
      <c r="A268" t="s">
        <v>361</v>
      </c>
      <c r="C268" t="s">
        <v>554</v>
      </c>
      <c r="D268" t="s">
        <v>555</v>
      </c>
      <c r="I268" t="e">
        <f>#REF!*3.6*1000000*Results_energy_scenarios!K242-I267</f>
        <v>#REF!</v>
      </c>
      <c r="J268" t="s">
        <v>568</v>
      </c>
      <c r="L268" t="s">
        <v>334</v>
      </c>
      <c r="P268" t="s">
        <v>562</v>
      </c>
      <c r="Q268">
        <f>S268*277.78</f>
        <v>48722.611999999994</v>
      </c>
      <c r="R268" s="103"/>
      <c r="S268">
        <v>175.4</v>
      </c>
      <c r="T268" t="s">
        <v>565</v>
      </c>
      <c r="U268" t="s">
        <v>566</v>
      </c>
    </row>
    <row r="269" spans="1:21">
      <c r="A269" t="s">
        <v>361</v>
      </c>
      <c r="C269" t="s">
        <v>556</v>
      </c>
      <c r="D269" t="s">
        <v>470</v>
      </c>
      <c r="I269" t="e">
        <f>#REF!*3.6*1000000*Results_energy_scenarios!K243*Results_energy_scenarios!K244</f>
        <v>#REF!</v>
      </c>
      <c r="J269" t="s">
        <v>568</v>
      </c>
      <c r="L269" t="s">
        <v>37</v>
      </c>
      <c r="P269" t="s">
        <v>327</v>
      </c>
      <c r="Q269" s="103"/>
      <c r="R269">
        <f>58800-R270</f>
        <v>2200</v>
      </c>
      <c r="U269" t="s">
        <v>570</v>
      </c>
    </row>
    <row r="270" spans="1:21">
      <c r="A270" t="s">
        <v>361</v>
      </c>
      <c r="C270" t="s">
        <v>556</v>
      </c>
      <c r="D270" t="s">
        <v>470</v>
      </c>
      <c r="I270" t="e">
        <f>#REF!*3.6*1000000*Results_energy_scenarios!K243*Results_energy_scenarios!K244-I269</f>
        <v>#REF!</v>
      </c>
      <c r="J270" t="s">
        <v>568</v>
      </c>
      <c r="L270" t="s">
        <v>334</v>
      </c>
      <c r="P270" t="s">
        <v>328</v>
      </c>
      <c r="Q270" s="103"/>
      <c r="R270">
        <v>56600</v>
      </c>
      <c r="U270" t="s">
        <v>570</v>
      </c>
    </row>
    <row r="271" spans="1:21">
      <c r="A271" t="s">
        <v>361</v>
      </c>
      <c r="C271" t="s">
        <v>556</v>
      </c>
      <c r="D271" t="s">
        <v>474</v>
      </c>
      <c r="I271" t="e">
        <f>#REF!*3.6*1000000*Results_energy_scenarios!K243*Results_energy_scenarios!K245</f>
        <v>#REF!</v>
      </c>
      <c r="J271" t="s">
        <v>568</v>
      </c>
      <c r="L271" t="s">
        <v>37</v>
      </c>
    </row>
    <row r="272" spans="1:21">
      <c r="A272" t="s">
        <v>361</v>
      </c>
      <c r="C272" t="s">
        <v>556</v>
      </c>
      <c r="D272" t="s">
        <v>474</v>
      </c>
      <c r="I272" t="e">
        <f>#REF!*3.6*1000000*Results_energy_scenarios!K243*Results_energy_scenarios!K245-I271</f>
        <v>#REF!</v>
      </c>
      <c r="J272" t="s">
        <v>568</v>
      </c>
      <c r="L272" t="s">
        <v>334</v>
      </c>
    </row>
    <row r="273" spans="1:12">
      <c r="A273" t="s">
        <v>361</v>
      </c>
      <c r="C273" t="s">
        <v>556</v>
      </c>
      <c r="D273" t="s">
        <v>471</v>
      </c>
      <c r="I273" s="192" t="e">
        <f>Results_energy_scenarios!K214</f>
        <v>#REF!</v>
      </c>
      <c r="J273" t="s">
        <v>568</v>
      </c>
      <c r="L273" t="s">
        <v>37</v>
      </c>
    </row>
    <row r="274" spans="1:12">
      <c r="A274" t="s">
        <v>361</v>
      </c>
      <c r="C274" t="s">
        <v>556</v>
      </c>
      <c r="D274" t="s">
        <v>472</v>
      </c>
      <c r="I274" t="e">
        <f>Results_energy_scenarios!K215</f>
        <v>#REF!</v>
      </c>
      <c r="J274" t="s">
        <v>568</v>
      </c>
      <c r="L274" t="s">
        <v>37</v>
      </c>
    </row>
    <row r="275" spans="1:12">
      <c r="A275" t="s">
        <v>361</v>
      </c>
      <c r="C275" t="s">
        <v>556</v>
      </c>
      <c r="D275" t="s">
        <v>473</v>
      </c>
      <c r="I275" t="e">
        <f>Results_energy_scenarios!K216</f>
        <v>#REF!</v>
      </c>
      <c r="J275" t="s">
        <v>568</v>
      </c>
      <c r="L275" t="s">
        <v>37</v>
      </c>
    </row>
    <row r="276" spans="1:12">
      <c r="A276" t="s">
        <v>361</v>
      </c>
      <c r="C276" t="s">
        <v>556</v>
      </c>
      <c r="D276" t="s">
        <v>475</v>
      </c>
      <c r="I276" t="e">
        <f>Results_energy_scenarios!K217</f>
        <v>#REF!</v>
      </c>
      <c r="J276" t="s">
        <v>568</v>
      </c>
      <c r="L276" t="s">
        <v>37</v>
      </c>
    </row>
    <row r="277" spans="1:12">
      <c r="A277" t="s">
        <v>376</v>
      </c>
      <c r="C277" t="s">
        <v>557</v>
      </c>
      <c r="D277" t="s">
        <v>416</v>
      </c>
      <c r="I277" t="e">
        <f>#REF!*18*1000000</f>
        <v>#REF!</v>
      </c>
      <c r="J277" t="s">
        <v>569</v>
      </c>
      <c r="L277" t="s">
        <v>37</v>
      </c>
    </row>
    <row r="278" spans="1:12">
      <c r="A278" t="s">
        <v>376</v>
      </c>
      <c r="C278" t="s">
        <v>557</v>
      </c>
      <c r="D278" t="s">
        <v>416</v>
      </c>
      <c r="I278" t="e">
        <f>#REF!*18*1000000-I277</f>
        <v>#REF!</v>
      </c>
      <c r="J278" t="s">
        <v>569</v>
      </c>
      <c r="L278" t="s">
        <v>334</v>
      </c>
    </row>
    <row r="279" spans="1:12">
      <c r="A279" t="s">
        <v>376</v>
      </c>
      <c r="C279" t="s">
        <v>558</v>
      </c>
      <c r="D279" t="s">
        <v>416</v>
      </c>
      <c r="I279" t="e">
        <f>#REF!*1000000</f>
        <v>#REF!</v>
      </c>
      <c r="J279" t="s">
        <v>569</v>
      </c>
      <c r="L279" t="s">
        <v>37</v>
      </c>
    </row>
    <row r="280" spans="1:12">
      <c r="A280" t="s">
        <v>376</v>
      </c>
      <c r="C280" t="s">
        <v>558</v>
      </c>
      <c r="D280" t="s">
        <v>416</v>
      </c>
      <c r="I280" s="192" t="e">
        <f>#REF!*1000000-I279</f>
        <v>#REF!</v>
      </c>
      <c r="J280" t="s">
        <v>569</v>
      </c>
      <c r="L280" t="s">
        <v>334</v>
      </c>
    </row>
  </sheetData>
  <mergeCells count="2">
    <mergeCell ref="L1:L2"/>
    <mergeCell ref="A264:L264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F978-9F65-DF4E-8DD5-052552C83961}">
  <sheetPr>
    <tabColor theme="8"/>
  </sheetPr>
  <dimension ref="A1:AO465"/>
  <sheetViews>
    <sheetView zoomScale="88" zoomScaleNormal="11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G24" sqref="G24"/>
    </sheetView>
  </sheetViews>
  <sheetFormatPr defaultColWidth="11.453125" defaultRowHeight="14.5"/>
  <cols>
    <col min="1" max="1" width="10" customWidth="1"/>
    <col min="2" max="2" width="8.81640625" bestFit="1" customWidth="1"/>
    <col min="3" max="3" width="14.1796875" bestFit="1" customWidth="1"/>
    <col min="4" max="4" width="21.1796875" bestFit="1" customWidth="1"/>
    <col min="5" max="5" width="13.81640625" customWidth="1"/>
    <col min="6" max="7" width="13.453125" customWidth="1"/>
    <col min="8" max="8" width="11.81640625" bestFit="1" customWidth="1"/>
    <col min="9" max="9" width="8" bestFit="1" customWidth="1"/>
    <col min="10" max="10" width="16.81640625" customWidth="1"/>
    <col min="11" max="11" width="11.81640625" bestFit="1" customWidth="1"/>
    <col min="12" max="12" width="14.26953125" customWidth="1"/>
    <col min="13" max="13" width="17.26953125" bestFit="1" customWidth="1"/>
    <col min="14" max="14" width="15.1796875" customWidth="1"/>
    <col min="15" max="15" width="13.81640625" customWidth="1"/>
    <col min="16" max="16" width="14.81640625" customWidth="1"/>
    <col min="17" max="17" width="12.26953125" bestFit="1" customWidth="1"/>
    <col min="18" max="18" width="12.1796875" bestFit="1" customWidth="1"/>
    <col min="19" max="19" width="18.453125" customWidth="1"/>
    <col min="20" max="20" width="22" bestFit="1" customWidth="1"/>
    <col min="21" max="21" width="13" customWidth="1"/>
    <col min="22" max="22" width="13.1796875" bestFit="1" customWidth="1"/>
    <col min="23" max="23" width="16.7265625" customWidth="1"/>
    <col min="24" max="24" width="18" customWidth="1"/>
    <col min="25" max="25" width="16.7265625" customWidth="1"/>
    <col min="26" max="26" width="16.81640625" customWidth="1"/>
    <col min="27" max="27" width="12.1796875" bestFit="1" customWidth="1"/>
    <col min="28" max="28" width="14.26953125" customWidth="1"/>
    <col min="29" max="29" width="13.81640625" customWidth="1"/>
    <col min="30" max="30" width="14.81640625" customWidth="1"/>
    <col min="31" max="31" width="13" customWidth="1"/>
    <col min="32" max="32" width="14" customWidth="1"/>
    <col min="33" max="33" width="11" bestFit="1" customWidth="1"/>
    <col min="34" max="34" width="12.1796875" bestFit="1" customWidth="1"/>
    <col min="35" max="35" width="18.26953125" customWidth="1"/>
    <col min="36" max="36" width="19" customWidth="1"/>
    <col min="37" max="37" width="13" customWidth="1"/>
    <col min="38" max="38" width="13" bestFit="1" customWidth="1"/>
    <col min="39" max="39" width="16.7265625" customWidth="1"/>
    <col min="40" max="40" width="18" customWidth="1"/>
    <col min="41" max="41" width="16.81640625" customWidth="1"/>
  </cols>
  <sheetData>
    <row r="1" spans="1:41" ht="19" thickBot="1">
      <c r="A1" s="241"/>
      <c r="B1" s="241"/>
      <c r="C1" s="241"/>
      <c r="D1" s="241"/>
      <c r="E1" s="241"/>
      <c r="F1" s="241"/>
      <c r="G1" s="241"/>
      <c r="H1" s="241"/>
      <c r="I1" s="242"/>
      <c r="J1" s="238" t="s">
        <v>368</v>
      </c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40"/>
      <c r="Z1" s="238" t="s">
        <v>369</v>
      </c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40"/>
    </row>
    <row r="2" spans="1:41" ht="73" thickBot="1">
      <c r="A2" s="69" t="s">
        <v>371</v>
      </c>
      <c r="B2" s="69" t="s">
        <v>360</v>
      </c>
      <c r="C2" s="69" t="s">
        <v>359</v>
      </c>
      <c r="D2" s="69" t="s">
        <v>362</v>
      </c>
      <c r="E2" s="69" t="s">
        <v>375</v>
      </c>
      <c r="F2" s="69" t="s">
        <v>379</v>
      </c>
      <c r="G2" s="69" t="s">
        <v>363</v>
      </c>
      <c r="H2" s="69" t="s">
        <v>364</v>
      </c>
      <c r="I2" s="69" t="s">
        <v>419</v>
      </c>
      <c r="J2" s="68" t="s">
        <v>227</v>
      </c>
      <c r="K2" s="18" t="s">
        <v>228</v>
      </c>
      <c r="L2" s="18" t="s">
        <v>239</v>
      </c>
      <c r="M2" s="18" t="s">
        <v>240</v>
      </c>
      <c r="N2" s="18" t="s">
        <v>241</v>
      </c>
      <c r="O2" s="18" t="s">
        <v>242</v>
      </c>
      <c r="P2" s="18" t="s">
        <v>232</v>
      </c>
      <c r="Q2" s="18" t="s">
        <v>233</v>
      </c>
      <c r="R2" s="18" t="s">
        <v>234</v>
      </c>
      <c r="S2" s="18" t="s">
        <v>235</v>
      </c>
      <c r="T2" s="18" t="s">
        <v>572</v>
      </c>
      <c r="U2" s="18" t="s">
        <v>231</v>
      </c>
      <c r="V2" s="18" t="s">
        <v>236</v>
      </c>
      <c r="W2" s="18" t="s">
        <v>373</v>
      </c>
      <c r="X2" s="18" t="s">
        <v>229</v>
      </c>
      <c r="Y2" s="20" t="s">
        <v>238</v>
      </c>
      <c r="Z2" s="68" t="s">
        <v>227</v>
      </c>
      <c r="AA2" s="18" t="s">
        <v>228</v>
      </c>
      <c r="AB2" s="18" t="s">
        <v>239</v>
      </c>
      <c r="AC2" s="18" t="s">
        <v>240</v>
      </c>
      <c r="AD2" s="18" t="s">
        <v>241</v>
      </c>
      <c r="AE2" s="18" t="s">
        <v>242</v>
      </c>
      <c r="AF2" s="18" t="s">
        <v>232</v>
      </c>
      <c r="AG2" s="18" t="s">
        <v>233</v>
      </c>
      <c r="AH2" s="18" t="s">
        <v>234</v>
      </c>
      <c r="AI2" s="18" t="s">
        <v>235</v>
      </c>
      <c r="AJ2" s="18" t="s">
        <v>230</v>
      </c>
      <c r="AK2" s="18" t="s">
        <v>231</v>
      </c>
      <c r="AL2" s="18" t="s">
        <v>236</v>
      </c>
      <c r="AM2" s="18" t="s">
        <v>373</v>
      </c>
      <c r="AN2" s="18" t="s">
        <v>229</v>
      </c>
      <c r="AO2" s="20" t="s">
        <v>238</v>
      </c>
    </row>
    <row r="3" spans="1:41" ht="16" customHeight="1">
      <c r="A3" t="s">
        <v>4</v>
      </c>
      <c r="B3" t="s">
        <v>361</v>
      </c>
      <c r="D3" s="115" t="s">
        <v>322</v>
      </c>
      <c r="E3" s="103"/>
      <c r="F3" s="103"/>
      <c r="G3">
        <v>11481</v>
      </c>
      <c r="H3" s="103"/>
      <c r="J3" s="100" t="e">
        <f t="shared" ref="J3:AO3" si="0">SUM(J5:J12)</f>
        <v>#REF!</v>
      </c>
      <c r="K3" s="99" t="e">
        <f t="shared" si="0"/>
        <v>#REF!</v>
      </c>
      <c r="L3" s="99" t="e">
        <f t="shared" si="0"/>
        <v>#REF!</v>
      </c>
      <c r="M3" s="99" t="e">
        <f t="shared" si="0"/>
        <v>#REF!</v>
      </c>
      <c r="N3" s="99" t="e">
        <f t="shared" si="0"/>
        <v>#REF!</v>
      </c>
      <c r="O3" s="99" t="e">
        <f t="shared" si="0"/>
        <v>#REF!</v>
      </c>
      <c r="P3" s="99" t="e">
        <f t="shared" si="0"/>
        <v>#REF!</v>
      </c>
      <c r="Q3" s="99" t="e">
        <f t="shared" si="0"/>
        <v>#REF!</v>
      </c>
      <c r="R3" s="99" t="e">
        <f t="shared" si="0"/>
        <v>#REF!</v>
      </c>
      <c r="S3" s="99" t="e">
        <f t="shared" si="0"/>
        <v>#REF!</v>
      </c>
      <c r="T3" s="99" t="e">
        <f t="shared" si="0"/>
        <v>#REF!</v>
      </c>
      <c r="U3" s="99" t="e">
        <f t="shared" si="0"/>
        <v>#REF!</v>
      </c>
      <c r="V3" s="99" t="e">
        <f t="shared" si="0"/>
        <v>#REF!</v>
      </c>
      <c r="W3" s="99" t="e">
        <f t="shared" si="0"/>
        <v>#REF!</v>
      </c>
      <c r="X3" s="99" t="e">
        <f t="shared" si="0"/>
        <v>#REF!</v>
      </c>
      <c r="Y3" s="99" t="e">
        <f t="shared" si="0"/>
        <v>#REF!</v>
      </c>
      <c r="Z3" s="100" t="e">
        <f t="shared" si="0"/>
        <v>#REF!</v>
      </c>
      <c r="AA3" s="99" t="e">
        <f t="shared" si="0"/>
        <v>#REF!</v>
      </c>
      <c r="AB3" s="99" t="e">
        <f t="shared" si="0"/>
        <v>#REF!</v>
      </c>
      <c r="AC3" s="99" t="e">
        <f t="shared" si="0"/>
        <v>#REF!</v>
      </c>
      <c r="AD3" s="99" t="e">
        <f t="shared" si="0"/>
        <v>#REF!</v>
      </c>
      <c r="AE3" s="99" t="e">
        <f t="shared" si="0"/>
        <v>#REF!</v>
      </c>
      <c r="AF3" s="99" t="e">
        <f t="shared" si="0"/>
        <v>#REF!</v>
      </c>
      <c r="AG3" s="99" t="e">
        <f t="shared" si="0"/>
        <v>#REF!</v>
      </c>
      <c r="AH3" s="99" t="e">
        <f t="shared" si="0"/>
        <v>#REF!</v>
      </c>
      <c r="AI3" s="99" t="e">
        <f t="shared" si="0"/>
        <v>#REF!</v>
      </c>
      <c r="AJ3" s="99" t="e">
        <f t="shared" si="0"/>
        <v>#REF!</v>
      </c>
      <c r="AK3" s="99" t="e">
        <f t="shared" si="0"/>
        <v>#REF!</v>
      </c>
      <c r="AL3" s="99" t="e">
        <f t="shared" si="0"/>
        <v>#REF!</v>
      </c>
      <c r="AM3" s="99" t="e">
        <f t="shared" si="0"/>
        <v>#REF!</v>
      </c>
      <c r="AN3" s="99" t="e">
        <f t="shared" si="0"/>
        <v>#REF!</v>
      </c>
      <c r="AO3" s="101" t="e">
        <f t="shared" si="0"/>
        <v>#REF!</v>
      </c>
    </row>
    <row r="4" spans="1:41" ht="16" customHeight="1">
      <c r="A4" t="s">
        <v>4</v>
      </c>
      <c r="B4" t="s">
        <v>361</v>
      </c>
      <c r="D4" s="115" t="s">
        <v>406</v>
      </c>
      <c r="E4" s="103"/>
      <c r="F4" s="103"/>
      <c r="G4">
        <v>11481</v>
      </c>
      <c r="H4" s="103"/>
      <c r="J4" s="100" t="e">
        <f t="shared" ref="J4:AO4" si="1">SUM(J5:J8,J11)</f>
        <v>#REF!</v>
      </c>
      <c r="K4" s="99" t="e">
        <f t="shared" si="1"/>
        <v>#REF!</v>
      </c>
      <c r="L4" s="99" t="e">
        <f t="shared" si="1"/>
        <v>#REF!</v>
      </c>
      <c r="M4" s="99" t="e">
        <f t="shared" si="1"/>
        <v>#REF!</v>
      </c>
      <c r="N4" s="99" t="e">
        <f t="shared" si="1"/>
        <v>#REF!</v>
      </c>
      <c r="O4" s="99" t="e">
        <f t="shared" si="1"/>
        <v>#REF!</v>
      </c>
      <c r="P4" s="99" t="e">
        <f t="shared" si="1"/>
        <v>#REF!</v>
      </c>
      <c r="Q4" s="99" t="e">
        <f t="shared" si="1"/>
        <v>#REF!</v>
      </c>
      <c r="R4" s="99" t="e">
        <f t="shared" si="1"/>
        <v>#REF!</v>
      </c>
      <c r="S4" s="99" t="e">
        <f t="shared" si="1"/>
        <v>#REF!</v>
      </c>
      <c r="T4" s="99" t="e">
        <f t="shared" si="1"/>
        <v>#REF!</v>
      </c>
      <c r="U4" s="99" t="e">
        <f t="shared" si="1"/>
        <v>#REF!</v>
      </c>
      <c r="V4" s="99" t="e">
        <f t="shared" si="1"/>
        <v>#REF!</v>
      </c>
      <c r="W4" s="99" t="e">
        <f t="shared" si="1"/>
        <v>#REF!</v>
      </c>
      <c r="X4" s="99" t="e">
        <f t="shared" si="1"/>
        <v>#REF!</v>
      </c>
      <c r="Y4" s="99" t="e">
        <f t="shared" si="1"/>
        <v>#REF!</v>
      </c>
      <c r="Z4" s="100" t="e">
        <f t="shared" si="1"/>
        <v>#REF!</v>
      </c>
      <c r="AA4" s="99" t="e">
        <f t="shared" si="1"/>
        <v>#REF!</v>
      </c>
      <c r="AB4" s="99" t="e">
        <f t="shared" si="1"/>
        <v>#REF!</v>
      </c>
      <c r="AC4" s="99" t="e">
        <f t="shared" si="1"/>
        <v>#REF!</v>
      </c>
      <c r="AD4" s="99" t="e">
        <f t="shared" si="1"/>
        <v>#REF!</v>
      </c>
      <c r="AE4" s="99" t="e">
        <f t="shared" si="1"/>
        <v>#REF!</v>
      </c>
      <c r="AF4" s="99" t="e">
        <f t="shared" si="1"/>
        <v>#REF!</v>
      </c>
      <c r="AG4" s="99" t="e">
        <f t="shared" si="1"/>
        <v>#REF!</v>
      </c>
      <c r="AH4" s="99" t="e">
        <f t="shared" si="1"/>
        <v>#REF!</v>
      </c>
      <c r="AI4" s="99" t="e">
        <f t="shared" si="1"/>
        <v>#REF!</v>
      </c>
      <c r="AJ4" s="99" t="e">
        <f t="shared" si="1"/>
        <v>#REF!</v>
      </c>
      <c r="AK4" s="99" t="e">
        <f t="shared" si="1"/>
        <v>#REF!</v>
      </c>
      <c r="AL4" s="99" t="e">
        <f t="shared" si="1"/>
        <v>#REF!</v>
      </c>
      <c r="AM4" s="99" t="e">
        <f t="shared" si="1"/>
        <v>#REF!</v>
      </c>
      <c r="AN4" s="99" t="e">
        <f t="shared" si="1"/>
        <v>#REF!</v>
      </c>
      <c r="AO4" s="101" t="e">
        <f t="shared" si="1"/>
        <v>#REF!</v>
      </c>
    </row>
    <row r="5" spans="1:41" ht="16" customHeight="1">
      <c r="A5" t="s">
        <v>4</v>
      </c>
      <c r="B5" t="s">
        <v>361</v>
      </c>
      <c r="C5" s="157"/>
      <c r="D5" s="115" t="s">
        <v>395</v>
      </c>
      <c r="E5" s="103"/>
      <c r="F5" s="103"/>
      <c r="G5">
        <f>Overview!G40</f>
        <v>9129.2301208358294</v>
      </c>
      <c r="H5" s="103"/>
      <c r="J5" s="100" t="e">
        <f>Overview!AD40*Overview!$Z40*Results_energy_scenarios!$G5</f>
        <v>#REF!</v>
      </c>
      <c r="K5" s="99" t="e">
        <f>Overview!AE40*Overview!$Z40*Results_energy_scenarios!$G5</f>
        <v>#REF!</v>
      </c>
      <c r="L5" s="99" t="e">
        <f>Overview!AF40*Overview!$Z40*Results_energy_scenarios!$G5</f>
        <v>#REF!</v>
      </c>
      <c r="M5" s="99" t="e">
        <f>Overview!AG40*Overview!$Z40*Results_energy_scenarios!$G5</f>
        <v>#REF!</v>
      </c>
      <c r="N5" s="99" t="e">
        <f>Overview!AH40*Overview!$Z40*Results_energy_scenarios!$G5</f>
        <v>#REF!</v>
      </c>
      <c r="O5" s="99" t="e">
        <f>Overview!AI40*Overview!$Z40*Results_energy_scenarios!$G5</f>
        <v>#REF!</v>
      </c>
      <c r="P5" s="99" t="e">
        <f>Overview!AJ40*Overview!$Z40*Results_energy_scenarios!$G5</f>
        <v>#REF!</v>
      </c>
      <c r="Q5" s="99" t="e">
        <f>Overview!AK40*Overview!$Z40*Results_energy_scenarios!$G5</f>
        <v>#REF!</v>
      </c>
      <c r="R5" s="99" t="e">
        <f>Overview!AL40*Overview!$Z40*Results_energy_scenarios!$G5</f>
        <v>#REF!</v>
      </c>
      <c r="S5" s="99" t="e">
        <f>Overview!AM40*Overview!$Z40*Results_energy_scenarios!$G5</f>
        <v>#REF!</v>
      </c>
      <c r="T5" s="99" t="e">
        <f>Overview!AN40*Overview!$Z40*Results_energy_scenarios!$G5</f>
        <v>#REF!</v>
      </c>
      <c r="U5" s="99" t="e">
        <f>Overview!AO40*Overview!$Z40*Results_energy_scenarios!$G5</f>
        <v>#REF!</v>
      </c>
      <c r="V5" s="99" t="e">
        <f>Overview!AP40*Overview!$Z40*Results_energy_scenarios!$G5</f>
        <v>#REF!</v>
      </c>
      <c r="W5" s="99" t="e">
        <f>Overview!AQ40*Overview!$Z40*Results_energy_scenarios!$G5</f>
        <v>#REF!</v>
      </c>
      <c r="X5" s="99" t="e">
        <f>Overview!AR40*Overview!$Z40*Results_energy_scenarios!$G5</f>
        <v>#REF!</v>
      </c>
      <c r="Y5" s="99" t="e">
        <f>Overview!AS40*Overview!$Z40*Results_energy_scenarios!$G5</f>
        <v>#REF!</v>
      </c>
      <c r="Z5" s="100" t="e">
        <f>Overview!CP40*Overview!$Z40*Results_energy_scenarios!$G5</f>
        <v>#REF!</v>
      </c>
      <c r="AA5" s="99" t="e">
        <f>Overview!CQ40*Overview!$Z40*Results_energy_scenarios!$G5</f>
        <v>#REF!</v>
      </c>
      <c r="AB5" s="99" t="e">
        <f>Overview!CR40*Overview!$Z40*Results_energy_scenarios!$G5</f>
        <v>#REF!</v>
      </c>
      <c r="AC5" s="99" t="e">
        <f>Overview!CS40*Overview!$Z40*Results_energy_scenarios!$G5</f>
        <v>#REF!</v>
      </c>
      <c r="AD5" s="99" t="e">
        <f>Overview!CT40*Overview!$Z40*Results_energy_scenarios!$G5</f>
        <v>#REF!</v>
      </c>
      <c r="AE5" s="99" t="e">
        <f>Overview!CU40*Overview!$Z40*Results_energy_scenarios!$G5</f>
        <v>#REF!</v>
      </c>
      <c r="AF5" s="99" t="e">
        <f>Overview!CV40*Overview!$Z40*Results_energy_scenarios!$G5</f>
        <v>#REF!</v>
      </c>
      <c r="AG5" s="99" t="e">
        <f>Overview!CW40*Overview!$Z40*Results_energy_scenarios!$G5</f>
        <v>#REF!</v>
      </c>
      <c r="AH5" s="99" t="e">
        <f>Overview!CX40*Overview!$Z40*Results_energy_scenarios!$G5</f>
        <v>#REF!</v>
      </c>
      <c r="AI5" s="99" t="e">
        <f>Overview!CY40*Overview!$Z40*Results_energy_scenarios!$G5</f>
        <v>#REF!</v>
      </c>
      <c r="AJ5" s="99" t="e">
        <f>Overview!CZ40*Overview!$Z40*Results_energy_scenarios!$G5</f>
        <v>#REF!</v>
      </c>
      <c r="AK5" s="99" t="e">
        <f>Overview!DA40*Overview!$Z40*Results_energy_scenarios!$G5</f>
        <v>#REF!</v>
      </c>
      <c r="AL5" s="99" t="e">
        <f>Overview!DB40*Overview!$Z40*Results_energy_scenarios!$G5</f>
        <v>#REF!</v>
      </c>
      <c r="AM5" s="99" t="e">
        <f>Overview!DC40*Overview!$Z40*Results_energy_scenarios!$G5</f>
        <v>#REF!</v>
      </c>
      <c r="AN5" s="99" t="e">
        <f>Overview!DD40*Overview!$Z40*Results_energy_scenarios!$G5</f>
        <v>#REF!</v>
      </c>
      <c r="AO5" s="101" t="e">
        <f>Overview!DE40*Overview!$Z40*Results_energy_scenarios!$G5</f>
        <v>#REF!</v>
      </c>
    </row>
    <row r="6" spans="1:41" ht="16" customHeight="1">
      <c r="A6" t="s">
        <v>4</v>
      </c>
      <c r="B6" t="s">
        <v>361</v>
      </c>
      <c r="C6" s="157"/>
      <c r="D6" s="113" t="s">
        <v>387</v>
      </c>
      <c r="E6" s="103"/>
      <c r="F6" s="103"/>
      <c r="G6">
        <f>Overview!G9</f>
        <v>1689.0952703679509</v>
      </c>
      <c r="H6">
        <f>Overview!C9</f>
        <v>0.19229254540269089</v>
      </c>
      <c r="J6" s="118" t="e">
        <f>Overview!AD9*Overview!$Z9/20*Results_energy_scenarios!$G6</f>
        <v>#REF!</v>
      </c>
      <c r="K6" s="119" t="e">
        <f>Overview!AE9*Overview!$Z9/20*Results_energy_scenarios!$G6</f>
        <v>#REF!</v>
      </c>
      <c r="L6" s="119" t="e">
        <f>Overview!AF9*Overview!$Z9/20*Results_energy_scenarios!$G6</f>
        <v>#REF!</v>
      </c>
      <c r="M6" s="119" t="e">
        <f>Overview!AG9*Overview!$Z9/20*Results_energy_scenarios!$G6</f>
        <v>#REF!</v>
      </c>
      <c r="N6" s="119" t="e">
        <f>Overview!AH9*Overview!$Z9/20*Results_energy_scenarios!$G6</f>
        <v>#REF!</v>
      </c>
      <c r="O6" s="119" t="e">
        <f>Overview!AI9*Overview!$Z9/20*Results_energy_scenarios!$G6</f>
        <v>#REF!</v>
      </c>
      <c r="P6" s="119" t="e">
        <f>Overview!AJ9*Overview!$Z9/20*Results_energy_scenarios!$G6</f>
        <v>#REF!</v>
      </c>
      <c r="Q6" s="119" t="e">
        <f>Overview!AK9*Overview!$Z9/20*Results_energy_scenarios!$G6</f>
        <v>#REF!</v>
      </c>
      <c r="R6" s="119" t="e">
        <f>Overview!AL9*Overview!$Z9/20*Results_energy_scenarios!$G6</f>
        <v>#REF!</v>
      </c>
      <c r="S6" s="119" t="e">
        <f>Overview!AM9*Overview!$Z9/20*Results_energy_scenarios!$G6</f>
        <v>#REF!</v>
      </c>
      <c r="T6" s="119" t="e">
        <f>Overview!AN9*Overview!$Z9/20*Results_energy_scenarios!$G6</f>
        <v>#REF!</v>
      </c>
      <c r="U6" s="119" t="e">
        <f>Overview!AO9*Overview!$Z9/20*Results_energy_scenarios!$G6</f>
        <v>#REF!</v>
      </c>
      <c r="V6" s="119" t="e">
        <f>Overview!AP9*Overview!$Z9/20*Results_energy_scenarios!$G6</f>
        <v>#REF!</v>
      </c>
      <c r="W6" s="119" t="e">
        <f>Overview!AQ9*Overview!$Z9/20*Results_energy_scenarios!$G6</f>
        <v>#REF!</v>
      </c>
      <c r="X6" s="119" t="e">
        <f>Overview!AR9*Overview!$Z9/20*Results_energy_scenarios!$G6</f>
        <v>#REF!</v>
      </c>
      <c r="Y6" s="119" t="e">
        <f>Overview!AS9*Overview!$Z9/20*Results_energy_scenarios!$G6</f>
        <v>#REF!</v>
      </c>
      <c r="Z6" s="118" t="e">
        <f>Overview!CP9*Overview!$Z9/20*Results_energy_scenarios!$G6</f>
        <v>#REF!</v>
      </c>
      <c r="AA6" s="119" t="e">
        <f>Overview!CQ9*Overview!$Z9/20*Results_energy_scenarios!$G6</f>
        <v>#REF!</v>
      </c>
      <c r="AB6" s="119" t="e">
        <f>Overview!CR9*Overview!$Z9/20*Results_energy_scenarios!$G6</f>
        <v>#REF!</v>
      </c>
      <c r="AC6" s="119" t="e">
        <f>Overview!CS9*Overview!$Z9/20*Results_energy_scenarios!$G6</f>
        <v>#REF!</v>
      </c>
      <c r="AD6" s="119" t="e">
        <f>Overview!CT9*Overview!$Z9/20*Results_energy_scenarios!$G6</f>
        <v>#REF!</v>
      </c>
      <c r="AE6" s="119" t="e">
        <f>Overview!CU9*Overview!$Z9/20*Results_energy_scenarios!$G6</f>
        <v>#REF!</v>
      </c>
      <c r="AF6" s="119" t="e">
        <f>Overview!CV9*Overview!$Z9/20*Results_energy_scenarios!$G6</f>
        <v>#REF!</v>
      </c>
      <c r="AG6" s="119" t="e">
        <f>Overview!CW9*Overview!$Z9/20*Results_energy_scenarios!$G6</f>
        <v>#REF!</v>
      </c>
      <c r="AH6" s="119" t="e">
        <f>Overview!CX9*Overview!$Z9/20*Results_energy_scenarios!$G6</f>
        <v>#REF!</v>
      </c>
      <c r="AI6" s="119" t="e">
        <f>Overview!CY9*Overview!$Z9/20*Results_energy_scenarios!$G6</f>
        <v>#REF!</v>
      </c>
      <c r="AJ6" s="119" t="e">
        <f>Overview!CZ9*Overview!$Z9/20*Results_energy_scenarios!$G6</f>
        <v>#REF!</v>
      </c>
      <c r="AK6" s="119" t="e">
        <f>Overview!DA9*Overview!$Z9/20*Results_energy_scenarios!$G6</f>
        <v>#REF!</v>
      </c>
      <c r="AL6" s="119" t="e">
        <f>Overview!DB9*Overview!$Z9/20*Results_energy_scenarios!$G6</f>
        <v>#REF!</v>
      </c>
      <c r="AM6" s="119" t="e">
        <f>Overview!DC9*Overview!$Z9/20*Results_energy_scenarios!$G6</f>
        <v>#REF!</v>
      </c>
      <c r="AN6" s="119" t="e">
        <f>Overview!DD9*Overview!$Z9/20*Results_energy_scenarios!$G6</f>
        <v>#REF!</v>
      </c>
      <c r="AO6" s="121" t="e">
        <f>Overview!DE9*Overview!$Z9/20*Results_energy_scenarios!$G6</f>
        <v>#REF!</v>
      </c>
    </row>
    <row r="7" spans="1:41">
      <c r="A7" t="s">
        <v>4</v>
      </c>
      <c r="B7" t="s">
        <v>361</v>
      </c>
      <c r="C7" s="157"/>
      <c r="D7" s="117" t="s">
        <v>81</v>
      </c>
      <c r="E7" s="103"/>
      <c r="F7">
        <f>Overview!G23</f>
        <v>73357.326753142683</v>
      </c>
      <c r="G7" s="103"/>
      <c r="H7" s="103"/>
      <c r="J7" s="100" t="e">
        <f>Overview!AD23*Overview!$AB23*Results_energy_scenarios!$F7</f>
        <v>#REF!</v>
      </c>
      <c r="K7" s="99" t="e">
        <f>Overview!AE23*Overview!$AB23*Results_energy_scenarios!$F7</f>
        <v>#REF!</v>
      </c>
      <c r="L7" s="99" t="e">
        <f>Overview!AF23*Overview!$AB23*Results_energy_scenarios!$F7</f>
        <v>#REF!</v>
      </c>
      <c r="M7" s="99" t="e">
        <f>Overview!AG23*Overview!$AB23*Results_energy_scenarios!$F7</f>
        <v>#REF!</v>
      </c>
      <c r="N7" s="99" t="e">
        <f>Overview!AH23*Overview!$AB23*Results_energy_scenarios!$F7</f>
        <v>#REF!</v>
      </c>
      <c r="O7" s="99" t="e">
        <f>Overview!AI23*Overview!$AB23*Results_energy_scenarios!$F7</f>
        <v>#REF!</v>
      </c>
      <c r="P7" s="99" t="e">
        <f>Overview!AJ23*Overview!$AB23*Results_energy_scenarios!$F7</f>
        <v>#REF!</v>
      </c>
      <c r="Q7" s="99" t="e">
        <f>Overview!AK23*Overview!$AB23*Results_energy_scenarios!$F7</f>
        <v>#REF!</v>
      </c>
      <c r="R7" s="99" t="e">
        <f>Overview!AL23*Overview!$AB23*Results_energy_scenarios!$F7</f>
        <v>#REF!</v>
      </c>
      <c r="S7" s="99" t="e">
        <f>Overview!AM23*Overview!$AB23*Results_energy_scenarios!$F7</f>
        <v>#REF!</v>
      </c>
      <c r="T7" s="99" t="e">
        <f>Overview!AN23*Overview!$AB23*Results_energy_scenarios!$F7</f>
        <v>#REF!</v>
      </c>
      <c r="U7" s="99" t="e">
        <f>Overview!AO23*Overview!$AB23*Results_energy_scenarios!$F7</f>
        <v>#REF!</v>
      </c>
      <c r="V7" s="99" t="e">
        <f>Overview!AP23*Overview!$AB23*Results_energy_scenarios!$F7</f>
        <v>#REF!</v>
      </c>
      <c r="W7" s="99" t="e">
        <f>Overview!AQ23*Overview!$AB23*Results_energy_scenarios!$F7</f>
        <v>#REF!</v>
      </c>
      <c r="X7" s="99" t="e">
        <f>Overview!AR23*Overview!$AB23*Results_energy_scenarios!$F7</f>
        <v>#REF!</v>
      </c>
      <c r="Y7" s="99" t="e">
        <f>Overview!AS23*Overview!$AB23*Results_energy_scenarios!$F7</f>
        <v>#REF!</v>
      </c>
      <c r="Z7" s="100" t="e">
        <f>Overview!CP23*Overview!$AB23*Results_energy_scenarios!$F7</f>
        <v>#REF!</v>
      </c>
      <c r="AA7" s="99" t="e">
        <f>Overview!CQ23*Overview!$AB23*Results_energy_scenarios!$F7</f>
        <v>#REF!</v>
      </c>
      <c r="AB7" s="99" t="e">
        <f>Overview!CR23*Overview!$AB23*Results_energy_scenarios!$F7</f>
        <v>#REF!</v>
      </c>
      <c r="AC7" s="99" t="e">
        <f>Overview!CS23*Overview!$AB23*Results_energy_scenarios!$F7</f>
        <v>#REF!</v>
      </c>
      <c r="AD7" s="99" t="e">
        <f>Overview!CT23*Overview!$AB23*Results_energy_scenarios!$F7</f>
        <v>#REF!</v>
      </c>
      <c r="AE7" s="99" t="e">
        <f>Overview!CU23*Overview!$AB23*Results_energy_scenarios!$F7</f>
        <v>#REF!</v>
      </c>
      <c r="AF7" s="99" t="e">
        <f>Overview!CV23*Overview!$AB23*Results_energy_scenarios!$F7</f>
        <v>#REF!</v>
      </c>
      <c r="AG7" s="99" t="e">
        <f>Overview!CW23*Overview!$AB23*Results_energy_scenarios!$F7</f>
        <v>#REF!</v>
      </c>
      <c r="AH7" s="99" t="e">
        <f>Overview!CX23*Overview!$AB23*Results_energy_scenarios!$F7</f>
        <v>#REF!</v>
      </c>
      <c r="AI7" s="99" t="e">
        <f>Overview!CY23*Overview!$AB23*Results_energy_scenarios!$F7</f>
        <v>#REF!</v>
      </c>
      <c r="AJ7" s="99" t="e">
        <f>Overview!CZ23*Overview!$AB23*Results_energy_scenarios!$F7</f>
        <v>#REF!</v>
      </c>
      <c r="AK7" s="99" t="e">
        <f>Overview!DA23*Overview!$AB23*Results_energy_scenarios!$F7</f>
        <v>#REF!</v>
      </c>
      <c r="AL7" s="99" t="e">
        <f>Overview!DB23*Overview!$AB23*Results_energy_scenarios!$F7</f>
        <v>#REF!</v>
      </c>
      <c r="AM7" s="99" t="e">
        <f>Overview!DC23*Overview!$AB23*Results_energy_scenarios!$F7</f>
        <v>#REF!</v>
      </c>
      <c r="AN7" s="99" t="e">
        <f>Overview!DD23*Overview!$AB23*Results_energy_scenarios!$F7</f>
        <v>#REF!</v>
      </c>
      <c r="AO7" s="101" t="e">
        <f>Overview!DE23*Overview!$AB23*Results_energy_scenarios!$F7</f>
        <v>#REF!</v>
      </c>
    </row>
    <row r="8" spans="1:41">
      <c r="A8" t="s">
        <v>4</v>
      </c>
      <c r="B8" t="s">
        <v>361</v>
      </c>
      <c r="D8" s="117" t="s">
        <v>338</v>
      </c>
      <c r="E8" s="103"/>
      <c r="F8" s="103"/>
      <c r="G8">
        <f>Overview!G26</f>
        <v>547.98003992663939</v>
      </c>
      <c r="H8">
        <f>Overview!C26</f>
        <v>0.1247697007032198</v>
      </c>
      <c r="J8" s="100" t="e">
        <f>Overview!AD26*Overview!$Z26/7*Results_energy_scenarios!$H8</f>
        <v>#REF!</v>
      </c>
      <c r="K8" s="99" t="e">
        <f>Overview!AE26*Overview!$Z26/7*Results_energy_scenarios!$H8</f>
        <v>#REF!</v>
      </c>
      <c r="L8" s="99" t="e">
        <f>Overview!AF26*Overview!$Z26/7*Results_energy_scenarios!$H8</f>
        <v>#REF!</v>
      </c>
      <c r="M8" s="99" t="e">
        <f>Overview!AG26*Overview!$Z26/7*Results_energy_scenarios!$H8</f>
        <v>#REF!</v>
      </c>
      <c r="N8" s="99" t="e">
        <f>Overview!AH26*Overview!$Z26/7*Results_energy_scenarios!$H8</f>
        <v>#REF!</v>
      </c>
      <c r="O8" s="99" t="e">
        <f>Overview!AI26*Overview!$Z26/7*Results_energy_scenarios!$H8</f>
        <v>#REF!</v>
      </c>
      <c r="P8" s="99" t="e">
        <f>Overview!AJ26*Overview!$Z26/7*Results_energy_scenarios!$H8</f>
        <v>#REF!</v>
      </c>
      <c r="Q8" s="99" t="e">
        <f>Overview!AK26*Overview!$Z26/7*Results_energy_scenarios!$H8</f>
        <v>#REF!</v>
      </c>
      <c r="R8" s="99" t="e">
        <f>Overview!AL26*Overview!$Z26/7*Results_energy_scenarios!$H8</f>
        <v>#REF!</v>
      </c>
      <c r="S8" s="99" t="e">
        <f>Overview!AM26*Overview!$Z26/7*Results_energy_scenarios!$H8</f>
        <v>#REF!</v>
      </c>
      <c r="T8" s="99" t="e">
        <f>Overview!AN26*Overview!$Z26/7*Results_energy_scenarios!$H8</f>
        <v>#REF!</v>
      </c>
      <c r="U8" s="99" t="e">
        <f>Overview!AO26*Overview!$Z26/7*Results_energy_scenarios!$H8</f>
        <v>#REF!</v>
      </c>
      <c r="V8" s="99" t="e">
        <f>Overview!AP26*Overview!$Z26/7*Results_energy_scenarios!$H8</f>
        <v>#REF!</v>
      </c>
      <c r="W8" s="99" t="e">
        <f>Overview!AQ26*Overview!$Z26/7*Results_energy_scenarios!$H8</f>
        <v>#REF!</v>
      </c>
      <c r="X8" s="99" t="e">
        <f>Overview!AR26*Overview!$Z26/7*Results_energy_scenarios!$H8</f>
        <v>#REF!</v>
      </c>
      <c r="Y8" s="99" t="e">
        <f>Overview!AS26*Overview!$Z26/7*Results_energy_scenarios!$H8</f>
        <v>#REF!</v>
      </c>
      <c r="Z8" s="100" t="e">
        <f>Overview!CP26*Overview!$Z26/7*Results_energy_scenarios!$H8</f>
        <v>#REF!</v>
      </c>
      <c r="AA8" s="99" t="e">
        <f>Overview!CQ26*Overview!$Z26/7*Results_energy_scenarios!$H8</f>
        <v>#REF!</v>
      </c>
      <c r="AB8" s="99" t="e">
        <f>Overview!CR26*Overview!$Z26/7*Results_energy_scenarios!$H8</f>
        <v>#REF!</v>
      </c>
      <c r="AC8" s="99" t="e">
        <f>Overview!CS26*Overview!$Z26/7*Results_energy_scenarios!$H8</f>
        <v>#REF!</v>
      </c>
      <c r="AD8" s="99" t="e">
        <f>Overview!CT26*Overview!$Z26/7*Results_energy_scenarios!$H8</f>
        <v>#REF!</v>
      </c>
      <c r="AE8" s="99" t="e">
        <f>Overview!CU26*Overview!$Z26/7*Results_energy_scenarios!$H8</f>
        <v>#REF!</v>
      </c>
      <c r="AF8" s="99" t="e">
        <f>Overview!CV26*Overview!$Z26/7*Results_energy_scenarios!$H8</f>
        <v>#REF!</v>
      </c>
      <c r="AG8" s="99" t="e">
        <f>Overview!CW26*Overview!$Z26/7*Results_energy_scenarios!$H8</f>
        <v>#REF!</v>
      </c>
      <c r="AH8" s="99" t="e">
        <f>Overview!CX26*Overview!$Z26/7*Results_energy_scenarios!$H8</f>
        <v>#REF!</v>
      </c>
      <c r="AI8" s="99" t="e">
        <f>Overview!CY26*Overview!$Z26/7*Results_energy_scenarios!$H8</f>
        <v>#REF!</v>
      </c>
      <c r="AJ8" s="99" t="e">
        <f>Overview!CZ26*Overview!$Z26/7*Results_energy_scenarios!$H8</f>
        <v>#REF!</v>
      </c>
      <c r="AK8" s="99" t="e">
        <f>Overview!DA26*Overview!$Z26/7*Results_energy_scenarios!$H8</f>
        <v>#REF!</v>
      </c>
      <c r="AL8" s="99" t="e">
        <f>Overview!DB26*Overview!$Z26/7*Results_energy_scenarios!$H8</f>
        <v>#REF!</v>
      </c>
      <c r="AM8" s="99" t="e">
        <f>Overview!DC26*Overview!$Z26/7*Results_energy_scenarios!$H8</f>
        <v>#REF!</v>
      </c>
      <c r="AN8" s="99" t="e">
        <f>Overview!DD26*Overview!$Z26/7*Results_energy_scenarios!$H8</f>
        <v>#REF!</v>
      </c>
      <c r="AO8" s="101" t="e">
        <f>Overview!DE26*Overview!$Z26/7*Results_energy_scenarios!$H8</f>
        <v>#REF!</v>
      </c>
    </row>
    <row r="9" spans="1:41">
      <c r="A9" t="s">
        <v>4</v>
      </c>
      <c r="B9" t="s">
        <v>361</v>
      </c>
      <c r="D9" s="114" t="s">
        <v>385</v>
      </c>
      <c r="E9" s="103"/>
      <c r="F9" s="103"/>
      <c r="G9">
        <v>37</v>
      </c>
      <c r="H9" s="103"/>
      <c r="J9" s="100" t="e">
        <f t="shared" ref="J9:S10" si="2">J$36*$G9</f>
        <v>#REF!</v>
      </c>
      <c r="K9" s="99" t="e">
        <f t="shared" si="2"/>
        <v>#REF!</v>
      </c>
      <c r="L9" s="99" t="e">
        <f t="shared" si="2"/>
        <v>#REF!</v>
      </c>
      <c r="M9" s="99" t="e">
        <f t="shared" si="2"/>
        <v>#REF!</v>
      </c>
      <c r="N9" s="99" t="e">
        <f t="shared" si="2"/>
        <v>#REF!</v>
      </c>
      <c r="O9" s="99" t="e">
        <f t="shared" si="2"/>
        <v>#REF!</v>
      </c>
      <c r="P9" s="99" t="e">
        <f t="shared" si="2"/>
        <v>#REF!</v>
      </c>
      <c r="Q9" s="99" t="e">
        <f t="shared" si="2"/>
        <v>#REF!</v>
      </c>
      <c r="R9" s="99" t="e">
        <f t="shared" si="2"/>
        <v>#REF!</v>
      </c>
      <c r="S9" s="99" t="e">
        <f t="shared" si="2"/>
        <v>#REF!</v>
      </c>
      <c r="T9" s="99" t="e">
        <f t="shared" ref="T9:AC10" si="3">T$36*$G9</f>
        <v>#REF!</v>
      </c>
      <c r="U9" s="99" t="e">
        <f t="shared" si="3"/>
        <v>#REF!</v>
      </c>
      <c r="V9" s="99" t="e">
        <f t="shared" si="3"/>
        <v>#REF!</v>
      </c>
      <c r="W9" s="99" t="e">
        <f t="shared" si="3"/>
        <v>#REF!</v>
      </c>
      <c r="X9" s="99" t="e">
        <f t="shared" si="3"/>
        <v>#REF!</v>
      </c>
      <c r="Y9" s="99" t="e">
        <f t="shared" si="3"/>
        <v>#REF!</v>
      </c>
      <c r="Z9" s="100" t="e">
        <f t="shared" si="3"/>
        <v>#REF!</v>
      </c>
      <c r="AA9" s="99" t="e">
        <f t="shared" si="3"/>
        <v>#REF!</v>
      </c>
      <c r="AB9" s="99" t="e">
        <f t="shared" si="3"/>
        <v>#REF!</v>
      </c>
      <c r="AC9" s="99" t="e">
        <f t="shared" si="3"/>
        <v>#REF!</v>
      </c>
      <c r="AD9" s="99" t="e">
        <f t="shared" ref="AD9:AO10" si="4">AD$36*$G9</f>
        <v>#REF!</v>
      </c>
      <c r="AE9" s="99" t="e">
        <f t="shared" si="4"/>
        <v>#REF!</v>
      </c>
      <c r="AF9" s="99" t="e">
        <f t="shared" si="4"/>
        <v>#REF!</v>
      </c>
      <c r="AG9" s="99" t="e">
        <f t="shared" si="4"/>
        <v>#REF!</v>
      </c>
      <c r="AH9" s="99" t="e">
        <f t="shared" si="4"/>
        <v>#REF!</v>
      </c>
      <c r="AI9" s="99" t="e">
        <f t="shared" si="4"/>
        <v>#REF!</v>
      </c>
      <c r="AJ9" s="99" t="e">
        <f t="shared" si="4"/>
        <v>#REF!</v>
      </c>
      <c r="AK9" s="99" t="e">
        <f t="shared" si="4"/>
        <v>#REF!</v>
      </c>
      <c r="AL9" s="99" t="e">
        <f t="shared" si="4"/>
        <v>#REF!</v>
      </c>
      <c r="AM9" s="99" t="e">
        <f t="shared" si="4"/>
        <v>#REF!</v>
      </c>
      <c r="AN9" s="99" t="e">
        <f t="shared" si="4"/>
        <v>#REF!</v>
      </c>
      <c r="AO9" s="101" t="e">
        <f t="shared" si="4"/>
        <v>#REF!</v>
      </c>
    </row>
    <row r="10" spans="1:41">
      <c r="A10" t="s">
        <v>4</v>
      </c>
      <c r="B10" t="s">
        <v>361</v>
      </c>
      <c r="D10" s="114" t="s">
        <v>386</v>
      </c>
      <c r="E10" s="103"/>
      <c r="F10" s="103"/>
      <c r="G10">
        <v>764</v>
      </c>
      <c r="H10" s="103"/>
      <c r="J10" s="100" t="e">
        <f t="shared" si="2"/>
        <v>#REF!</v>
      </c>
      <c r="K10" s="99" t="e">
        <f t="shared" si="2"/>
        <v>#REF!</v>
      </c>
      <c r="L10" s="99" t="e">
        <f t="shared" si="2"/>
        <v>#REF!</v>
      </c>
      <c r="M10" s="99" t="e">
        <f t="shared" si="2"/>
        <v>#REF!</v>
      </c>
      <c r="N10" s="99" t="e">
        <f t="shared" si="2"/>
        <v>#REF!</v>
      </c>
      <c r="O10" s="99" t="e">
        <f t="shared" si="2"/>
        <v>#REF!</v>
      </c>
      <c r="P10" s="99" t="e">
        <f t="shared" si="2"/>
        <v>#REF!</v>
      </c>
      <c r="Q10" s="99" t="e">
        <f t="shared" si="2"/>
        <v>#REF!</v>
      </c>
      <c r="R10" s="99" t="e">
        <f t="shared" si="2"/>
        <v>#REF!</v>
      </c>
      <c r="S10" s="99" t="e">
        <f t="shared" si="2"/>
        <v>#REF!</v>
      </c>
      <c r="T10" s="99" t="e">
        <f t="shared" si="3"/>
        <v>#REF!</v>
      </c>
      <c r="U10" s="99" t="e">
        <f t="shared" si="3"/>
        <v>#REF!</v>
      </c>
      <c r="V10" s="99" t="e">
        <f t="shared" si="3"/>
        <v>#REF!</v>
      </c>
      <c r="W10" s="99" t="e">
        <f t="shared" si="3"/>
        <v>#REF!</v>
      </c>
      <c r="X10" s="99" t="e">
        <f t="shared" si="3"/>
        <v>#REF!</v>
      </c>
      <c r="Y10" s="99" t="e">
        <f t="shared" si="3"/>
        <v>#REF!</v>
      </c>
      <c r="Z10" s="100" t="e">
        <f t="shared" si="3"/>
        <v>#REF!</v>
      </c>
      <c r="AA10" s="99" t="e">
        <f t="shared" si="3"/>
        <v>#REF!</v>
      </c>
      <c r="AB10" s="99" t="e">
        <f t="shared" si="3"/>
        <v>#REF!</v>
      </c>
      <c r="AC10" s="99" t="e">
        <f t="shared" si="3"/>
        <v>#REF!</v>
      </c>
      <c r="AD10" s="99" t="e">
        <f t="shared" si="4"/>
        <v>#REF!</v>
      </c>
      <c r="AE10" s="99" t="e">
        <f t="shared" si="4"/>
        <v>#REF!</v>
      </c>
      <c r="AF10" s="99" t="e">
        <f t="shared" si="4"/>
        <v>#REF!</v>
      </c>
      <c r="AG10" s="99" t="e">
        <f t="shared" si="4"/>
        <v>#REF!</v>
      </c>
      <c r="AH10" s="99" t="e">
        <f t="shared" si="4"/>
        <v>#REF!</v>
      </c>
      <c r="AI10" s="99" t="e">
        <f t="shared" si="4"/>
        <v>#REF!</v>
      </c>
      <c r="AJ10" s="99" t="e">
        <f t="shared" si="4"/>
        <v>#REF!</v>
      </c>
      <c r="AK10" s="99" t="e">
        <f t="shared" si="4"/>
        <v>#REF!</v>
      </c>
      <c r="AL10" s="99" t="e">
        <f t="shared" si="4"/>
        <v>#REF!</v>
      </c>
      <c r="AM10" s="99" t="e">
        <f t="shared" si="4"/>
        <v>#REF!</v>
      </c>
      <c r="AN10" s="99" t="e">
        <f t="shared" si="4"/>
        <v>#REF!</v>
      </c>
      <c r="AO10" s="101" t="e">
        <f t="shared" si="4"/>
        <v>#REF!</v>
      </c>
    </row>
    <row r="11" spans="1:41">
      <c r="A11" t="s">
        <v>4</v>
      </c>
      <c r="B11" t="s">
        <v>361</v>
      </c>
      <c r="D11" s="112" t="s">
        <v>358</v>
      </c>
      <c r="E11" s="103"/>
      <c r="F11" s="103"/>
      <c r="G11">
        <v>110</v>
      </c>
      <c r="H11">
        <f>Overview!C35/Overview!G35*Results_energy_scenarios!G11</f>
        <v>2.7667321730598767E-2</v>
      </c>
      <c r="J11" s="100" t="e">
        <f>Overview!AD35*Overview!$Z35/20*$H11</f>
        <v>#REF!</v>
      </c>
      <c r="K11" s="99" t="e">
        <f>Overview!AE35*Overview!$Z35/20*$H11</f>
        <v>#REF!</v>
      </c>
      <c r="L11" s="99" t="e">
        <f>Overview!AF35*Overview!$Z35/20*$H11</f>
        <v>#REF!</v>
      </c>
      <c r="M11" s="99" t="e">
        <f>Overview!AG35*Overview!$Z35/20*$H11</f>
        <v>#REF!</v>
      </c>
      <c r="N11" s="99" t="e">
        <f>Overview!AH35*Overview!$Z35/20*$H11</f>
        <v>#REF!</v>
      </c>
      <c r="O11" s="99" t="e">
        <f>Overview!AI35*Overview!$Z35/20*$H11</f>
        <v>#REF!</v>
      </c>
      <c r="P11" s="99" t="e">
        <f>Overview!AJ35*Overview!$Z35/20*$H11</f>
        <v>#REF!</v>
      </c>
      <c r="Q11" s="99" t="e">
        <f>Overview!AK35*Overview!$Z35/20*$H11</f>
        <v>#REF!</v>
      </c>
      <c r="R11" s="99" t="e">
        <f>Overview!AL35*Overview!$Z35/20*$H11</f>
        <v>#REF!</v>
      </c>
      <c r="S11" s="99" t="e">
        <f>Overview!AM35*Overview!$Z35/20*$H11</f>
        <v>#REF!</v>
      </c>
      <c r="T11" s="99" t="e">
        <f>Overview!AN35*Overview!$Z35/20*$H11</f>
        <v>#REF!</v>
      </c>
      <c r="U11" s="99" t="e">
        <f>Overview!AO35*Overview!$Z35/20*$H11</f>
        <v>#REF!</v>
      </c>
      <c r="V11" s="99" t="e">
        <f>Overview!AP35*Overview!$Z35/20*$H11</f>
        <v>#REF!</v>
      </c>
      <c r="W11" s="99" t="e">
        <f>Overview!AQ35*Overview!$Z35/20*$H11</f>
        <v>#REF!</v>
      </c>
      <c r="X11" s="99" t="e">
        <f>Overview!AR35*Overview!$Z35/20*$H11</f>
        <v>#REF!</v>
      </c>
      <c r="Y11" s="99" t="e">
        <f>Overview!AS35*Overview!$Z35/20*$H11</f>
        <v>#REF!</v>
      </c>
      <c r="Z11" s="100" t="e">
        <f>Overview!CP35*Overview!$Z35/20*$H11</f>
        <v>#REF!</v>
      </c>
      <c r="AA11" s="99" t="e">
        <f>Overview!CQ35*Overview!$Z35/20*$H11</f>
        <v>#REF!</v>
      </c>
      <c r="AB11" s="99" t="e">
        <f>Overview!CR35*Overview!$Z35/20*$H11</f>
        <v>#REF!</v>
      </c>
      <c r="AC11" s="99" t="e">
        <f>Overview!CS35*Overview!$Z35/20*$H11</f>
        <v>#REF!</v>
      </c>
      <c r="AD11" s="99" t="e">
        <f>Overview!CT35*Overview!$Z35/20*$H11</f>
        <v>#REF!</v>
      </c>
      <c r="AE11" s="99" t="e">
        <f>Overview!CU35*Overview!$Z35/20*$H11</f>
        <v>#REF!</v>
      </c>
      <c r="AF11" s="99" t="e">
        <f>Overview!CV35*Overview!$Z35/20*$H11</f>
        <v>#REF!</v>
      </c>
      <c r="AG11" s="99" t="e">
        <f>Overview!CW35*Overview!$Z35/20*$H11</f>
        <v>#REF!</v>
      </c>
      <c r="AH11" s="99" t="e">
        <f>Overview!CX35*Overview!$Z35/20*$H11</f>
        <v>#REF!</v>
      </c>
      <c r="AI11" s="99" t="e">
        <f>Overview!CY35*Overview!$Z35/20*$H11</f>
        <v>#REF!</v>
      </c>
      <c r="AJ11" s="99" t="e">
        <f>Overview!CZ35*Overview!$Z35/20*$H11</f>
        <v>#REF!</v>
      </c>
      <c r="AK11" s="99" t="e">
        <f>Overview!DA35*Overview!$Z35/20*$H11</f>
        <v>#REF!</v>
      </c>
      <c r="AL11" s="99" t="e">
        <f>Overview!DB35*Overview!$Z35/20*$H11</f>
        <v>#REF!</v>
      </c>
      <c r="AM11" s="99" t="e">
        <f>Overview!DC35*Overview!$Z35/20*$H11</f>
        <v>#REF!</v>
      </c>
      <c r="AN11" s="99" t="e">
        <f>Overview!DD35*Overview!$Z35/20*$H11</f>
        <v>#REF!</v>
      </c>
      <c r="AO11" s="101" t="e">
        <f>Overview!DE35*Overview!$Z35/20*$H11</f>
        <v>#REF!</v>
      </c>
    </row>
    <row r="12" spans="1:41">
      <c r="A12" t="s">
        <v>4</v>
      </c>
      <c r="B12" t="s">
        <v>361</v>
      </c>
      <c r="D12" s="114" t="s">
        <v>378</v>
      </c>
      <c r="E12" s="103"/>
      <c r="F12" s="103"/>
      <c r="G12">
        <f>5725/Overview!G35*Results_energy_scenarios!G11</f>
        <v>25.821636189430823</v>
      </c>
      <c r="H12" s="103"/>
      <c r="J12" s="100" t="e">
        <f t="shared" ref="J12:AO12" si="5">J$36*$G12</f>
        <v>#REF!</v>
      </c>
      <c r="K12" s="99" t="e">
        <f t="shared" si="5"/>
        <v>#REF!</v>
      </c>
      <c r="L12" s="99" t="e">
        <f t="shared" si="5"/>
        <v>#REF!</v>
      </c>
      <c r="M12" s="99" t="e">
        <f t="shared" si="5"/>
        <v>#REF!</v>
      </c>
      <c r="N12" s="99" t="e">
        <f t="shared" si="5"/>
        <v>#REF!</v>
      </c>
      <c r="O12" s="99" t="e">
        <f t="shared" si="5"/>
        <v>#REF!</v>
      </c>
      <c r="P12" s="99" t="e">
        <f t="shared" si="5"/>
        <v>#REF!</v>
      </c>
      <c r="Q12" s="99" t="e">
        <f t="shared" si="5"/>
        <v>#REF!</v>
      </c>
      <c r="R12" s="99" t="e">
        <f t="shared" si="5"/>
        <v>#REF!</v>
      </c>
      <c r="S12" s="99" t="e">
        <f t="shared" si="5"/>
        <v>#REF!</v>
      </c>
      <c r="T12" s="99" t="e">
        <f t="shared" si="5"/>
        <v>#REF!</v>
      </c>
      <c r="U12" s="99" t="e">
        <f t="shared" si="5"/>
        <v>#REF!</v>
      </c>
      <c r="V12" s="99" t="e">
        <f t="shared" si="5"/>
        <v>#REF!</v>
      </c>
      <c r="W12" s="99" t="e">
        <f t="shared" si="5"/>
        <v>#REF!</v>
      </c>
      <c r="X12" s="99" t="e">
        <f t="shared" si="5"/>
        <v>#REF!</v>
      </c>
      <c r="Y12" s="99" t="e">
        <f t="shared" si="5"/>
        <v>#REF!</v>
      </c>
      <c r="Z12" s="100" t="e">
        <f t="shared" si="5"/>
        <v>#REF!</v>
      </c>
      <c r="AA12" s="99" t="e">
        <f t="shared" si="5"/>
        <v>#REF!</v>
      </c>
      <c r="AB12" s="99" t="e">
        <f t="shared" si="5"/>
        <v>#REF!</v>
      </c>
      <c r="AC12" s="99" t="e">
        <f t="shared" si="5"/>
        <v>#REF!</v>
      </c>
      <c r="AD12" s="99" t="e">
        <f t="shared" si="5"/>
        <v>#REF!</v>
      </c>
      <c r="AE12" s="99" t="e">
        <f t="shared" si="5"/>
        <v>#REF!</v>
      </c>
      <c r="AF12" s="99" t="e">
        <f t="shared" si="5"/>
        <v>#REF!</v>
      </c>
      <c r="AG12" s="99" t="e">
        <f t="shared" si="5"/>
        <v>#REF!</v>
      </c>
      <c r="AH12" s="99" t="e">
        <f t="shared" si="5"/>
        <v>#REF!</v>
      </c>
      <c r="AI12" s="99" t="e">
        <f t="shared" si="5"/>
        <v>#REF!</v>
      </c>
      <c r="AJ12" s="99" t="e">
        <f t="shared" si="5"/>
        <v>#REF!</v>
      </c>
      <c r="AK12" s="99" t="e">
        <f t="shared" si="5"/>
        <v>#REF!</v>
      </c>
      <c r="AL12" s="99" t="e">
        <f t="shared" si="5"/>
        <v>#REF!</v>
      </c>
      <c r="AM12" s="99" t="e">
        <f t="shared" si="5"/>
        <v>#REF!</v>
      </c>
      <c r="AN12" s="99" t="e">
        <f t="shared" si="5"/>
        <v>#REF!</v>
      </c>
      <c r="AO12" s="101" t="e">
        <f t="shared" si="5"/>
        <v>#REF!</v>
      </c>
    </row>
    <row r="13" spans="1:41">
      <c r="A13" t="s">
        <v>4</v>
      </c>
      <c r="B13" t="s">
        <v>361</v>
      </c>
      <c r="C13" t="s">
        <v>357</v>
      </c>
      <c r="D13" s="113" t="s">
        <v>339</v>
      </c>
      <c r="E13" s="103"/>
      <c r="F13" s="103"/>
      <c r="G13">
        <f>Overview!G5</f>
        <v>38498</v>
      </c>
      <c r="H13" s="103"/>
      <c r="J13" s="100" t="e">
        <f>G13*Overview!AD5*Overview!$Z5</f>
        <v>#REF!</v>
      </c>
      <c r="K13" s="99" t="e">
        <f>Overview!$G5*Overview!AE5*Overview!$Z5</f>
        <v>#REF!</v>
      </c>
      <c r="L13" s="99" t="e">
        <f>Overview!$G5*Overview!AF5*Overview!$Z5</f>
        <v>#REF!</v>
      </c>
      <c r="M13" s="99" t="e">
        <f>Overview!$G5*Overview!AG5*Overview!$Z5</f>
        <v>#REF!</v>
      </c>
      <c r="N13" s="99" t="e">
        <f>Overview!$G5*Overview!AH5*Overview!$Z5</f>
        <v>#REF!</v>
      </c>
      <c r="O13" s="99" t="e">
        <f>Overview!$G5*Overview!AI5*Overview!$Z5</f>
        <v>#REF!</v>
      </c>
      <c r="P13" s="99" t="e">
        <f>Overview!$G5*Overview!AJ5*Overview!$Z5</f>
        <v>#REF!</v>
      </c>
      <c r="Q13" s="99" t="e">
        <f>Overview!$G5*Overview!AK5*Overview!$Z5</f>
        <v>#REF!</v>
      </c>
      <c r="R13" s="99" t="e">
        <f>Overview!$G5*Overview!AL5*Overview!$Z5</f>
        <v>#REF!</v>
      </c>
      <c r="S13" s="99" t="e">
        <f>Overview!$G5*Overview!AM5*Overview!$Z5</f>
        <v>#REF!</v>
      </c>
      <c r="T13" s="99" t="e">
        <f>Overview!$G5*Overview!AN5*Overview!$Z5</f>
        <v>#REF!</v>
      </c>
      <c r="U13" s="99" t="e">
        <f>Overview!$G5*Overview!AO5*Overview!$Z5</f>
        <v>#REF!</v>
      </c>
      <c r="V13" s="99" t="e">
        <f>Overview!$G5*Overview!AP5*Overview!$Z5</f>
        <v>#REF!</v>
      </c>
      <c r="W13" s="99" t="e">
        <f>Overview!$G5*Overview!AQ5*Overview!$Z5</f>
        <v>#REF!</v>
      </c>
      <c r="X13" s="99" t="e">
        <f>Overview!$G5*Overview!AR5*Overview!$Z5</f>
        <v>#REF!</v>
      </c>
      <c r="Y13" s="99" t="e">
        <f>Overview!$G5*Overview!AS5*Overview!$Z5</f>
        <v>#REF!</v>
      </c>
      <c r="Z13" s="100" t="e">
        <f>Overview!$G5*Overview!CP5*Overview!$Z5</f>
        <v>#REF!</v>
      </c>
      <c r="AA13" s="99" t="e">
        <f>Overview!$G5*Overview!CQ5*Overview!$Z5</f>
        <v>#REF!</v>
      </c>
      <c r="AB13" s="99" t="e">
        <f>Overview!$G5*Overview!CR5*Overview!$Z5</f>
        <v>#REF!</v>
      </c>
      <c r="AC13" s="99" t="e">
        <f>Overview!$G5*Overview!CS5*Overview!$Z5</f>
        <v>#REF!</v>
      </c>
      <c r="AD13" s="99" t="e">
        <f>Overview!$G5*Overview!CT5*Overview!$Z5</f>
        <v>#REF!</v>
      </c>
      <c r="AE13" s="99" t="e">
        <f>Overview!$G5*Overview!CU5*Overview!$Z5</f>
        <v>#REF!</v>
      </c>
      <c r="AF13" s="99" t="e">
        <f>Overview!$G5*Overview!CV5*Overview!$Z5</f>
        <v>#REF!</v>
      </c>
      <c r="AG13" s="99" t="e">
        <f>Overview!$G5*Overview!CW5*Overview!$Z5</f>
        <v>#REF!</v>
      </c>
      <c r="AH13" s="99" t="e">
        <f>Overview!$G5*Overview!CX5*Overview!$Z5</f>
        <v>#REF!</v>
      </c>
      <c r="AI13" s="99" t="e">
        <f>Overview!$G5*Overview!CY5*Overview!$Z5</f>
        <v>#REF!</v>
      </c>
      <c r="AJ13" s="99" t="e">
        <f>Overview!$G5*Overview!CZ5*Overview!$Z5</f>
        <v>#REF!</v>
      </c>
      <c r="AK13" s="99" t="e">
        <f>Overview!$G5*Overview!DA5*Overview!$Z5</f>
        <v>#REF!</v>
      </c>
      <c r="AL13" s="99" t="e">
        <f>Overview!$G5*Overview!DB5*Overview!$Z5</f>
        <v>#REF!</v>
      </c>
      <c r="AM13" s="99" t="e">
        <f>Overview!$G5*Overview!DC5*Overview!$Z5</f>
        <v>#REF!</v>
      </c>
      <c r="AN13" s="99" t="e">
        <f>Overview!$G5*Overview!DD5*Overview!$Z5</f>
        <v>#REF!</v>
      </c>
      <c r="AO13" s="101" t="e">
        <f>Overview!$G5*Overview!DE5*Overview!$Z5</f>
        <v>#REF!</v>
      </c>
    </row>
    <row r="14" spans="1:41">
      <c r="A14" t="s">
        <v>4</v>
      </c>
      <c r="B14" t="s">
        <v>361</v>
      </c>
      <c r="C14" t="s">
        <v>357</v>
      </c>
      <c r="D14" s="113" t="s">
        <v>340</v>
      </c>
      <c r="E14" s="103"/>
      <c r="F14" s="103"/>
      <c r="G14">
        <f>Overview!G10</f>
        <v>32723.45945613669</v>
      </c>
      <c r="H14">
        <f>Overview!C10</f>
        <v>9.4861040635476712</v>
      </c>
      <c r="I14" s="170">
        <f>G14/G26</f>
        <v>0.45940906622052768</v>
      </c>
      <c r="J14" s="100" t="e">
        <f>Overview!AD10*Overview!$Z10/17*Results_energy_scenarios!$H14</f>
        <v>#REF!</v>
      </c>
      <c r="K14" s="99" t="e">
        <f>Overview!AE10*Overview!$Z10/17*Results_energy_scenarios!$H14</f>
        <v>#REF!</v>
      </c>
      <c r="L14" s="99" t="e">
        <f>Overview!AF10*Overview!$Z10/17*Results_energy_scenarios!$H14</f>
        <v>#REF!</v>
      </c>
      <c r="M14" s="99" t="e">
        <f>Overview!AG10*Overview!$Z10/17*Results_energy_scenarios!$H14</f>
        <v>#REF!</v>
      </c>
      <c r="N14" s="99" t="e">
        <f>Overview!AH10*Overview!$Z10/17*Results_energy_scenarios!$H14</f>
        <v>#REF!</v>
      </c>
      <c r="O14" s="99" t="e">
        <f>Overview!AI10*Overview!$Z10/17*Results_energy_scenarios!$H14</f>
        <v>#REF!</v>
      </c>
      <c r="P14" s="99" t="e">
        <f>Overview!AJ10*Overview!$Z10/17*Results_energy_scenarios!$H14</f>
        <v>#REF!</v>
      </c>
      <c r="Q14" s="99" t="e">
        <f>Overview!AK10*Overview!$Z10/17*Results_energy_scenarios!$H14</f>
        <v>#REF!</v>
      </c>
      <c r="R14" s="99" t="e">
        <f>Overview!AL10*Overview!$Z10/17*Results_energy_scenarios!$H14</f>
        <v>#REF!</v>
      </c>
      <c r="S14" s="99" t="e">
        <f>Overview!AM10*Overview!$Z10/17*Results_energy_scenarios!$H14</f>
        <v>#REF!</v>
      </c>
      <c r="T14" s="99" t="e">
        <f>Overview!AN10*Overview!$Z10/17*Results_energy_scenarios!$H14</f>
        <v>#REF!</v>
      </c>
      <c r="U14" s="99" t="e">
        <f>Overview!AO10*Overview!$Z10/17*Results_energy_scenarios!$H14</f>
        <v>#REF!</v>
      </c>
      <c r="V14" s="99" t="e">
        <f>Overview!AP10*Overview!$Z10/17*Results_energy_scenarios!$H14</f>
        <v>#REF!</v>
      </c>
      <c r="W14" s="99" t="e">
        <f>Overview!AQ10*Overview!$Z10/17*Results_energy_scenarios!$H14</f>
        <v>#REF!</v>
      </c>
      <c r="X14" s="99" t="e">
        <f>Overview!AR10*Overview!$Z10/17*Results_energy_scenarios!$H14</f>
        <v>#REF!</v>
      </c>
      <c r="Y14" s="99" t="e">
        <f>Overview!AS10*Overview!$Z10/17*Results_energy_scenarios!$H14</f>
        <v>#REF!</v>
      </c>
      <c r="Z14" s="100" t="e">
        <f>Overview!CP10*Overview!$Z10/17*Results_energy_scenarios!$H14</f>
        <v>#REF!</v>
      </c>
      <c r="AA14" s="99" t="e">
        <f>Overview!CQ10*Overview!$Z10/17*Results_energy_scenarios!$H14</f>
        <v>#REF!</v>
      </c>
      <c r="AB14" s="99" t="e">
        <f>Overview!CR10*Overview!$Z10/17*Results_energy_scenarios!$H14</f>
        <v>#REF!</v>
      </c>
      <c r="AC14" s="99" t="e">
        <f>Overview!CS10*Overview!$Z10/17*Results_energy_scenarios!$H14</f>
        <v>#REF!</v>
      </c>
      <c r="AD14" s="99" t="e">
        <f>Overview!CT10*Overview!$Z10/17*Results_energy_scenarios!$H14</f>
        <v>#REF!</v>
      </c>
      <c r="AE14" s="99" t="e">
        <f>Overview!CU10*Overview!$Z10/17*Results_energy_scenarios!$H14</f>
        <v>#REF!</v>
      </c>
      <c r="AF14" s="99" t="e">
        <f>Overview!CV10*Overview!$Z10/17*Results_energy_scenarios!$H14</f>
        <v>#REF!</v>
      </c>
      <c r="AG14" s="99" t="e">
        <f>Overview!CW10*Overview!$Z10/17*Results_energy_scenarios!$H14</f>
        <v>#REF!</v>
      </c>
      <c r="AH14" s="99" t="e">
        <f>Overview!CX10*Overview!$Z10/17*Results_energy_scenarios!$H14</f>
        <v>#REF!</v>
      </c>
      <c r="AI14" s="99" t="e">
        <f>Overview!CY10*Overview!$Z10/17*Results_energy_scenarios!$H14</f>
        <v>#REF!</v>
      </c>
      <c r="AJ14" s="99" t="e">
        <f>Overview!CZ10*Overview!$Z10/17*Results_energy_scenarios!$H14</f>
        <v>#REF!</v>
      </c>
      <c r="AK14" s="99" t="e">
        <f>Overview!DA10*Overview!$Z10/17*Results_energy_scenarios!$H14</f>
        <v>#REF!</v>
      </c>
      <c r="AL14" s="99" t="e">
        <f>Overview!DB10*Overview!$Z10/17*Results_energy_scenarios!$H14</f>
        <v>#REF!</v>
      </c>
      <c r="AM14" s="99" t="e">
        <f>Overview!DC10*Overview!$Z10/17*Results_energy_scenarios!$H14</f>
        <v>#REF!</v>
      </c>
      <c r="AN14" s="99" t="e">
        <f>Overview!DD10*Overview!$Z10/17*Results_energy_scenarios!$H14</f>
        <v>#REF!</v>
      </c>
      <c r="AO14" s="101" t="e">
        <f>Overview!DE10*Overview!$Z10/17*Results_energy_scenarios!$H14</f>
        <v>#REF!</v>
      </c>
    </row>
    <row r="15" spans="1:41">
      <c r="A15" t="s">
        <v>4</v>
      </c>
      <c r="B15" t="s">
        <v>361</v>
      </c>
      <c r="C15" t="s">
        <v>357</v>
      </c>
      <c r="D15" s="112" t="s">
        <v>358</v>
      </c>
      <c r="E15" s="103"/>
      <c r="F15" s="103"/>
      <c r="G15">
        <f>energy_data_per_scenario!E27*1000</f>
        <v>19988</v>
      </c>
      <c r="H15">
        <f>Overview!C35/Overview!G35*Results_energy_scenarios!G15</f>
        <v>5.027403879556438</v>
      </c>
      <c r="I15" s="170">
        <f>G15/G26</f>
        <v>0.28061423114278539</v>
      </c>
      <c r="J15" s="100" t="e">
        <f>Overview!AD35*Overview!$Z35/20*Results_energy_scenarios!$H15</f>
        <v>#REF!</v>
      </c>
      <c r="K15" s="99" t="e">
        <f>Overview!AE35*Overview!$Z35/20*Results_energy_scenarios!$H15</f>
        <v>#REF!</v>
      </c>
      <c r="L15" s="99" t="e">
        <f>Overview!AF35*Overview!$Z35/20*Results_energy_scenarios!$H15</f>
        <v>#REF!</v>
      </c>
      <c r="M15" s="99" t="e">
        <f>Overview!AG35*Overview!$Z35/20*Results_energy_scenarios!$H15</f>
        <v>#REF!</v>
      </c>
      <c r="N15" s="99" t="e">
        <f>Overview!AH35*Overview!$Z35/20*Results_energy_scenarios!$H15</f>
        <v>#REF!</v>
      </c>
      <c r="O15" s="99" t="e">
        <f>Overview!AI35*Overview!$Z35/20*Results_energy_scenarios!$H15</f>
        <v>#REF!</v>
      </c>
      <c r="P15" s="99" t="e">
        <f>Overview!AJ35*Overview!$Z35/20*Results_energy_scenarios!$H15</f>
        <v>#REF!</v>
      </c>
      <c r="Q15" s="99" t="e">
        <f>Overview!AK35*Overview!$Z35/20*Results_energy_scenarios!$H15</f>
        <v>#REF!</v>
      </c>
      <c r="R15" s="99" t="e">
        <f>Overview!AL35*Overview!$Z35/20*Results_energy_scenarios!$H15</f>
        <v>#REF!</v>
      </c>
      <c r="S15" s="99" t="e">
        <f>Overview!AM35*Overview!$Z35/20*Results_energy_scenarios!$H15</f>
        <v>#REF!</v>
      </c>
      <c r="T15" s="99" t="e">
        <f>Overview!AN35*Overview!$Z35/20*Results_energy_scenarios!$H15</f>
        <v>#REF!</v>
      </c>
      <c r="U15" s="99" t="e">
        <f>Overview!AO35*Overview!$Z35/20*Results_energy_scenarios!$H15</f>
        <v>#REF!</v>
      </c>
      <c r="V15" s="99" t="e">
        <f>Overview!AP35*Overview!$Z35/20*Results_energy_scenarios!$H15</f>
        <v>#REF!</v>
      </c>
      <c r="W15" s="99" t="e">
        <f>Overview!AQ35*Overview!$Z35/20*Results_energy_scenarios!$H15</f>
        <v>#REF!</v>
      </c>
      <c r="X15" s="99" t="e">
        <f>Overview!AR35*Overview!$Z35/20*Results_energy_scenarios!$H15</f>
        <v>#REF!</v>
      </c>
      <c r="Y15" s="99" t="e">
        <f>Overview!AS35*Overview!$Z35/20*Results_energy_scenarios!$H15</f>
        <v>#REF!</v>
      </c>
      <c r="Z15" s="100" t="e">
        <f>Overview!CP35*Overview!$Z35/20*Results_energy_scenarios!$H15</f>
        <v>#REF!</v>
      </c>
      <c r="AA15" s="99" t="e">
        <f>Overview!CQ35*Overview!$Z35/20*Results_energy_scenarios!$H15</f>
        <v>#REF!</v>
      </c>
      <c r="AB15" s="99" t="e">
        <f>Overview!CR35*Overview!$Z35/20*Results_energy_scenarios!$H15</f>
        <v>#REF!</v>
      </c>
      <c r="AC15" s="99" t="e">
        <f>Overview!CS35*Overview!$Z35/20*Results_energy_scenarios!$H15</f>
        <v>#REF!</v>
      </c>
      <c r="AD15" s="99" t="e">
        <f>Overview!CT35*Overview!$Z35/20*Results_energy_scenarios!$H15</f>
        <v>#REF!</v>
      </c>
      <c r="AE15" s="99" t="e">
        <f>Overview!CU35*Overview!$Z35/20*Results_energy_scenarios!$H15</f>
        <v>#REF!</v>
      </c>
      <c r="AF15" s="99" t="e">
        <f>Overview!CV35*Overview!$Z35/20*Results_energy_scenarios!$H15</f>
        <v>#REF!</v>
      </c>
      <c r="AG15" s="99" t="e">
        <f>Overview!CW35*Overview!$Z35/20*Results_energy_scenarios!$H15</f>
        <v>#REF!</v>
      </c>
      <c r="AH15" s="99" t="e">
        <f>Overview!CX35*Overview!$Z35/20*Results_energy_scenarios!$H15</f>
        <v>#REF!</v>
      </c>
      <c r="AI15" s="99" t="e">
        <f>Overview!CY35*Overview!$Z35/20*Results_energy_scenarios!$H15</f>
        <v>#REF!</v>
      </c>
      <c r="AJ15" s="99" t="e">
        <f>Overview!CZ35*Overview!$Z35/20*Results_energy_scenarios!$H15</f>
        <v>#REF!</v>
      </c>
      <c r="AK15" s="99" t="e">
        <f>Overview!DA35*Overview!$Z35/20*Results_energy_scenarios!$H15</f>
        <v>#REF!</v>
      </c>
      <c r="AL15" s="99" t="e">
        <f>Overview!DB35*Overview!$Z35/20*Results_energy_scenarios!$H15</f>
        <v>#REF!</v>
      </c>
      <c r="AM15" s="99" t="e">
        <f>Overview!DC35*Overview!$Z35/20*Results_energy_scenarios!$H15</f>
        <v>#REF!</v>
      </c>
      <c r="AN15" s="99" t="e">
        <f>Overview!DD35*Overview!$Z35/20*Results_energy_scenarios!$H15</f>
        <v>#REF!</v>
      </c>
      <c r="AO15" s="101" t="e">
        <f>Overview!DE35*Overview!$Z35/20*Results_energy_scenarios!$H15</f>
        <v>#REF!</v>
      </c>
    </row>
    <row r="16" spans="1:41">
      <c r="A16" t="s">
        <v>4</v>
      </c>
      <c r="B16" t="s">
        <v>361</v>
      </c>
      <c r="C16" t="s">
        <v>357</v>
      </c>
      <c r="D16" s="114" t="s">
        <v>378</v>
      </c>
      <c r="E16" s="103"/>
      <c r="F16" s="103"/>
      <c r="G16">
        <f>5725/Overview!G35*Results_energy_scenarios!G15</f>
        <v>4692.0260377667573</v>
      </c>
      <c r="H16" s="103"/>
      <c r="I16" s="170"/>
      <c r="J16" s="100" t="e">
        <f>J$36*$G16</f>
        <v>#REF!</v>
      </c>
      <c r="K16" s="99" t="e">
        <f t="shared" ref="K16:AO16" si="6">K36*$G16</f>
        <v>#REF!</v>
      </c>
      <c r="L16" s="99" t="e">
        <f t="shared" si="6"/>
        <v>#REF!</v>
      </c>
      <c r="M16" s="99" t="e">
        <f t="shared" si="6"/>
        <v>#REF!</v>
      </c>
      <c r="N16" s="99" t="e">
        <f t="shared" si="6"/>
        <v>#REF!</v>
      </c>
      <c r="O16" s="99" t="e">
        <f t="shared" si="6"/>
        <v>#REF!</v>
      </c>
      <c r="P16" s="99" t="e">
        <f t="shared" si="6"/>
        <v>#REF!</v>
      </c>
      <c r="Q16" s="99" t="e">
        <f t="shared" si="6"/>
        <v>#REF!</v>
      </c>
      <c r="R16" s="99" t="e">
        <f t="shared" si="6"/>
        <v>#REF!</v>
      </c>
      <c r="S16" s="99" t="e">
        <f t="shared" si="6"/>
        <v>#REF!</v>
      </c>
      <c r="T16" s="99" t="e">
        <f t="shared" si="6"/>
        <v>#REF!</v>
      </c>
      <c r="U16" s="99" t="e">
        <f t="shared" si="6"/>
        <v>#REF!</v>
      </c>
      <c r="V16" s="99" t="e">
        <f t="shared" si="6"/>
        <v>#REF!</v>
      </c>
      <c r="W16" s="99" t="e">
        <f t="shared" si="6"/>
        <v>#REF!</v>
      </c>
      <c r="X16" s="99" t="e">
        <f t="shared" si="6"/>
        <v>#REF!</v>
      </c>
      <c r="Y16" s="99" t="e">
        <f t="shared" si="6"/>
        <v>#REF!</v>
      </c>
      <c r="Z16" s="100" t="e">
        <f t="shared" si="6"/>
        <v>#REF!</v>
      </c>
      <c r="AA16" s="99" t="e">
        <f t="shared" si="6"/>
        <v>#REF!</v>
      </c>
      <c r="AB16" s="99" t="e">
        <f t="shared" si="6"/>
        <v>#REF!</v>
      </c>
      <c r="AC16" s="99" t="e">
        <f t="shared" si="6"/>
        <v>#REF!</v>
      </c>
      <c r="AD16" s="99" t="e">
        <f t="shared" si="6"/>
        <v>#REF!</v>
      </c>
      <c r="AE16" s="99" t="e">
        <f t="shared" si="6"/>
        <v>#REF!</v>
      </c>
      <c r="AF16" s="99" t="e">
        <f t="shared" si="6"/>
        <v>#REF!</v>
      </c>
      <c r="AG16" s="99" t="e">
        <f t="shared" si="6"/>
        <v>#REF!</v>
      </c>
      <c r="AH16" s="99" t="e">
        <f t="shared" si="6"/>
        <v>#REF!</v>
      </c>
      <c r="AI16" s="99" t="e">
        <f t="shared" si="6"/>
        <v>#REF!</v>
      </c>
      <c r="AJ16" s="99" t="e">
        <f t="shared" si="6"/>
        <v>#REF!</v>
      </c>
      <c r="AK16" s="99" t="e">
        <f t="shared" si="6"/>
        <v>#REF!</v>
      </c>
      <c r="AL16" s="99" t="e">
        <f t="shared" si="6"/>
        <v>#REF!</v>
      </c>
      <c r="AM16" s="99" t="e">
        <f t="shared" si="6"/>
        <v>#REF!</v>
      </c>
      <c r="AN16" s="99" t="e">
        <f t="shared" si="6"/>
        <v>#REF!</v>
      </c>
      <c r="AO16" s="101" t="e">
        <f t="shared" si="6"/>
        <v>#REF!</v>
      </c>
    </row>
    <row r="17" spans="1:41">
      <c r="A17" t="s">
        <v>4</v>
      </c>
      <c r="B17" t="s">
        <v>361</v>
      </c>
      <c r="C17" t="s">
        <v>357</v>
      </c>
      <c r="D17" s="115" t="s">
        <v>343</v>
      </c>
      <c r="E17" s="103"/>
      <c r="F17" s="103"/>
      <c r="G17">
        <f>Overview!G12</f>
        <v>8.2304000679709957E-3</v>
      </c>
      <c r="H17">
        <f>Overview!C12</f>
        <v>2.313180616764692E-5</v>
      </c>
      <c r="I17" s="170"/>
      <c r="J17" s="100" t="e">
        <f>Overview!AD12*Overview!$Z12/20*Results_energy_scenarios!$H17+Overview!AD15*Overview!$Z15*Results_energy_scenarios!$G17</f>
        <v>#REF!</v>
      </c>
      <c r="K17" s="99" t="e">
        <f>Overview!AE12*Overview!$Z12/20*Results_energy_scenarios!$H17+Overview!AE15*Overview!$Z15*Results_energy_scenarios!$G17</f>
        <v>#REF!</v>
      </c>
      <c r="L17" s="99" t="e">
        <f>Overview!AF12*Overview!$Z12/20*Results_energy_scenarios!$H17+Overview!AF15*Overview!$Z15*Results_energy_scenarios!$G17</f>
        <v>#REF!</v>
      </c>
      <c r="M17" s="99" t="e">
        <f>Overview!AG12*Overview!$Z12/20*Results_energy_scenarios!$H17+Overview!AG15*Overview!$Z15*Results_energy_scenarios!$G17</f>
        <v>#REF!</v>
      </c>
      <c r="N17" s="99" t="e">
        <f>Overview!AH12*Overview!$Z12/20*Results_energy_scenarios!$H17+Overview!AH15*Overview!$Z15*Results_energy_scenarios!$G17</f>
        <v>#REF!</v>
      </c>
      <c r="O17" s="99" t="e">
        <f>Overview!AI12*Overview!$Z12/20*Results_energy_scenarios!$H17+Overview!AI15*Overview!$Z15*Results_energy_scenarios!$G17</f>
        <v>#REF!</v>
      </c>
      <c r="P17" s="99" t="e">
        <f>Overview!AJ12*Overview!$Z12/20*Results_energy_scenarios!$H17+Overview!AJ15*Overview!$Z15*Results_energy_scenarios!$G17</f>
        <v>#REF!</v>
      </c>
      <c r="Q17" s="99" t="e">
        <f>Overview!AK12*Overview!$Z12/20*Results_energy_scenarios!$H17+Overview!AK15*Overview!$Z15*Results_energy_scenarios!$G17</f>
        <v>#REF!</v>
      </c>
      <c r="R17" s="99" t="e">
        <f>Overview!AL12*Overview!$Z12/20*Results_energy_scenarios!$H17+Overview!AL15*Overview!$Z15*Results_energy_scenarios!$G17</f>
        <v>#REF!</v>
      </c>
      <c r="S17" s="99" t="e">
        <f>Overview!AM12*Overview!$Z12/20*Results_energy_scenarios!$H17+Overview!AM15*Overview!$Z15*Results_energy_scenarios!$G17</f>
        <v>#REF!</v>
      </c>
      <c r="T17" s="99" t="e">
        <f>Overview!AN12*Overview!$Z12/20*Results_energy_scenarios!$H17+Overview!AN15*Overview!$Z15*Results_energy_scenarios!$G17</f>
        <v>#REF!</v>
      </c>
      <c r="U17" s="99" t="e">
        <f>Overview!AO12*Overview!$Z12/20*Results_energy_scenarios!$H17+Overview!AO15*Overview!$Z15*Results_energy_scenarios!$G17</f>
        <v>#REF!</v>
      </c>
      <c r="V17" s="99" t="e">
        <f>Overview!AP12*Overview!$Z12/20*Results_energy_scenarios!$H17+Overview!AP15*Overview!$Z15*Results_energy_scenarios!$G17</f>
        <v>#REF!</v>
      </c>
      <c r="W17" s="99" t="e">
        <f>Overview!AQ12*Overview!$Z12/20*Results_energy_scenarios!$H17+Overview!AQ15*Overview!$Z15*Results_energy_scenarios!$G17</f>
        <v>#REF!</v>
      </c>
      <c r="X17" s="99" t="e">
        <f>Overview!AR12*Overview!$Z12/20*Results_energy_scenarios!$H17+Overview!AR15*Overview!$Z15*Results_energy_scenarios!$G17</f>
        <v>#REF!</v>
      </c>
      <c r="Y17" s="99" t="e">
        <f>Overview!AS12*Overview!$Z12/20*Results_energy_scenarios!$H17+Overview!AS15*Overview!$Z15*Results_energy_scenarios!$G17</f>
        <v>#REF!</v>
      </c>
      <c r="Z17" s="100" t="e">
        <f>Overview!CP12*Overview!$Z12/20*Results_energy_scenarios!$H17+Overview!CP15*Overview!$Z15*Results_energy_scenarios!$G17</f>
        <v>#REF!</v>
      </c>
      <c r="AA17" s="99" t="e">
        <f>Overview!CQ12*Overview!$Z12/20*Results_energy_scenarios!$H17+Overview!CQ15*Overview!$Z15*Results_energy_scenarios!$G17</f>
        <v>#REF!</v>
      </c>
      <c r="AB17" s="99" t="e">
        <f>Overview!CR12*Overview!$Z12/20*Results_energy_scenarios!$H17+Overview!CR15*Overview!$Z15*Results_energy_scenarios!$G17</f>
        <v>#REF!</v>
      </c>
      <c r="AC17" s="99" t="e">
        <f>Overview!CS12*Overview!$Z12/20*Results_energy_scenarios!$H17+Overview!CS15*Overview!$Z15*Results_energy_scenarios!$G17</f>
        <v>#REF!</v>
      </c>
      <c r="AD17" s="99" t="e">
        <f>Overview!CT12*Overview!$Z12/20*Results_energy_scenarios!$H17+Overview!CT15*Overview!$Z15*Results_energy_scenarios!$G17</f>
        <v>#REF!</v>
      </c>
      <c r="AE17" s="99" t="e">
        <f>Overview!CU12*Overview!$Z12/20*Results_energy_scenarios!$H17+Overview!CU15*Overview!$Z15*Results_energy_scenarios!$G17</f>
        <v>#REF!</v>
      </c>
      <c r="AF17" s="99" t="e">
        <f>Overview!CV12*Overview!$Z12/20*Results_energy_scenarios!$H17+Overview!CV15*Overview!$Z15*Results_energy_scenarios!$G17</f>
        <v>#REF!</v>
      </c>
      <c r="AG17" s="99" t="e">
        <f>Overview!CW12*Overview!$Z12/20*Results_energy_scenarios!$H17+Overview!CW15*Overview!$Z15*Results_energy_scenarios!$G17</f>
        <v>#REF!</v>
      </c>
      <c r="AH17" s="99" t="e">
        <f>Overview!CX12*Overview!$Z12/20*Results_energy_scenarios!$H17+Overview!CX15*Overview!$Z15*Results_energy_scenarios!$G17</f>
        <v>#REF!</v>
      </c>
      <c r="AI17" s="99" t="e">
        <f>Overview!CY12*Overview!$Z12/20*Results_energy_scenarios!$H17+Overview!CY15*Overview!$Z15*Results_energy_scenarios!$G17</f>
        <v>#REF!</v>
      </c>
      <c r="AJ17" s="99" t="e">
        <f>Overview!CZ12*Overview!$Z12/20*Results_energy_scenarios!$H17+Overview!CZ15*Overview!$Z15*Results_energy_scenarios!$G17</f>
        <v>#REF!</v>
      </c>
      <c r="AK17" s="99" t="e">
        <f>Overview!DA12*Overview!$Z12/20*Results_energy_scenarios!$H17+Overview!DA15*Overview!$Z15*Results_energy_scenarios!$G17</f>
        <v>#REF!</v>
      </c>
      <c r="AL17" s="99" t="e">
        <f>Overview!DB12*Overview!$Z12/20*Results_energy_scenarios!$H17+Overview!DB15*Overview!$Z15*Results_energy_scenarios!$G17</f>
        <v>#REF!</v>
      </c>
      <c r="AM17" s="99" t="e">
        <f>Overview!DC12*Overview!$Z12/20*Results_energy_scenarios!$H17+Overview!DC15*Overview!$Z15*Results_energy_scenarios!$G17</f>
        <v>#REF!</v>
      </c>
      <c r="AN17" s="99" t="e">
        <f>Overview!DD12*Overview!$Z12/20*Results_energy_scenarios!$H17+Overview!DD15*Overview!$Z15*Results_energy_scenarios!$G17</f>
        <v>#REF!</v>
      </c>
      <c r="AO17" s="101" t="e">
        <f>Overview!DE12*Overview!$Z12/20*Results_energy_scenarios!$H17+Overview!DE15*Overview!$Z15*Results_energy_scenarios!$G17</f>
        <v>#REF!</v>
      </c>
    </row>
    <row r="18" spans="1:41">
      <c r="A18" t="s">
        <v>4</v>
      </c>
      <c r="B18" t="s">
        <v>361</v>
      </c>
      <c r="C18" t="s">
        <v>357</v>
      </c>
      <c r="D18" s="116" t="s">
        <v>348</v>
      </c>
      <c r="E18" s="103"/>
      <c r="F18" s="103"/>
      <c r="G18">
        <v>2398</v>
      </c>
      <c r="H18">
        <f>Overview!C21</f>
        <v>0.67944058724160183</v>
      </c>
      <c r="I18" s="170">
        <f>G18/G26</f>
        <v>3.3665845821512878E-2</v>
      </c>
      <c r="J18" s="100" t="e">
        <f>Overview!AD21*Overview!$Z21/20*Results_energy_scenarios!$H18</f>
        <v>#REF!</v>
      </c>
      <c r="K18" s="99" t="e">
        <f>Overview!AE21*Overview!$Z21/20*Results_energy_scenarios!$H18</f>
        <v>#REF!</v>
      </c>
      <c r="L18" s="99" t="e">
        <f>Overview!AF21*Overview!$Z21/20*Results_energy_scenarios!$H18</f>
        <v>#REF!</v>
      </c>
      <c r="M18" s="99" t="e">
        <f>Overview!AG21*Overview!$Z21/20*Results_energy_scenarios!$H18</f>
        <v>#REF!</v>
      </c>
      <c r="N18" s="99" t="e">
        <f>Overview!AH21*Overview!$Z21/20*Results_energy_scenarios!$H18</f>
        <v>#REF!</v>
      </c>
      <c r="O18" s="99" t="e">
        <f>Overview!AI21*Overview!$Z21/20*Results_energy_scenarios!$H18</f>
        <v>#REF!</v>
      </c>
      <c r="P18" s="99" t="e">
        <f>Overview!AJ21*Overview!$Z21/20*Results_energy_scenarios!$H18</f>
        <v>#REF!</v>
      </c>
      <c r="Q18" s="99" t="e">
        <f>Overview!AK21*Overview!$Z21/20*Results_energy_scenarios!$H18</f>
        <v>#REF!</v>
      </c>
      <c r="R18" s="99" t="e">
        <f>Overview!AL21*Overview!$Z21/20*Results_energy_scenarios!$H18</f>
        <v>#REF!</v>
      </c>
      <c r="S18" s="99" t="e">
        <f>Overview!AM21*Overview!$Z21/20*Results_energy_scenarios!$H18</f>
        <v>#REF!</v>
      </c>
      <c r="T18" s="99" t="e">
        <f>Overview!AN21*Overview!$Z21/20*Results_energy_scenarios!$H18</f>
        <v>#REF!</v>
      </c>
      <c r="U18" s="99" t="e">
        <f>Overview!AO21*Overview!$Z21/20*Results_energy_scenarios!$H18</f>
        <v>#REF!</v>
      </c>
      <c r="V18" s="99" t="e">
        <f>Overview!AP21*Overview!$Z21/20*Results_energy_scenarios!$H18</f>
        <v>#REF!</v>
      </c>
      <c r="W18" s="99" t="e">
        <f>Overview!AQ21*Overview!$Z21/20*Results_energy_scenarios!$H18</f>
        <v>#REF!</v>
      </c>
      <c r="X18" s="99" t="e">
        <f>Overview!AR21*Overview!$Z21/20*Results_energy_scenarios!$H18</f>
        <v>#REF!</v>
      </c>
      <c r="Y18" s="99" t="e">
        <f>Overview!AS21*Overview!$Z21/20*Results_energy_scenarios!$H18</f>
        <v>#REF!</v>
      </c>
      <c r="Z18" s="100" t="e">
        <f>Overview!CP21*Overview!$Z21/20*Results_energy_scenarios!$H18</f>
        <v>#REF!</v>
      </c>
      <c r="AA18" s="99" t="e">
        <f>Overview!CQ21*Overview!$Z21/20*Results_energy_scenarios!$H18</f>
        <v>#REF!</v>
      </c>
      <c r="AB18" s="99" t="e">
        <f>Overview!CR21*Overview!$Z21/20*Results_energy_scenarios!$H18</f>
        <v>#REF!</v>
      </c>
      <c r="AC18" s="99" t="e">
        <f>Overview!CS21*Overview!$Z21/20*Results_energy_scenarios!$H18</f>
        <v>#REF!</v>
      </c>
      <c r="AD18" s="99" t="e">
        <f>Overview!CT21*Overview!$Z21/20*Results_energy_scenarios!$H18</f>
        <v>#REF!</v>
      </c>
      <c r="AE18" s="99" t="e">
        <f>Overview!CU21*Overview!$Z21/20*Results_energy_scenarios!$H18</f>
        <v>#REF!</v>
      </c>
      <c r="AF18" s="99" t="e">
        <f>Overview!CV21*Overview!$Z21/20*Results_energy_scenarios!$H18</f>
        <v>#REF!</v>
      </c>
      <c r="AG18" s="99" t="e">
        <f>Overview!CW21*Overview!$Z21/20*Results_energy_scenarios!$H18</f>
        <v>#REF!</v>
      </c>
      <c r="AH18" s="99" t="e">
        <f>Overview!CX21*Overview!$Z21/20*Results_energy_scenarios!$H18</f>
        <v>#REF!</v>
      </c>
      <c r="AI18" s="99" t="e">
        <f>Overview!CY21*Overview!$Z21/20*Results_energy_scenarios!$H18</f>
        <v>#REF!</v>
      </c>
      <c r="AJ18" s="99" t="e">
        <f>Overview!CZ21*Overview!$Z21/20*Results_energy_scenarios!$H18</f>
        <v>#REF!</v>
      </c>
      <c r="AK18" s="99" t="e">
        <f>Overview!DA21*Overview!$Z21/20*Results_energy_scenarios!$H18</f>
        <v>#REF!</v>
      </c>
      <c r="AL18" s="99" t="e">
        <f>Overview!DB21*Overview!$Z21/20*Results_energy_scenarios!$H18</f>
        <v>#REF!</v>
      </c>
      <c r="AM18" s="99" t="e">
        <f>Overview!DC21*Overview!$Z21/20*Results_energy_scenarios!$H18</f>
        <v>#REF!</v>
      </c>
      <c r="AN18" s="99" t="e">
        <f>Overview!DD21*Overview!$Z21/20*Results_energy_scenarios!$H18</f>
        <v>#REF!</v>
      </c>
      <c r="AO18" s="101" t="e">
        <f>Overview!DE21*Overview!$Z21/20*Results_energy_scenarios!$H18</f>
        <v>#REF!</v>
      </c>
    </row>
    <row r="19" spans="1:41" ht="16" customHeight="1">
      <c r="A19" t="s">
        <v>4</v>
      </c>
      <c r="B19" t="s">
        <v>361</v>
      </c>
      <c r="C19" t="s">
        <v>357</v>
      </c>
      <c r="D19" s="115" t="s">
        <v>322</v>
      </c>
      <c r="E19" s="103"/>
      <c r="F19" s="103"/>
      <c r="G19">
        <v>5330</v>
      </c>
      <c r="H19" s="103"/>
      <c r="I19" s="170"/>
      <c r="J19" s="100" t="e">
        <f t="shared" ref="J19:AO19" si="7">J3/$G3*$G19</f>
        <v>#REF!</v>
      </c>
      <c r="K19" s="99" t="e">
        <f t="shared" si="7"/>
        <v>#REF!</v>
      </c>
      <c r="L19" s="99" t="e">
        <f t="shared" si="7"/>
        <v>#REF!</v>
      </c>
      <c r="M19" s="99" t="e">
        <f t="shared" si="7"/>
        <v>#REF!</v>
      </c>
      <c r="N19" s="99" t="e">
        <f t="shared" si="7"/>
        <v>#REF!</v>
      </c>
      <c r="O19" s="99" t="e">
        <f t="shared" si="7"/>
        <v>#REF!</v>
      </c>
      <c r="P19" s="99" t="e">
        <f t="shared" si="7"/>
        <v>#REF!</v>
      </c>
      <c r="Q19" s="99" t="e">
        <f t="shared" si="7"/>
        <v>#REF!</v>
      </c>
      <c r="R19" s="99" t="e">
        <f t="shared" si="7"/>
        <v>#REF!</v>
      </c>
      <c r="S19" s="99" t="e">
        <f t="shared" si="7"/>
        <v>#REF!</v>
      </c>
      <c r="T19" s="99" t="e">
        <f t="shared" si="7"/>
        <v>#REF!</v>
      </c>
      <c r="U19" s="99" t="e">
        <f t="shared" si="7"/>
        <v>#REF!</v>
      </c>
      <c r="V19" s="99" t="e">
        <f t="shared" si="7"/>
        <v>#REF!</v>
      </c>
      <c r="W19" s="99" t="e">
        <f t="shared" si="7"/>
        <v>#REF!</v>
      </c>
      <c r="X19" s="99" t="e">
        <f t="shared" si="7"/>
        <v>#REF!</v>
      </c>
      <c r="Y19" s="99" t="e">
        <f t="shared" si="7"/>
        <v>#REF!</v>
      </c>
      <c r="Z19" s="100" t="e">
        <f t="shared" si="7"/>
        <v>#REF!</v>
      </c>
      <c r="AA19" s="99" t="e">
        <f t="shared" si="7"/>
        <v>#REF!</v>
      </c>
      <c r="AB19" s="99" t="e">
        <f t="shared" si="7"/>
        <v>#REF!</v>
      </c>
      <c r="AC19" s="99" t="e">
        <f t="shared" si="7"/>
        <v>#REF!</v>
      </c>
      <c r="AD19" s="99" t="e">
        <f t="shared" si="7"/>
        <v>#REF!</v>
      </c>
      <c r="AE19" s="99" t="e">
        <f t="shared" si="7"/>
        <v>#REF!</v>
      </c>
      <c r="AF19" s="99" t="e">
        <f t="shared" si="7"/>
        <v>#REF!</v>
      </c>
      <c r="AG19" s="99" t="e">
        <f t="shared" si="7"/>
        <v>#REF!</v>
      </c>
      <c r="AH19" s="99" t="e">
        <f t="shared" si="7"/>
        <v>#REF!</v>
      </c>
      <c r="AI19" s="99" t="e">
        <f t="shared" si="7"/>
        <v>#REF!</v>
      </c>
      <c r="AJ19" s="99" t="e">
        <f t="shared" si="7"/>
        <v>#REF!</v>
      </c>
      <c r="AK19" s="99" t="e">
        <f t="shared" si="7"/>
        <v>#REF!</v>
      </c>
      <c r="AL19" s="99" t="e">
        <f t="shared" si="7"/>
        <v>#REF!</v>
      </c>
      <c r="AM19" s="99" t="e">
        <f t="shared" si="7"/>
        <v>#REF!</v>
      </c>
      <c r="AN19" s="99" t="e">
        <f t="shared" si="7"/>
        <v>#REF!</v>
      </c>
      <c r="AO19" s="101" t="e">
        <f t="shared" si="7"/>
        <v>#REF!</v>
      </c>
    </row>
    <row r="20" spans="1:41">
      <c r="A20" t="s">
        <v>4</v>
      </c>
      <c r="B20" t="s">
        <v>361</v>
      </c>
      <c r="C20" t="s">
        <v>329</v>
      </c>
      <c r="D20" s="115" t="s">
        <v>343</v>
      </c>
      <c r="E20" s="103"/>
      <c r="F20" s="103"/>
      <c r="G20">
        <f>energy_data_per_scenario!E17*1000</f>
        <v>5702</v>
      </c>
      <c r="H20">
        <f>Overview!C13</f>
        <v>0.64918926947473365</v>
      </c>
      <c r="I20" s="170">
        <f>G20/G26</f>
        <v>8.0051147987600671E-2</v>
      </c>
      <c r="J20" s="100" t="e">
        <f>Overview!AD13*Overview!$Z13/20*Results_energy_scenarios!$H20+Overview!AD14*Overview!$Z14*Results_energy_scenarios!$G20</f>
        <v>#REF!</v>
      </c>
      <c r="K20" s="99" t="e">
        <f>Overview!AE13*Overview!$Z13/20*Results_energy_scenarios!$H20+Overview!AE14*Overview!$Z14*Results_energy_scenarios!$G20</f>
        <v>#REF!</v>
      </c>
      <c r="L20" s="99" t="e">
        <f>Overview!AF13*Overview!$Z13/20*Results_energy_scenarios!$H20+Overview!AF14*Overview!$Z14*Results_energy_scenarios!$G20</f>
        <v>#REF!</v>
      </c>
      <c r="M20" s="99" t="e">
        <f>Overview!AG13*Overview!$Z13/20*Results_energy_scenarios!$H20+Overview!AG14*Overview!$Z14*Results_energy_scenarios!$G20</f>
        <v>#REF!</v>
      </c>
      <c r="N20" s="99" t="e">
        <f>Overview!AH13*Overview!$Z13/20*Results_energy_scenarios!$H20+Overview!AH14*Overview!$Z14*Results_energy_scenarios!$G20</f>
        <v>#REF!</v>
      </c>
      <c r="O20" s="99" t="e">
        <f>Overview!AI13*Overview!$Z13/20*Results_energy_scenarios!$H20+Overview!AI14*Overview!$Z14*Results_energy_scenarios!$G20</f>
        <v>#REF!</v>
      </c>
      <c r="P20" s="99" t="e">
        <f>Overview!AJ13*Overview!$Z13/20*Results_energy_scenarios!$H20+Overview!AJ14*Overview!$Z14*Results_energy_scenarios!$G20</f>
        <v>#REF!</v>
      </c>
      <c r="Q20" s="99" t="e">
        <f>Overview!AK13*Overview!$Z13/20*Results_energy_scenarios!$H20+Overview!AK14*Overview!$Z14*Results_energy_scenarios!$G20</f>
        <v>#REF!</v>
      </c>
      <c r="R20" s="99" t="e">
        <f>Overview!AL13*Overview!$Z13/20*Results_energy_scenarios!$H20+Overview!AL14*Overview!$Z14*Results_energy_scenarios!$G20</f>
        <v>#REF!</v>
      </c>
      <c r="S20" s="99" t="e">
        <f>Overview!AM13*Overview!$Z13/20*Results_energy_scenarios!$H20+Overview!AM14*Overview!$Z14*Results_energy_scenarios!$G20</f>
        <v>#REF!</v>
      </c>
      <c r="T20" s="99" t="e">
        <f>Overview!AN13*Overview!$Z13/20*Results_energy_scenarios!$H20+Overview!AN14*Overview!$Z14*Results_energy_scenarios!$G20</f>
        <v>#REF!</v>
      </c>
      <c r="U20" s="99" t="e">
        <f>Overview!AO13*Overview!$Z13/20*Results_energy_scenarios!$H20+Overview!AO14*Overview!$Z14*Results_energy_scenarios!$G20</f>
        <v>#REF!</v>
      </c>
      <c r="V20" s="99" t="e">
        <f>Overview!AP13*Overview!$Z13/20*Results_energy_scenarios!$H20+Overview!AP14*Overview!$Z14*Results_energy_scenarios!$G20</f>
        <v>#REF!</v>
      </c>
      <c r="W20" s="99" t="e">
        <f>Overview!AQ13*Overview!$Z13/20*Results_energy_scenarios!$H20+Overview!AQ14*Overview!$Z14*Results_energy_scenarios!$G20</f>
        <v>#REF!</v>
      </c>
      <c r="X20" s="99" t="e">
        <f>Overview!AR13*Overview!$Z13/20*Results_energy_scenarios!$H20+Overview!AR14*Overview!$Z14*Results_energy_scenarios!$G20</f>
        <v>#REF!</v>
      </c>
      <c r="Y20" s="99" t="e">
        <f>Overview!AS13*Overview!$Z13/20*Results_energy_scenarios!$H20+Overview!AS14*Overview!$Z14*Results_energy_scenarios!$G20</f>
        <v>#REF!</v>
      </c>
      <c r="Z20" s="100" t="e">
        <f>Overview!CP13*Overview!$Z13/20*Results_energy_scenarios!$H20+Overview!CP14*Overview!$Z14*Results_energy_scenarios!$G20</f>
        <v>#REF!</v>
      </c>
      <c r="AA20" s="99" t="e">
        <f>Overview!CQ13*Overview!$Z13/20*Results_energy_scenarios!$H20+Overview!CQ14*Overview!$Z14*Results_energy_scenarios!$G20</f>
        <v>#REF!</v>
      </c>
      <c r="AB20" s="99" t="e">
        <f>Overview!CR13*Overview!$Z13/20*Results_energy_scenarios!$H20+Overview!CR14*Overview!$Z14*Results_energy_scenarios!$G20</f>
        <v>#REF!</v>
      </c>
      <c r="AC20" s="99" t="e">
        <f>Overview!CS13*Overview!$Z13/20*Results_energy_scenarios!$H20+Overview!CS14*Overview!$Z14*Results_energy_scenarios!$G20</f>
        <v>#REF!</v>
      </c>
      <c r="AD20" s="99" t="e">
        <f>Overview!CT13*Overview!$Z13/20*Results_energy_scenarios!$H20+Overview!CT14*Overview!$Z14*Results_energy_scenarios!$G20</f>
        <v>#REF!</v>
      </c>
      <c r="AE20" s="99" t="e">
        <f>Overview!CU13*Overview!$Z13/20*Results_energy_scenarios!$H20+Overview!CU14*Overview!$Z14*Results_energy_scenarios!$G20</f>
        <v>#REF!</v>
      </c>
      <c r="AF20" s="99" t="e">
        <f>Overview!CV13*Overview!$Z13/20*Results_energy_scenarios!$H20+Overview!CV14*Overview!$Z14*Results_energy_scenarios!$G20</f>
        <v>#REF!</v>
      </c>
      <c r="AG20" s="99" t="e">
        <f>Overview!CW13*Overview!$Z13/20*Results_energy_scenarios!$H20+Overview!CW14*Overview!$Z14*Results_energy_scenarios!$G20</f>
        <v>#REF!</v>
      </c>
      <c r="AH20" s="99" t="e">
        <f>Overview!CX13*Overview!$Z13/20*Results_energy_scenarios!$H20+Overview!CX14*Overview!$Z14*Results_energy_scenarios!$G20</f>
        <v>#REF!</v>
      </c>
      <c r="AI20" s="99" t="e">
        <f>Overview!CY13*Overview!$Z13/20*Results_energy_scenarios!$H20+Overview!CY14*Overview!$Z14*Results_energy_scenarios!$G20</f>
        <v>#REF!</v>
      </c>
      <c r="AJ20" s="99" t="e">
        <f>Overview!CZ13*Overview!$Z13/20*Results_energy_scenarios!$H20+Overview!CZ14*Overview!$Z14*Results_energy_scenarios!$G20</f>
        <v>#REF!</v>
      </c>
      <c r="AK20" s="99" t="e">
        <f>Overview!DA13*Overview!$Z13/20*Results_energy_scenarios!$H20+Overview!DA14*Overview!$Z14*Results_energy_scenarios!$G20</f>
        <v>#REF!</v>
      </c>
      <c r="AL20" s="99" t="e">
        <f>Overview!DB13*Overview!$Z13/20*Results_energy_scenarios!$H20+Overview!DB14*Overview!$Z14*Results_energy_scenarios!$G20</f>
        <v>#REF!</v>
      </c>
      <c r="AM20" s="99" t="e">
        <f>Overview!DC13*Overview!$Z13/20*Results_energy_scenarios!$H20+Overview!DC14*Overview!$Z14*Results_energy_scenarios!$G20</f>
        <v>#REF!</v>
      </c>
      <c r="AN20" s="99" t="e">
        <f>Overview!DD13*Overview!$Z13/20*Results_energy_scenarios!$H20+Overview!DD14*Overview!$Z14*Results_energy_scenarios!$G20</f>
        <v>#REF!</v>
      </c>
      <c r="AO20" s="101" t="e">
        <f>Overview!DE13*Overview!$Z13/20*Results_energy_scenarios!$H20+Overview!DE14*Overview!$Z14*Results_energy_scenarios!$G20</f>
        <v>#REF!</v>
      </c>
    </row>
    <row r="21" spans="1:41">
      <c r="A21" t="s">
        <v>4</v>
      </c>
      <c r="B21" t="s">
        <v>361</v>
      </c>
      <c r="C21" t="s">
        <v>329</v>
      </c>
      <c r="D21" s="115" t="s">
        <v>322</v>
      </c>
      <c r="E21" s="103"/>
      <c r="F21" s="103"/>
      <c r="G21">
        <v>6151</v>
      </c>
      <c r="H21" s="103"/>
      <c r="I21" s="170"/>
      <c r="J21" s="100" t="e">
        <f t="shared" ref="J21:AO21" si="8">J3/$G3*$G21</f>
        <v>#REF!</v>
      </c>
      <c r="K21" s="99" t="e">
        <f t="shared" si="8"/>
        <v>#REF!</v>
      </c>
      <c r="L21" s="99" t="e">
        <f t="shared" si="8"/>
        <v>#REF!</v>
      </c>
      <c r="M21" s="99" t="e">
        <f t="shared" si="8"/>
        <v>#REF!</v>
      </c>
      <c r="N21" s="99" t="e">
        <f t="shared" si="8"/>
        <v>#REF!</v>
      </c>
      <c r="O21" s="99" t="e">
        <f t="shared" si="8"/>
        <v>#REF!</v>
      </c>
      <c r="P21" s="99" t="e">
        <f t="shared" si="8"/>
        <v>#REF!</v>
      </c>
      <c r="Q21" s="99" t="e">
        <f t="shared" si="8"/>
        <v>#REF!</v>
      </c>
      <c r="R21" s="99" t="e">
        <f t="shared" si="8"/>
        <v>#REF!</v>
      </c>
      <c r="S21" s="99" t="e">
        <f t="shared" si="8"/>
        <v>#REF!</v>
      </c>
      <c r="T21" s="99" t="e">
        <f t="shared" si="8"/>
        <v>#REF!</v>
      </c>
      <c r="U21" s="99" t="e">
        <f t="shared" si="8"/>
        <v>#REF!</v>
      </c>
      <c r="V21" s="99" t="e">
        <f t="shared" si="8"/>
        <v>#REF!</v>
      </c>
      <c r="W21" s="99" t="e">
        <f t="shared" si="8"/>
        <v>#REF!</v>
      </c>
      <c r="X21" s="99" t="e">
        <f t="shared" si="8"/>
        <v>#REF!</v>
      </c>
      <c r="Y21" s="99" t="e">
        <f t="shared" si="8"/>
        <v>#REF!</v>
      </c>
      <c r="Z21" s="100" t="e">
        <f t="shared" si="8"/>
        <v>#REF!</v>
      </c>
      <c r="AA21" s="99" t="e">
        <f t="shared" si="8"/>
        <v>#REF!</v>
      </c>
      <c r="AB21" s="99" t="e">
        <f t="shared" si="8"/>
        <v>#REF!</v>
      </c>
      <c r="AC21" s="99" t="e">
        <f t="shared" si="8"/>
        <v>#REF!</v>
      </c>
      <c r="AD21" s="99" t="e">
        <f t="shared" si="8"/>
        <v>#REF!</v>
      </c>
      <c r="AE21" s="99" t="e">
        <f t="shared" si="8"/>
        <v>#REF!</v>
      </c>
      <c r="AF21" s="99" t="e">
        <f t="shared" si="8"/>
        <v>#REF!</v>
      </c>
      <c r="AG21" s="99" t="e">
        <f t="shared" si="8"/>
        <v>#REF!</v>
      </c>
      <c r="AH21" s="99" t="e">
        <f t="shared" si="8"/>
        <v>#REF!</v>
      </c>
      <c r="AI21" s="99" t="e">
        <f t="shared" si="8"/>
        <v>#REF!</v>
      </c>
      <c r="AJ21" s="99" t="e">
        <f t="shared" si="8"/>
        <v>#REF!</v>
      </c>
      <c r="AK21" s="99" t="e">
        <f t="shared" si="8"/>
        <v>#REF!</v>
      </c>
      <c r="AL21" s="99" t="e">
        <f t="shared" si="8"/>
        <v>#REF!</v>
      </c>
      <c r="AM21" s="99" t="e">
        <f t="shared" si="8"/>
        <v>#REF!</v>
      </c>
      <c r="AN21" s="99" t="e">
        <f t="shared" si="8"/>
        <v>#REF!</v>
      </c>
      <c r="AO21" s="101" t="e">
        <f t="shared" si="8"/>
        <v>#REF!</v>
      </c>
    </row>
    <row r="22" spans="1:41">
      <c r="A22" t="s">
        <v>4</v>
      </c>
      <c r="B22" t="s">
        <v>361</v>
      </c>
      <c r="C22" t="s">
        <v>330</v>
      </c>
      <c r="D22" s="116" t="s">
        <v>347</v>
      </c>
      <c r="E22" s="103"/>
      <c r="F22" s="103"/>
      <c r="G22">
        <f>energy_data_per_scenario!E20*1000</f>
        <v>6050</v>
      </c>
      <c r="H22">
        <f>Overview!C22/(G22+G29)*G22</f>
        <v>0.21199738092151513</v>
      </c>
      <c r="I22" s="170">
        <f>G22/G26</f>
        <v>8.4936766980881109E-2</v>
      </c>
      <c r="J22" s="118" t="e">
        <f>Overview!$Z22/25*Overview!AD22*Results_energy_scenarios!$H22</f>
        <v>#REF!</v>
      </c>
      <c r="K22" s="119" t="e">
        <f>Overview!$Z22/25*Overview!AE22*Results_energy_scenarios!$H22</f>
        <v>#REF!</v>
      </c>
      <c r="L22" s="119" t="e">
        <f>Overview!$Z22/25*Overview!AF22*Results_energy_scenarios!$H22</f>
        <v>#REF!</v>
      </c>
      <c r="M22" s="119" t="e">
        <f>Overview!$Z22/25*Overview!AG22*Results_energy_scenarios!$H22</f>
        <v>#REF!</v>
      </c>
      <c r="N22" s="119" t="e">
        <f>Overview!$Z22/25*Overview!AH22*Results_energy_scenarios!$H22</f>
        <v>#REF!</v>
      </c>
      <c r="O22" s="119" t="e">
        <f>Overview!$Z22/25*Overview!AI22*Results_energy_scenarios!$H22</f>
        <v>#REF!</v>
      </c>
      <c r="P22" s="119" t="e">
        <f>Overview!$Z22/25*Overview!AJ22*Results_energy_scenarios!$H22</f>
        <v>#REF!</v>
      </c>
      <c r="Q22" s="119" t="e">
        <f>Overview!$Z22/25*Overview!AK22*Results_energy_scenarios!$H22</f>
        <v>#REF!</v>
      </c>
      <c r="R22" s="119" t="e">
        <f>Overview!$Z22/25*Overview!AL22*Results_energy_scenarios!$H22</f>
        <v>#REF!</v>
      </c>
      <c r="S22" s="119" t="e">
        <f>Overview!$Z22/25*Overview!AM22*Results_energy_scenarios!$H22</f>
        <v>#REF!</v>
      </c>
      <c r="T22" s="119" t="e">
        <f>Overview!$Z22/25*Overview!AN22*Results_energy_scenarios!$H22</f>
        <v>#REF!</v>
      </c>
      <c r="U22" s="119" t="e">
        <f>Overview!$Z22/25*Overview!AO22*Results_energy_scenarios!$H22</f>
        <v>#REF!</v>
      </c>
      <c r="V22" s="119" t="e">
        <f>Overview!$Z22/25*Overview!AP22*Results_energy_scenarios!$H22</f>
        <v>#REF!</v>
      </c>
      <c r="W22" s="119" t="e">
        <f>Overview!$Z22/25*Overview!AQ22*Results_energy_scenarios!$H22</f>
        <v>#REF!</v>
      </c>
      <c r="X22" s="119" t="e">
        <f>Overview!$Z22/25*Overview!AR22*Results_energy_scenarios!$H22</f>
        <v>#REF!</v>
      </c>
      <c r="Y22" s="119" t="e">
        <f>Overview!$Z22/25*Overview!AS22*Results_energy_scenarios!$H22</f>
        <v>#REF!</v>
      </c>
      <c r="Z22" s="118" t="e">
        <f>Overview!$Z22/25*Overview!CP22*Results_energy_scenarios!$H22</f>
        <v>#REF!</v>
      </c>
      <c r="AA22" s="119" t="e">
        <f>Overview!$Z22/25*Overview!CQ22*Results_energy_scenarios!$H22</f>
        <v>#REF!</v>
      </c>
      <c r="AB22" s="119" t="e">
        <f>Overview!$Z22/25*Overview!CR22*Results_energy_scenarios!$H22</f>
        <v>#REF!</v>
      </c>
      <c r="AC22" s="119" t="e">
        <f>Overview!$Z22/25*Overview!CS22*Results_energy_scenarios!$H22</f>
        <v>#REF!</v>
      </c>
      <c r="AD22" s="119" t="e">
        <f>Overview!$Z22/25*Overview!CT22*Results_energy_scenarios!$H22</f>
        <v>#REF!</v>
      </c>
      <c r="AE22" s="119" t="e">
        <f>Overview!$Z22/25*Overview!CU22*Results_energy_scenarios!$H22</f>
        <v>#REF!</v>
      </c>
      <c r="AF22" s="119" t="e">
        <f>Overview!$Z22/25*Overview!CV22*Results_energy_scenarios!$H22</f>
        <v>#REF!</v>
      </c>
      <c r="AG22" s="119" t="e">
        <f>Overview!$Z22/25*Overview!CW22*Results_energy_scenarios!$H22</f>
        <v>#REF!</v>
      </c>
      <c r="AH22" s="119" t="e">
        <f>Overview!$Z22/25*Overview!CX22*Results_energy_scenarios!$H22</f>
        <v>#REF!</v>
      </c>
      <c r="AI22" s="119" t="e">
        <f>Overview!$Z22/25*Overview!CY22*Results_energy_scenarios!$H22</f>
        <v>#REF!</v>
      </c>
      <c r="AJ22" s="119" t="e">
        <f>Overview!$Z22/25*Overview!CZ22*Results_energy_scenarios!$H22</f>
        <v>#REF!</v>
      </c>
      <c r="AK22" s="119" t="e">
        <f>Overview!$Z22/25*Overview!DA22*Results_energy_scenarios!$H22</f>
        <v>#REF!</v>
      </c>
      <c r="AL22" s="119" t="e">
        <f>Overview!$Z22/25*Overview!DB22*Results_energy_scenarios!$H22</f>
        <v>#REF!</v>
      </c>
      <c r="AM22" s="119" t="e">
        <f>Overview!$Z22/25*Overview!DC22*Results_energy_scenarios!$H22</f>
        <v>#REF!</v>
      </c>
      <c r="AN22" s="119" t="e">
        <f>Overview!$Z22/25*Overview!DD22*Results_energy_scenarios!$H22</f>
        <v>#REF!</v>
      </c>
      <c r="AO22" s="121" t="e">
        <f>Overview!$Z22/25*Overview!DE22*Results_energy_scenarios!$H22</f>
        <v>#REF!</v>
      </c>
    </row>
    <row r="23" spans="1:41">
      <c r="A23" t="s">
        <v>4</v>
      </c>
      <c r="B23" t="s">
        <v>361</v>
      </c>
      <c r="C23" t="s">
        <v>330</v>
      </c>
      <c r="D23" s="113" t="s">
        <v>341</v>
      </c>
      <c r="E23" s="103"/>
      <c r="F23" s="103"/>
      <c r="G23">
        <v>77</v>
      </c>
      <c r="H23">
        <f>Overview!C41</f>
        <v>8.9813166944325354E-3</v>
      </c>
      <c r="I23" s="170">
        <f>G23/G26</f>
        <v>1.0810133979384869E-3</v>
      </c>
      <c r="J23" s="100" t="e">
        <f>Overview!AD41*Overview!$Z41/17*Results_energy_scenarios!$H23</f>
        <v>#REF!</v>
      </c>
      <c r="K23" s="99" t="e">
        <f>Overview!AE41*Overview!$Z41/17*Results_energy_scenarios!$H23</f>
        <v>#REF!</v>
      </c>
      <c r="L23" s="99" t="e">
        <f>Overview!AF41*Overview!$Z41/17*Results_energy_scenarios!$H23</f>
        <v>#REF!</v>
      </c>
      <c r="M23" s="99" t="e">
        <f>Overview!AG41*Overview!$Z41/17*Results_energy_scenarios!$H23</f>
        <v>#REF!</v>
      </c>
      <c r="N23" s="99" t="e">
        <f>Overview!AH41*Overview!$Z41/17*Results_energy_scenarios!$H23</f>
        <v>#REF!</v>
      </c>
      <c r="O23" s="99" t="e">
        <f>Overview!AI41*Overview!$Z41/17*Results_energy_scenarios!$H23</f>
        <v>#REF!</v>
      </c>
      <c r="P23" s="99" t="e">
        <f>Overview!AJ41*Overview!$Z41/17*Results_energy_scenarios!$H23</f>
        <v>#REF!</v>
      </c>
      <c r="Q23" s="99" t="e">
        <f>Overview!AK41*Overview!$Z41/17*Results_energy_scenarios!$H23</f>
        <v>#REF!</v>
      </c>
      <c r="R23" s="99" t="e">
        <f>Overview!AL41*Overview!$Z41/17*Results_energy_scenarios!$H23</f>
        <v>#REF!</v>
      </c>
      <c r="S23" s="99" t="e">
        <f>Overview!AM41*Overview!$Z41/17*Results_energy_scenarios!$H23</f>
        <v>#REF!</v>
      </c>
      <c r="T23" s="99" t="e">
        <f>Overview!AN41*Overview!$Z41/17*Results_energy_scenarios!$H23</f>
        <v>#REF!</v>
      </c>
      <c r="U23" s="99" t="e">
        <f>Overview!AO41*Overview!$Z41/17*Results_energy_scenarios!$H23</f>
        <v>#REF!</v>
      </c>
      <c r="V23" s="99" t="e">
        <f>Overview!AP41*Overview!$Z41/17*Results_energy_scenarios!$H23</f>
        <v>#REF!</v>
      </c>
      <c r="W23" s="99" t="e">
        <f>Overview!AQ41*Overview!$Z41/17*Results_energy_scenarios!$H23</f>
        <v>#REF!</v>
      </c>
      <c r="X23" s="99" t="e">
        <f>Overview!AR41*Overview!$Z41/17*Results_energy_scenarios!$H23</f>
        <v>#REF!</v>
      </c>
      <c r="Y23" s="99" t="e">
        <f>Overview!AS41*Overview!$Z41/17*Results_energy_scenarios!$H23</f>
        <v>#REF!</v>
      </c>
      <c r="Z23" s="100" t="e">
        <f>Overview!CP41*Overview!$Z41/17*Results_energy_scenarios!$H23</f>
        <v>#REF!</v>
      </c>
      <c r="AA23" s="99" t="e">
        <f>Overview!CQ41*Overview!$Z41/17*Results_energy_scenarios!$H23</f>
        <v>#REF!</v>
      </c>
      <c r="AB23" s="99" t="e">
        <f>Overview!CR41*Overview!$Z41/17*Results_energy_scenarios!$H23</f>
        <v>#REF!</v>
      </c>
      <c r="AC23" s="99" t="e">
        <f>Overview!CS41*Overview!$Z41/17*Results_energy_scenarios!$H23</f>
        <v>#REF!</v>
      </c>
      <c r="AD23" s="99" t="e">
        <f>Overview!CT41*Overview!$Z41/17*Results_energy_scenarios!$H23</f>
        <v>#REF!</v>
      </c>
      <c r="AE23" s="99" t="e">
        <f>Overview!CU41*Overview!$Z41/17*Results_energy_scenarios!$H23</f>
        <v>#REF!</v>
      </c>
      <c r="AF23" s="99" t="e">
        <f>Overview!CV41*Overview!$Z41/17*Results_energy_scenarios!$H23</f>
        <v>#REF!</v>
      </c>
      <c r="AG23" s="99" t="e">
        <f>Overview!CW41*Overview!$Z41/17*Results_energy_scenarios!$H23</f>
        <v>#REF!</v>
      </c>
      <c r="AH23" s="99" t="e">
        <f>Overview!CX41*Overview!$Z41/17*Results_energy_scenarios!$H23</f>
        <v>#REF!</v>
      </c>
      <c r="AI23" s="99" t="e">
        <f>Overview!CY41*Overview!$Z41/17*Results_energy_scenarios!$H23</f>
        <v>#REF!</v>
      </c>
      <c r="AJ23" s="99" t="e">
        <f>Overview!CZ41*Overview!$Z41/17*Results_energy_scenarios!$H23</f>
        <v>#REF!</v>
      </c>
      <c r="AK23" s="99" t="e">
        <f>Overview!DA41*Overview!$Z41/17*Results_energy_scenarios!$H23</f>
        <v>#REF!</v>
      </c>
      <c r="AL23" s="99" t="e">
        <f>Overview!DB41*Overview!$Z41/17*Results_energy_scenarios!$H23</f>
        <v>#REF!</v>
      </c>
      <c r="AM23" s="99" t="e">
        <f>Overview!DC41*Overview!$Z41/17*Results_energy_scenarios!$H23</f>
        <v>#REF!</v>
      </c>
      <c r="AN23" s="99" t="e">
        <f>Overview!DD41*Overview!$Z41/17*Results_energy_scenarios!$H23</f>
        <v>#REF!</v>
      </c>
      <c r="AO23" s="101" t="e">
        <f>Overview!DE41*Overview!$Z41/17*Results_energy_scenarios!$H23</f>
        <v>#REF!</v>
      </c>
    </row>
    <row r="24" spans="1:41">
      <c r="A24" t="s">
        <v>4</v>
      </c>
      <c r="B24" t="s">
        <v>361</v>
      </c>
      <c r="C24" t="s">
        <v>330</v>
      </c>
      <c r="D24" s="113" t="s">
        <v>339</v>
      </c>
      <c r="E24" s="103"/>
      <c r="F24" s="103"/>
      <c r="G24">
        <f>Overview!G7</f>
        <v>89</v>
      </c>
      <c r="H24" s="103"/>
      <c r="I24" s="170"/>
      <c r="J24" s="100" t="e">
        <f>$G24*Overview!AD7*Overview!$Z7</f>
        <v>#REF!</v>
      </c>
      <c r="K24" s="99" t="e">
        <f>$G24*Overview!AE7*Overview!$Z7</f>
        <v>#REF!</v>
      </c>
      <c r="L24" s="99" t="e">
        <f>$G24*Overview!AF7*Overview!$Z7</f>
        <v>#REF!</v>
      </c>
      <c r="M24" s="99" t="e">
        <f>$G24*Overview!AG7*Overview!$Z7</f>
        <v>#REF!</v>
      </c>
      <c r="N24" s="99" t="e">
        <f>$G24*Overview!AH7*Overview!$Z7</f>
        <v>#REF!</v>
      </c>
      <c r="O24" s="99" t="e">
        <f>$G24*Overview!AI7*Overview!$Z7</f>
        <v>#REF!</v>
      </c>
      <c r="P24" s="99" t="e">
        <f>$G24*Overview!AJ7*Overview!$Z7</f>
        <v>#REF!</v>
      </c>
      <c r="Q24" s="99" t="e">
        <f>$G24*Overview!AK7*Overview!$Z7</f>
        <v>#REF!</v>
      </c>
      <c r="R24" s="99" t="e">
        <f>$G24*Overview!AL7*Overview!$Z7</f>
        <v>#REF!</v>
      </c>
      <c r="S24" s="99" t="e">
        <f>$G24*Overview!AM7*Overview!$Z7</f>
        <v>#REF!</v>
      </c>
      <c r="T24" s="99" t="e">
        <f>$G24*Overview!AN7*Overview!$Z7</f>
        <v>#REF!</v>
      </c>
      <c r="U24" s="99" t="e">
        <f>$G24*Overview!AO7*Overview!$Z7</f>
        <v>#REF!</v>
      </c>
      <c r="V24" s="99" t="e">
        <f>$G24*Overview!AP7*Overview!$Z7</f>
        <v>#REF!</v>
      </c>
      <c r="W24" s="99" t="e">
        <f>$G24*Overview!AQ7*Overview!$Z7</f>
        <v>#REF!</v>
      </c>
      <c r="X24" s="99" t="e">
        <f>$G24*Overview!AR7*Overview!$Z7</f>
        <v>#REF!</v>
      </c>
      <c r="Y24" s="99" t="e">
        <f>$G24*Overview!AS7*Overview!$Z7</f>
        <v>#REF!</v>
      </c>
      <c r="Z24" s="100" t="e">
        <f>$G24*Overview!CP7*Overview!$Z7</f>
        <v>#REF!</v>
      </c>
      <c r="AA24" s="99" t="e">
        <f>$G24*Overview!CQ7*Overview!$Z7</f>
        <v>#REF!</v>
      </c>
      <c r="AB24" s="99" t="e">
        <f>$G24*Overview!CR7*Overview!$Z7</f>
        <v>#REF!</v>
      </c>
      <c r="AC24" s="99" t="e">
        <f>$G24*Overview!CS7*Overview!$Z7</f>
        <v>#REF!</v>
      </c>
      <c r="AD24" s="99" t="e">
        <f>$G24*Overview!CT7*Overview!$Z7</f>
        <v>#REF!</v>
      </c>
      <c r="AE24" s="99" t="e">
        <f>$G24*Overview!CU7*Overview!$Z7</f>
        <v>#REF!</v>
      </c>
      <c r="AF24" s="99" t="e">
        <f>$G24*Overview!CV7*Overview!$Z7</f>
        <v>#REF!</v>
      </c>
      <c r="AG24" s="99" t="e">
        <f>$G24*Overview!CW7*Overview!$Z7</f>
        <v>#REF!</v>
      </c>
      <c r="AH24" s="99" t="e">
        <f>$G24*Overview!CX7*Overview!$Z7</f>
        <v>#REF!</v>
      </c>
      <c r="AI24" s="99" t="e">
        <f>$G24*Overview!CY7*Overview!$Z7</f>
        <v>#REF!</v>
      </c>
      <c r="AJ24" s="99" t="e">
        <f>$G24*Overview!CZ7*Overview!$Z7</f>
        <v>#REF!</v>
      </c>
      <c r="AK24" s="99" t="e">
        <f>$G24*Overview!DA7*Overview!$Z7</f>
        <v>#REF!</v>
      </c>
      <c r="AL24" s="99" t="e">
        <f>$G24*Overview!DB7*Overview!$Z7</f>
        <v>#REF!</v>
      </c>
      <c r="AM24" s="99" t="e">
        <f>$G24*Overview!DC7*Overview!$Z7</f>
        <v>#REF!</v>
      </c>
      <c r="AN24" s="99" t="e">
        <f>$G24*Overview!DD7*Overview!$Z7</f>
        <v>#REF!</v>
      </c>
      <c r="AO24" s="101" t="e">
        <f>$G24*Overview!DE7*Overview!$Z7</f>
        <v>#REF!</v>
      </c>
    </row>
    <row r="25" spans="1:41">
      <c r="A25" t="s">
        <v>4</v>
      </c>
      <c r="B25" t="s">
        <v>361</v>
      </c>
      <c r="C25" t="s">
        <v>331</v>
      </c>
      <c r="D25" s="112" t="s">
        <v>358</v>
      </c>
      <c r="E25" s="103"/>
      <c r="F25" s="103"/>
      <c r="G25">
        <f>energy_data_per_scenario!E22*1000</f>
        <v>4291</v>
      </c>
      <c r="H25">
        <f>Overview!C35/Overview!G35*Results_energy_scenarios!G25</f>
        <v>1.0792770685999937</v>
      </c>
      <c r="I25" s="170">
        <f>G25/G26</f>
        <v>6.0241928448753861E-2</v>
      </c>
      <c r="J25" s="100" t="e">
        <f>Overview!AD35*Overview!$Z35/20*Results_energy_scenarios!$H25</f>
        <v>#REF!</v>
      </c>
      <c r="K25" s="99" t="e">
        <f>Overview!AE35*Overview!$Z35/20*Results_energy_scenarios!$H25</f>
        <v>#REF!</v>
      </c>
      <c r="L25" s="99" t="e">
        <f>Overview!AF35*Overview!$Z35/20*Results_energy_scenarios!$H25</f>
        <v>#REF!</v>
      </c>
      <c r="M25" s="99" t="e">
        <f>Overview!AG35*Overview!$Z35/20*Results_energy_scenarios!$H25</f>
        <v>#REF!</v>
      </c>
      <c r="N25" s="99" t="e">
        <f>Overview!AH35*Overview!$Z35/20*Results_energy_scenarios!$H25</f>
        <v>#REF!</v>
      </c>
      <c r="O25" s="99" t="e">
        <f>Overview!AI35*Overview!$Z35/20*Results_energy_scenarios!$H25</f>
        <v>#REF!</v>
      </c>
      <c r="P25" s="99" t="e">
        <f>Overview!AJ35*Overview!$Z35/20*Results_energy_scenarios!$H25</f>
        <v>#REF!</v>
      </c>
      <c r="Q25" s="99" t="e">
        <f>Overview!AK35*Overview!$Z35/20*Results_energy_scenarios!$H25</f>
        <v>#REF!</v>
      </c>
      <c r="R25" s="99" t="e">
        <f>Overview!AL35*Overview!$Z35/20*Results_energy_scenarios!$H25</f>
        <v>#REF!</v>
      </c>
      <c r="S25" s="99" t="e">
        <f>Overview!AM35*Overview!$Z35/20*Results_energy_scenarios!$H25</f>
        <v>#REF!</v>
      </c>
      <c r="T25" s="99" t="e">
        <f>Overview!AN35*Overview!$Z35/20*Results_energy_scenarios!$H25</f>
        <v>#REF!</v>
      </c>
      <c r="U25" s="99" t="e">
        <f>Overview!AO35*Overview!$Z35/20*Results_energy_scenarios!$H25</f>
        <v>#REF!</v>
      </c>
      <c r="V25" s="99" t="e">
        <f>Overview!AP35*Overview!$Z35/20*Results_energy_scenarios!$H25</f>
        <v>#REF!</v>
      </c>
      <c r="W25" s="99" t="e">
        <f>Overview!AQ35*Overview!$Z35/20*Results_energy_scenarios!$H25</f>
        <v>#REF!</v>
      </c>
      <c r="X25" s="99" t="e">
        <f>Overview!AR35*Overview!$Z35/20*Results_energy_scenarios!$H25</f>
        <v>#REF!</v>
      </c>
      <c r="Y25" s="99" t="e">
        <f>Overview!AS35*Overview!$Z35/20*Results_energy_scenarios!$H25</f>
        <v>#REF!</v>
      </c>
      <c r="Z25" s="100" t="e">
        <f>Overview!CP35*Overview!$Z35/20*Results_energy_scenarios!$H25</f>
        <v>#REF!</v>
      </c>
      <c r="AA25" s="99" t="e">
        <f>Overview!CQ35*Overview!$Z35/20*Results_energy_scenarios!$H25</f>
        <v>#REF!</v>
      </c>
      <c r="AB25" s="99" t="e">
        <f>Overview!CR35*Overview!$Z35/20*Results_energy_scenarios!$H25</f>
        <v>#REF!</v>
      </c>
      <c r="AC25" s="99" t="e">
        <f>Overview!CS35*Overview!$Z35/20*Results_energy_scenarios!$H25</f>
        <v>#REF!</v>
      </c>
      <c r="AD25" s="99" t="e">
        <f>Overview!CT35*Overview!$Z35/20*Results_energy_scenarios!$H25</f>
        <v>#REF!</v>
      </c>
      <c r="AE25" s="99" t="e">
        <f>Overview!CU35*Overview!$Z35/20*Results_energy_scenarios!$H25</f>
        <v>#REF!</v>
      </c>
      <c r="AF25" s="99" t="e">
        <f>Overview!CV35*Overview!$Z35/20*Results_energy_scenarios!$H25</f>
        <v>#REF!</v>
      </c>
      <c r="AG25" s="99" t="e">
        <f>Overview!CW35*Overview!$Z35/20*Results_energy_scenarios!$H25</f>
        <v>#REF!</v>
      </c>
      <c r="AH25" s="99" t="e">
        <f>Overview!CX35*Overview!$Z35/20*Results_energy_scenarios!$H25</f>
        <v>#REF!</v>
      </c>
      <c r="AI25" s="99" t="e">
        <f>Overview!CY35*Overview!$Z35/20*Results_energy_scenarios!$H25</f>
        <v>#REF!</v>
      </c>
      <c r="AJ25" s="99" t="e">
        <f>Overview!CZ35*Overview!$Z35/20*Results_energy_scenarios!$H25</f>
        <v>#REF!</v>
      </c>
      <c r="AK25" s="99" t="e">
        <f>Overview!DA35*Overview!$Z35/20*Results_energy_scenarios!$H25</f>
        <v>#REF!</v>
      </c>
      <c r="AL25" s="99" t="e">
        <f>Overview!DB35*Overview!$Z35/20*Results_energy_scenarios!$H25</f>
        <v>#REF!</v>
      </c>
      <c r="AM25" s="99" t="e">
        <f>Overview!DC35*Overview!$Z35/20*Results_energy_scenarios!$H25</f>
        <v>#REF!</v>
      </c>
      <c r="AN25" s="99" t="e">
        <f>Overview!DD35*Overview!$Z35/20*Results_energy_scenarios!$H25</f>
        <v>#REF!</v>
      </c>
      <c r="AO25" s="101" t="e">
        <f>Overview!DE35*Overview!$Z35/20*Results_energy_scenarios!$H25</f>
        <v>#REF!</v>
      </c>
    </row>
    <row r="26" spans="1:41">
      <c r="A26" s="90" t="s">
        <v>4</v>
      </c>
      <c r="B26" s="90" t="s">
        <v>361</v>
      </c>
      <c r="C26" s="90" t="s">
        <v>337</v>
      </c>
      <c r="D26" s="90"/>
      <c r="E26" s="109"/>
      <c r="F26" s="109"/>
      <c r="G26" s="90">
        <f>G14+G15+G18+G20+G22+G23+G25</f>
        <v>71229.459456136683</v>
      </c>
      <c r="H26" s="109"/>
      <c r="I26" s="171">
        <f>SUM(I14:I25)</f>
        <v>1.0000000000000002</v>
      </c>
      <c r="J26" s="124" t="e">
        <f>SUM(J13:J25)</f>
        <v>#REF!</v>
      </c>
      <c r="K26" s="125" t="e">
        <f t="shared" ref="K26:AO26" si="9">SUM(K13:K25)</f>
        <v>#REF!</v>
      </c>
      <c r="L26" s="125" t="e">
        <f t="shared" si="9"/>
        <v>#REF!</v>
      </c>
      <c r="M26" s="125" t="e">
        <f t="shared" si="9"/>
        <v>#REF!</v>
      </c>
      <c r="N26" s="125" t="e">
        <f t="shared" si="9"/>
        <v>#REF!</v>
      </c>
      <c r="O26" s="125" t="e">
        <f t="shared" si="9"/>
        <v>#REF!</v>
      </c>
      <c r="P26" s="125" t="e">
        <f t="shared" si="9"/>
        <v>#REF!</v>
      </c>
      <c r="Q26" s="125" t="e">
        <f t="shared" si="9"/>
        <v>#REF!</v>
      </c>
      <c r="R26" s="125" t="e">
        <f t="shared" si="9"/>
        <v>#REF!</v>
      </c>
      <c r="S26" s="125" t="e">
        <f t="shared" si="9"/>
        <v>#REF!</v>
      </c>
      <c r="T26" s="125" t="e">
        <f t="shared" si="9"/>
        <v>#REF!</v>
      </c>
      <c r="U26" s="125" t="e">
        <f t="shared" si="9"/>
        <v>#REF!</v>
      </c>
      <c r="V26" s="125" t="e">
        <f t="shared" si="9"/>
        <v>#REF!</v>
      </c>
      <c r="W26" s="125" t="e">
        <f t="shared" si="9"/>
        <v>#REF!</v>
      </c>
      <c r="X26" s="125" t="e">
        <f t="shared" si="9"/>
        <v>#REF!</v>
      </c>
      <c r="Y26" s="122" t="e">
        <f t="shared" si="9"/>
        <v>#REF!</v>
      </c>
      <c r="Z26" s="124" t="e">
        <f t="shared" si="9"/>
        <v>#REF!</v>
      </c>
      <c r="AA26" s="125" t="e">
        <f t="shared" si="9"/>
        <v>#REF!</v>
      </c>
      <c r="AB26" s="125" t="e">
        <f t="shared" si="9"/>
        <v>#REF!</v>
      </c>
      <c r="AC26" s="125" t="e">
        <f t="shared" si="9"/>
        <v>#REF!</v>
      </c>
      <c r="AD26" s="125" t="e">
        <f t="shared" si="9"/>
        <v>#REF!</v>
      </c>
      <c r="AE26" s="125" t="e">
        <f t="shared" si="9"/>
        <v>#REF!</v>
      </c>
      <c r="AF26" s="125" t="e">
        <f t="shared" si="9"/>
        <v>#REF!</v>
      </c>
      <c r="AG26" s="125" t="e">
        <f t="shared" si="9"/>
        <v>#REF!</v>
      </c>
      <c r="AH26" s="125" t="e">
        <f t="shared" si="9"/>
        <v>#REF!</v>
      </c>
      <c r="AI26" s="125" t="e">
        <f t="shared" si="9"/>
        <v>#REF!</v>
      </c>
      <c r="AJ26" s="125" t="e">
        <f t="shared" si="9"/>
        <v>#REF!</v>
      </c>
      <c r="AK26" s="125" t="e">
        <f t="shared" si="9"/>
        <v>#REF!</v>
      </c>
      <c r="AL26" s="125" t="e">
        <f t="shared" si="9"/>
        <v>#REF!</v>
      </c>
      <c r="AM26" s="125" t="e">
        <f t="shared" si="9"/>
        <v>#REF!</v>
      </c>
      <c r="AN26" s="125" t="e">
        <f t="shared" si="9"/>
        <v>#REF!</v>
      </c>
      <c r="AO26" s="123" t="e">
        <f t="shared" si="9"/>
        <v>#REF!</v>
      </c>
    </row>
    <row r="27" spans="1:41" s="90" customFormat="1">
      <c r="A27" s="104" t="s">
        <v>4</v>
      </c>
      <c r="B27" s="104" t="s">
        <v>361</v>
      </c>
      <c r="C27" s="104" t="s">
        <v>384</v>
      </c>
      <c r="D27" s="104"/>
      <c r="E27" s="105"/>
      <c r="F27" s="105"/>
      <c r="G27" s="107">
        <v>1</v>
      </c>
      <c r="H27" s="105"/>
      <c r="I27" s="104"/>
      <c r="J27" s="106" t="e">
        <f>J26/$G26</f>
        <v>#REF!</v>
      </c>
      <c r="K27" s="107" t="e">
        <f t="shared" ref="K27:AO27" si="10">K26/$G26</f>
        <v>#REF!</v>
      </c>
      <c r="L27" s="107" t="e">
        <f t="shared" si="10"/>
        <v>#REF!</v>
      </c>
      <c r="M27" s="107" t="e">
        <f t="shared" si="10"/>
        <v>#REF!</v>
      </c>
      <c r="N27" s="107" t="e">
        <f t="shared" si="10"/>
        <v>#REF!</v>
      </c>
      <c r="O27" s="107" t="e">
        <f t="shared" si="10"/>
        <v>#REF!</v>
      </c>
      <c r="P27" s="107" t="e">
        <f t="shared" si="10"/>
        <v>#REF!</v>
      </c>
      <c r="Q27" s="107" t="e">
        <f t="shared" si="10"/>
        <v>#REF!</v>
      </c>
      <c r="R27" s="107" t="e">
        <f t="shared" si="10"/>
        <v>#REF!</v>
      </c>
      <c r="S27" s="107" t="e">
        <f t="shared" si="10"/>
        <v>#REF!</v>
      </c>
      <c r="T27" s="107" t="e">
        <f t="shared" si="10"/>
        <v>#REF!</v>
      </c>
      <c r="U27" s="107" t="e">
        <f t="shared" si="10"/>
        <v>#REF!</v>
      </c>
      <c r="V27" s="107" t="e">
        <f t="shared" si="10"/>
        <v>#REF!</v>
      </c>
      <c r="W27" s="107" t="e">
        <f t="shared" si="10"/>
        <v>#REF!</v>
      </c>
      <c r="X27" s="107" t="e">
        <f t="shared" si="10"/>
        <v>#REF!</v>
      </c>
      <c r="Y27" s="107" t="e">
        <f t="shared" si="10"/>
        <v>#REF!</v>
      </c>
      <c r="Z27" s="106" t="e">
        <f t="shared" si="10"/>
        <v>#REF!</v>
      </c>
      <c r="AA27" s="232" t="e">
        <f t="shared" si="10"/>
        <v>#REF!</v>
      </c>
      <c r="AB27" s="107" t="e">
        <f t="shared" si="10"/>
        <v>#REF!</v>
      </c>
      <c r="AC27" s="107" t="e">
        <f t="shared" si="10"/>
        <v>#REF!</v>
      </c>
      <c r="AD27" s="107" t="e">
        <f t="shared" si="10"/>
        <v>#REF!</v>
      </c>
      <c r="AE27" s="107" t="e">
        <f t="shared" si="10"/>
        <v>#REF!</v>
      </c>
      <c r="AF27" s="107" t="e">
        <f t="shared" si="10"/>
        <v>#REF!</v>
      </c>
      <c r="AG27" s="107" t="e">
        <f t="shared" si="10"/>
        <v>#REF!</v>
      </c>
      <c r="AH27" s="107" t="e">
        <f t="shared" si="10"/>
        <v>#REF!</v>
      </c>
      <c r="AI27" s="107" t="e">
        <f t="shared" si="10"/>
        <v>#REF!</v>
      </c>
      <c r="AJ27" s="107" t="e">
        <f t="shared" si="10"/>
        <v>#REF!</v>
      </c>
      <c r="AK27" s="107" t="e">
        <f t="shared" si="10"/>
        <v>#REF!</v>
      </c>
      <c r="AL27" s="107" t="e">
        <f t="shared" si="10"/>
        <v>#REF!</v>
      </c>
      <c r="AM27" s="107" t="e">
        <f t="shared" si="10"/>
        <v>#REF!</v>
      </c>
      <c r="AN27" s="107" t="e">
        <f t="shared" si="10"/>
        <v>#REF!</v>
      </c>
      <c r="AO27" s="108" t="e">
        <f t="shared" si="10"/>
        <v>#REF!</v>
      </c>
    </row>
    <row r="28" spans="1:41">
      <c r="A28" t="s">
        <v>4</v>
      </c>
      <c r="B28" t="s">
        <v>320</v>
      </c>
      <c r="C28" t="s">
        <v>320</v>
      </c>
      <c r="D28" t="s">
        <v>442</v>
      </c>
      <c r="E28" s="103"/>
      <c r="F28" s="103"/>
      <c r="G28" s="148">
        <f>Overview!C4</f>
        <v>1.1810939048639299E-4</v>
      </c>
      <c r="H28" s="103"/>
      <c r="J28" s="189" t="e">
        <f>Overview!AD4*$G28/10*Overview!$Z4</f>
        <v>#REF!</v>
      </c>
      <c r="K28" s="148" t="e">
        <f>Overview!AE4*$G28/10*Overview!$Z4</f>
        <v>#REF!</v>
      </c>
      <c r="L28" s="148" t="e">
        <f>Overview!AF4*$G28/10*Overview!$Z4</f>
        <v>#REF!</v>
      </c>
      <c r="M28" s="148" t="e">
        <f>Overview!AG4*$G28/10*Overview!$Z4</f>
        <v>#REF!</v>
      </c>
      <c r="N28" s="148" t="e">
        <f>Overview!AH4*$G28/10*Overview!$Z4</f>
        <v>#REF!</v>
      </c>
      <c r="O28" s="148" t="e">
        <f>Overview!AI4*$G28/10*Overview!$Z4</f>
        <v>#REF!</v>
      </c>
      <c r="P28" s="148" t="e">
        <f>Overview!AJ4*$G28/10*Overview!$Z4</f>
        <v>#REF!</v>
      </c>
      <c r="Q28" s="148" t="e">
        <f>Overview!AK4*$G28/10*Overview!$Z4</f>
        <v>#REF!</v>
      </c>
      <c r="R28" s="148" t="e">
        <f>Overview!AL4*$G28/10*Overview!$Z4</f>
        <v>#REF!</v>
      </c>
      <c r="S28" s="148" t="e">
        <f>Overview!AM4*$G28/10*Overview!$Z4</f>
        <v>#REF!</v>
      </c>
      <c r="T28" s="148" t="e">
        <f>Overview!AN4*$G28/10*Overview!$Z4</f>
        <v>#REF!</v>
      </c>
      <c r="U28" s="148" t="e">
        <f>Overview!AO4*$G28/10*Overview!$Z4</f>
        <v>#REF!</v>
      </c>
      <c r="V28" s="148" t="e">
        <f>Overview!AP4*$G28/10*Overview!$Z4</f>
        <v>#REF!</v>
      </c>
      <c r="W28" s="148" t="e">
        <f>Overview!AQ4*$G28/10*Overview!$Z4</f>
        <v>#REF!</v>
      </c>
      <c r="X28" s="148" t="e">
        <f>Overview!AR4*$G28/10*Overview!$Z4</f>
        <v>#REF!</v>
      </c>
      <c r="Y28" s="148" t="e">
        <f>Overview!AS4*$G28/10*Overview!$Z4</f>
        <v>#REF!</v>
      </c>
      <c r="Z28" s="189" t="e">
        <f>Overview!CP4*$G28/10*Overview!$Z4</f>
        <v>#REF!</v>
      </c>
      <c r="AA28" s="148" t="e">
        <f>Overview!CQ4*$G28/10*Overview!$Z4</f>
        <v>#REF!</v>
      </c>
      <c r="AB28" s="148" t="e">
        <f>Overview!CR4*$G28/10*Overview!$Z4</f>
        <v>#REF!</v>
      </c>
      <c r="AC28" s="148" t="e">
        <f>Overview!CS4*$G28/10*Overview!$Z4</f>
        <v>#REF!</v>
      </c>
      <c r="AD28" s="148" t="e">
        <f>Overview!CT4*$G28/10*Overview!$Z4</f>
        <v>#REF!</v>
      </c>
      <c r="AE28" s="148" t="e">
        <f>Overview!CU4*$G28/10*Overview!$Z4</f>
        <v>#REF!</v>
      </c>
      <c r="AF28" s="148" t="e">
        <f>Overview!CV4*$G28/10*Overview!$Z4</f>
        <v>#REF!</v>
      </c>
      <c r="AG28" s="148" t="e">
        <f>Overview!CW4*$G28/10*Overview!$Z4</f>
        <v>#REF!</v>
      </c>
      <c r="AH28" s="148" t="e">
        <f>Overview!CX4*$G28/10*Overview!$Z4</f>
        <v>#REF!</v>
      </c>
      <c r="AI28" s="148" t="e">
        <f>Overview!CY4*$G28/10*Overview!$Z4</f>
        <v>#REF!</v>
      </c>
      <c r="AJ28" s="148" t="e">
        <f>Overview!CZ4*$G28/10*Overview!$Z4</f>
        <v>#REF!</v>
      </c>
      <c r="AK28" s="148" t="e">
        <f>Overview!DA4*$G28/10*Overview!$Z4</f>
        <v>#REF!</v>
      </c>
      <c r="AL28" s="148" t="e">
        <f>Overview!DB4*$G28/10*Overview!$Z4</f>
        <v>#REF!</v>
      </c>
      <c r="AM28" s="148" t="e">
        <f>Overview!DC4*$G28/10*Overview!$Z4</f>
        <v>#REF!</v>
      </c>
      <c r="AN28" s="148" t="e">
        <f>Overview!DD4*$G28/10*Overview!$Z4</f>
        <v>#REF!</v>
      </c>
      <c r="AO28" s="146" t="e">
        <f>Overview!DE4*$G28/10*Overview!$Z4</f>
        <v>#REF!</v>
      </c>
    </row>
    <row r="29" spans="1:41">
      <c r="A29" t="s">
        <v>4</v>
      </c>
      <c r="B29" t="s">
        <v>320</v>
      </c>
      <c r="C29" t="s">
        <v>320</v>
      </c>
      <c r="D29" s="116" t="s">
        <v>347</v>
      </c>
      <c r="E29" s="164"/>
      <c r="F29" s="103"/>
      <c r="G29">
        <f>energy_data_per_scenario!E4*1000</f>
        <v>2688.9987440115801</v>
      </c>
      <c r="H29">
        <f>Overview!C22/(G22+G29)*G29</f>
        <v>9.4224907608545239E-2</v>
      </c>
      <c r="I29" s="170">
        <f>G29/G$35</f>
        <v>3.4152521583879492E-2</v>
      </c>
      <c r="J29" s="118" t="e">
        <f>Overview!AD22*Overview!$Z22/25*Results_energy_scenarios!$H29</f>
        <v>#REF!</v>
      </c>
      <c r="K29" t="e">
        <f>Overview!AE22*Overview!$Z22/25*Results_energy_scenarios!$H29</f>
        <v>#REF!</v>
      </c>
      <c r="L29" t="e">
        <f>Overview!AF22*Overview!$Z22/25*Results_energy_scenarios!$H29</f>
        <v>#REF!</v>
      </c>
      <c r="M29" t="e">
        <f>Overview!AG22*Overview!$Z22/25*Results_energy_scenarios!$H29</f>
        <v>#REF!</v>
      </c>
      <c r="N29" t="e">
        <f>Overview!AH22*Overview!$Z22/25*Results_energy_scenarios!$H29</f>
        <v>#REF!</v>
      </c>
      <c r="O29" t="e">
        <f>Overview!AI22*Overview!$Z22/25*Results_energy_scenarios!$H29</f>
        <v>#REF!</v>
      </c>
      <c r="P29" t="e">
        <f>Overview!AJ22*Overview!$Z22/25*Results_energy_scenarios!$H29</f>
        <v>#REF!</v>
      </c>
      <c r="Q29" t="e">
        <f>Overview!AK22*Overview!$Z22/25*Results_energy_scenarios!$H29</f>
        <v>#REF!</v>
      </c>
      <c r="R29" t="e">
        <f>Overview!AL22*Overview!$Z22/25*Results_energy_scenarios!$H29</f>
        <v>#REF!</v>
      </c>
      <c r="S29" t="e">
        <f>Overview!AM22*Overview!$Z22/25*Results_energy_scenarios!$H29</f>
        <v>#REF!</v>
      </c>
      <c r="T29" t="e">
        <f>Overview!AN22*Overview!$Z22/25*Results_energy_scenarios!$H29</f>
        <v>#REF!</v>
      </c>
      <c r="U29" t="e">
        <f>Overview!AO22*Overview!$Z22/25*Results_energy_scenarios!$H29</f>
        <v>#REF!</v>
      </c>
      <c r="V29" t="e">
        <f>Overview!AP22*Overview!$Z22/25*Results_energy_scenarios!$H29</f>
        <v>#REF!</v>
      </c>
      <c r="W29" t="e">
        <f>Overview!AQ22*Overview!$Z22/25*Results_energy_scenarios!$H29</f>
        <v>#REF!</v>
      </c>
      <c r="X29" s="119" t="e">
        <f>Overview!AR22*Overview!$Z22/25*Results_energy_scenarios!$H29</f>
        <v>#REF!</v>
      </c>
      <c r="Y29" t="e">
        <f>Overview!AS22*Overview!$Z22/25*Results_energy_scenarios!$H29</f>
        <v>#REF!</v>
      </c>
      <c r="Z29" s="118" t="e">
        <f>Overview!CP22*Overview!$Z22/25*Results_energy_scenarios!$H29</f>
        <v>#REF!</v>
      </c>
      <c r="AA29" s="119" t="e">
        <f>Overview!CQ22*Overview!$Z22/25*Results_energy_scenarios!$H29</f>
        <v>#REF!</v>
      </c>
      <c r="AB29" s="119" t="e">
        <f>Overview!CR22*Overview!$Z22/25*Results_energy_scenarios!$H29</f>
        <v>#REF!</v>
      </c>
      <c r="AC29" s="119" t="e">
        <f>Overview!CS22*Overview!$Z22/25*Results_energy_scenarios!$H29</f>
        <v>#REF!</v>
      </c>
      <c r="AD29" s="120" t="e">
        <f>Overview!CT22*Overview!$Z22/25*Results_energy_scenarios!$H29</f>
        <v>#REF!</v>
      </c>
      <c r="AE29" s="119" t="e">
        <f>Overview!CU22*Overview!$Z22/25*Results_energy_scenarios!$H29</f>
        <v>#REF!</v>
      </c>
      <c r="AF29" s="119" t="e">
        <f>Overview!CV22*Overview!$Z22/25*Results_energy_scenarios!$H29</f>
        <v>#REF!</v>
      </c>
      <c r="AG29" s="119" t="e">
        <f>Overview!CW22*Overview!$Z22/25*Results_energy_scenarios!$H29</f>
        <v>#REF!</v>
      </c>
      <c r="AH29" s="119" t="e">
        <f>Overview!CX22*Overview!$Z22/25*Results_energy_scenarios!$H29</f>
        <v>#REF!</v>
      </c>
      <c r="AI29" s="119" t="e">
        <f>Overview!CY22*Overview!$Z22/25*Results_energy_scenarios!$H29</f>
        <v>#REF!</v>
      </c>
      <c r="AJ29" s="119" t="e">
        <f>Overview!CZ22*Overview!$Z22/25*Results_energy_scenarios!$H29</f>
        <v>#REF!</v>
      </c>
      <c r="AK29" s="120" t="e">
        <f>Overview!DA22*Overview!$Z22/25*Results_energy_scenarios!$H29</f>
        <v>#REF!</v>
      </c>
      <c r="AL29" s="120" t="e">
        <f>Overview!DB22*Overview!$Z22/25*Results_energy_scenarios!$H29</f>
        <v>#REF!</v>
      </c>
      <c r="AM29" s="119" t="e">
        <f>Overview!DC22*Overview!$Z22/25*Results_energy_scenarios!$H29</f>
        <v>#REF!</v>
      </c>
      <c r="AN29" s="119" t="e">
        <f>Overview!DD22*Overview!$Z22/25*Results_energy_scenarios!$H29</f>
        <v>#REF!</v>
      </c>
      <c r="AO29" s="121" t="e">
        <f>Overview!DE22*Overview!$Z22/25*Results_energy_scenarios!$H29</f>
        <v>#REF!</v>
      </c>
    </row>
    <row r="30" spans="1:41">
      <c r="A30" t="s">
        <v>4</v>
      </c>
      <c r="B30" t="s">
        <v>320</v>
      </c>
      <c r="C30" t="s">
        <v>320</v>
      </c>
      <c r="D30" s="129" t="s">
        <v>161</v>
      </c>
      <c r="E30" s="103"/>
      <c r="F30" s="103"/>
      <c r="G30">
        <f>energy_data_per_scenario!E9*1000</f>
        <v>33610</v>
      </c>
      <c r="H30">
        <f>Overview!C47</f>
        <v>37.511652858034992</v>
      </c>
      <c r="I30" s="170">
        <f t="shared" ref="I30:I34" si="11">G30/G$35</f>
        <v>0.4268749671194515</v>
      </c>
      <c r="J30" s="100" t="e">
        <f>Overview!AD47*Overview!$Z47/30*Results_energy_scenarios!$H30</f>
        <v>#REF!</v>
      </c>
      <c r="K30" s="99" t="e">
        <f>Overview!AE47*Overview!$Z47/30*Results_energy_scenarios!$H30</f>
        <v>#REF!</v>
      </c>
      <c r="L30" s="99" t="e">
        <f>Overview!AF47*Overview!$Z47/30*Results_energy_scenarios!$H30</f>
        <v>#REF!</v>
      </c>
      <c r="M30" s="99" t="e">
        <f>Overview!AG47*Overview!$Z47/30*Results_energy_scenarios!$H30</f>
        <v>#REF!</v>
      </c>
      <c r="N30" s="99" t="e">
        <f>Overview!AH47*Overview!$Z47/30*Results_energy_scenarios!$H30</f>
        <v>#REF!</v>
      </c>
      <c r="O30" s="99" t="e">
        <f>Overview!AI47*Overview!$Z47/30*Results_energy_scenarios!$H30</f>
        <v>#REF!</v>
      </c>
      <c r="P30" s="99" t="e">
        <f>Overview!AJ47*Overview!$Z47/30*Results_energy_scenarios!$H30</f>
        <v>#REF!</v>
      </c>
      <c r="Q30" s="99" t="e">
        <f>Overview!AK47*Overview!$Z47/30*Results_energy_scenarios!$H30</f>
        <v>#REF!</v>
      </c>
      <c r="R30" s="99" t="e">
        <f>Overview!AL47*Overview!$Z47/30*Results_energy_scenarios!$H30</f>
        <v>#REF!</v>
      </c>
      <c r="S30" s="99" t="e">
        <f>Overview!AM47*Overview!$Z47/30*Results_energy_scenarios!$H30</f>
        <v>#REF!</v>
      </c>
      <c r="T30" s="99" t="e">
        <f>Overview!AN47*Overview!$Z47/30*Results_energy_scenarios!$H30</f>
        <v>#REF!</v>
      </c>
      <c r="U30" s="99" t="e">
        <f>Overview!AO47*Overview!$Z47/30*Results_energy_scenarios!$H30</f>
        <v>#REF!</v>
      </c>
      <c r="V30" s="99" t="e">
        <f>Overview!AP47*Overview!$Z47/30*Results_energy_scenarios!$H30</f>
        <v>#REF!</v>
      </c>
      <c r="W30" s="99" t="e">
        <f>Overview!AQ47*Overview!$Z47/30*Results_energy_scenarios!$H30</f>
        <v>#REF!</v>
      </c>
      <c r="X30" s="99" t="e">
        <f>Overview!AR47*Overview!$Z47/30*Results_energy_scenarios!$H30</f>
        <v>#REF!</v>
      </c>
      <c r="Y30" s="102" t="e">
        <f>Overview!AS47*Overview!$Z47/30*Results_energy_scenarios!$H30</f>
        <v>#REF!</v>
      </c>
      <c r="Z30" s="100" t="e">
        <f>Overview!CP47*Overview!$Z47/30*Results_energy_scenarios!$H30</f>
        <v>#REF!</v>
      </c>
      <c r="AA30" s="99" t="e">
        <f>Overview!CQ47*Overview!$Z47/30*Results_energy_scenarios!$H30</f>
        <v>#REF!</v>
      </c>
      <c r="AB30" s="99" t="e">
        <f>Overview!CR47*Overview!$Z47/30*Results_energy_scenarios!$H30</f>
        <v>#REF!</v>
      </c>
      <c r="AC30" s="99" t="e">
        <f>Overview!CS47*Overview!$Z47/30*Results_energy_scenarios!$H30</f>
        <v>#REF!</v>
      </c>
      <c r="AD30" s="99" t="e">
        <f>Overview!CT47*Overview!$Z47/30*Results_energy_scenarios!$H30</f>
        <v>#REF!</v>
      </c>
      <c r="AE30" s="99" t="e">
        <f>Overview!CU47*Overview!$Z47/30*Results_energy_scenarios!$H30</f>
        <v>#REF!</v>
      </c>
      <c r="AF30" s="99" t="e">
        <f>Overview!CV47*Overview!$Z47/30*Results_energy_scenarios!$H30</f>
        <v>#REF!</v>
      </c>
      <c r="AG30" s="99" t="e">
        <f>Overview!CW47*Overview!$Z47/30*Results_energy_scenarios!$H30</f>
        <v>#REF!</v>
      </c>
      <c r="AH30" s="99" t="e">
        <f>Overview!CX47*Overview!$Z47/30*Results_energy_scenarios!$H30</f>
        <v>#REF!</v>
      </c>
      <c r="AI30" s="99" t="e">
        <f>Overview!CY47*Overview!$Z47/30*Results_energy_scenarios!$H30</f>
        <v>#REF!</v>
      </c>
      <c r="AJ30" s="99" t="e">
        <f>Overview!CZ47*Overview!$Z47/30*Results_energy_scenarios!$H30</f>
        <v>#REF!</v>
      </c>
      <c r="AK30" s="99" t="e">
        <f>Overview!DA47*Overview!$Z47/30*Results_energy_scenarios!$H30</f>
        <v>#REF!</v>
      </c>
      <c r="AL30" s="99" t="e">
        <f>Overview!DB47*Overview!$Z47/30*Results_energy_scenarios!$H30</f>
        <v>#REF!</v>
      </c>
      <c r="AM30" s="99" t="e">
        <f>Overview!DC47*Overview!$Z47/30*Results_energy_scenarios!$H30</f>
        <v>#REF!</v>
      </c>
      <c r="AN30" s="99" t="e">
        <f>Overview!DD47*Overview!$Z47/30*Results_energy_scenarios!$H30</f>
        <v>#REF!</v>
      </c>
      <c r="AO30" s="101" t="e">
        <f>Overview!DE47*Overview!$Z47/30*Results_energy_scenarios!$H30</f>
        <v>#REF!</v>
      </c>
    </row>
    <row r="31" spans="1:41">
      <c r="A31" t="s">
        <v>4</v>
      </c>
      <c r="B31" t="s">
        <v>320</v>
      </c>
      <c r="C31" t="s">
        <v>320</v>
      </c>
      <c r="D31" s="130" t="s">
        <v>190</v>
      </c>
      <c r="E31" s="103"/>
      <c r="F31" s="103"/>
      <c r="G31">
        <f>energy_data_per_scenario!E6*1000</f>
        <v>16050</v>
      </c>
      <c r="H31">
        <f>Overview!C55</f>
        <v>8.9763100000000016</v>
      </c>
      <c r="I31" s="170">
        <f t="shared" si="11"/>
        <v>0.2038483553188693</v>
      </c>
      <c r="J31" s="100" t="e">
        <f>Overview!AD55*Overview!$Z55*Results_energy_scenarios!$G31</f>
        <v>#REF!</v>
      </c>
      <c r="K31" s="99" t="e">
        <f>Overview!AE55*Overview!$Z55*Results_energy_scenarios!$G31</f>
        <v>#REF!</v>
      </c>
      <c r="L31" s="99" t="e">
        <f>Overview!AF55*Overview!$Z55*Results_energy_scenarios!$G31</f>
        <v>#REF!</v>
      </c>
      <c r="M31" s="99" t="e">
        <f>Overview!AG55*Overview!$Z55*Results_energy_scenarios!$G31</f>
        <v>#REF!</v>
      </c>
      <c r="N31" s="99" t="e">
        <f>Overview!AH55*Overview!$Z55*Results_energy_scenarios!$G31</f>
        <v>#REF!</v>
      </c>
      <c r="O31" s="99" t="e">
        <f>Overview!AI55*Overview!$Z55*Results_energy_scenarios!$G31</f>
        <v>#REF!</v>
      </c>
      <c r="P31" s="99" t="e">
        <f>Overview!AJ55*Overview!$Z55*Results_energy_scenarios!$G31</f>
        <v>#REF!</v>
      </c>
      <c r="Q31" s="99" t="e">
        <f>Overview!AK55*Overview!$Z55*Results_energy_scenarios!$G31</f>
        <v>#REF!</v>
      </c>
      <c r="R31" s="99" t="e">
        <f>Overview!AL55*Overview!$Z55*Results_energy_scenarios!$G31</f>
        <v>#REF!</v>
      </c>
      <c r="S31" s="99" t="e">
        <f>Overview!AM55*Overview!$Z55*Results_energy_scenarios!$G31</f>
        <v>#REF!</v>
      </c>
      <c r="T31" s="99" t="e">
        <f>Overview!AN55*Overview!$Z55*Results_energy_scenarios!$G31</f>
        <v>#REF!</v>
      </c>
      <c r="U31" s="99" t="e">
        <f>Overview!AO55*Overview!$Z55*Results_energy_scenarios!$G31</f>
        <v>#REF!</v>
      </c>
      <c r="V31" s="99" t="e">
        <f>Overview!AP55*Overview!$Z55*Results_energy_scenarios!$G31</f>
        <v>#REF!</v>
      </c>
      <c r="W31" s="99" t="e">
        <f>Overview!AQ55*Overview!$Z55*Results_energy_scenarios!$G31</f>
        <v>#REF!</v>
      </c>
      <c r="X31" s="99" t="e">
        <f>Overview!AR55*Overview!$Z55*Results_energy_scenarios!$G31</f>
        <v>#REF!</v>
      </c>
      <c r="Y31" s="102" t="e">
        <f>Overview!AS55*Overview!$Z55*Results_energy_scenarios!$G31</f>
        <v>#REF!</v>
      </c>
      <c r="Z31" s="100" t="e">
        <f>Overview!CP55*Overview!$Z55*Results_energy_scenarios!$G31</f>
        <v>#REF!</v>
      </c>
      <c r="AA31" s="99" t="e">
        <f>Overview!CQ55*Overview!$Z55*Results_energy_scenarios!$G31</f>
        <v>#REF!</v>
      </c>
      <c r="AB31" s="99" t="e">
        <f>Overview!CR55*Overview!$Z55*Results_energy_scenarios!$G31</f>
        <v>#REF!</v>
      </c>
      <c r="AC31" s="99" t="e">
        <f>Overview!CS55*Overview!$Z55*Results_energy_scenarios!$G31</f>
        <v>#REF!</v>
      </c>
      <c r="AD31" s="99" t="e">
        <f>Overview!CT55*Overview!$Z55*Results_energy_scenarios!$G31</f>
        <v>#REF!</v>
      </c>
      <c r="AE31" s="99" t="e">
        <f>Overview!CU55*Overview!$Z55*Results_energy_scenarios!$G31</f>
        <v>#REF!</v>
      </c>
      <c r="AF31" s="99" t="e">
        <f>Overview!CV55*Overview!$Z55*Results_energy_scenarios!$G31</f>
        <v>#REF!</v>
      </c>
      <c r="AG31" s="99" t="e">
        <f>Overview!CW55*Overview!$Z55*Results_energy_scenarios!$G31</f>
        <v>#REF!</v>
      </c>
      <c r="AH31" s="99" t="e">
        <f>Overview!CX55*Overview!$Z55*Results_energy_scenarios!$G31</f>
        <v>#REF!</v>
      </c>
      <c r="AI31" s="99" t="e">
        <f>Overview!CY55*Overview!$Z55*Results_energy_scenarios!$G31</f>
        <v>#REF!</v>
      </c>
      <c r="AJ31" s="99" t="e">
        <f>Overview!CZ55*Overview!$Z55*Results_energy_scenarios!$G31</f>
        <v>#REF!</v>
      </c>
      <c r="AK31" s="99" t="e">
        <f>Overview!DA55*Overview!$Z55*Results_energy_scenarios!$G31</f>
        <v>#REF!</v>
      </c>
      <c r="AL31" s="99" t="e">
        <f>Overview!DB55*Overview!$Z55*Results_energy_scenarios!$G31</f>
        <v>#REF!</v>
      </c>
      <c r="AM31" s="99" t="e">
        <f>Overview!DC55*Overview!$Z55*Results_energy_scenarios!$G31</f>
        <v>#REF!</v>
      </c>
      <c r="AN31" s="99" t="e">
        <f>Overview!DD55*Overview!$Z55*Results_energy_scenarios!$G31</f>
        <v>#REF!</v>
      </c>
      <c r="AO31" s="101" t="e">
        <f>Overview!DE55*Overview!$Z55*Results_energy_scenarios!$G31</f>
        <v>#REF!</v>
      </c>
    </row>
    <row r="32" spans="1:41">
      <c r="A32" t="s">
        <v>4</v>
      </c>
      <c r="B32" t="s">
        <v>320</v>
      </c>
      <c r="C32" t="s">
        <v>320</v>
      </c>
      <c r="D32" s="131" t="s">
        <v>372</v>
      </c>
      <c r="E32" s="103"/>
      <c r="F32" s="103"/>
      <c r="G32">
        <f>energy_data_per_scenario!E7*1000</f>
        <v>15490</v>
      </c>
      <c r="H32">
        <f>Overview!C54</f>
        <v>4.0666798000000002</v>
      </c>
      <c r="I32" s="170">
        <f t="shared" si="11"/>
        <v>0.19673588933889627</v>
      </c>
      <c r="J32" s="100" t="e">
        <f>Overview!AD54*Overview!$Z54*Results_energy_scenarios!$G32</f>
        <v>#REF!</v>
      </c>
      <c r="K32" s="99" t="e">
        <f>Overview!AE54*Overview!$Z54*Results_energy_scenarios!$G32</f>
        <v>#REF!</v>
      </c>
      <c r="L32" s="99" t="e">
        <f>Overview!AF54*Overview!$Z54*Results_energy_scenarios!$G32</f>
        <v>#REF!</v>
      </c>
      <c r="M32" s="99" t="e">
        <f>Overview!AG54*Overview!$Z54*Results_energy_scenarios!$G32</f>
        <v>#REF!</v>
      </c>
      <c r="N32" s="99" t="e">
        <f>Overview!AH54*Overview!$Z54*Results_energy_scenarios!$G32</f>
        <v>#REF!</v>
      </c>
      <c r="O32" s="99" t="e">
        <f>Overview!AI54*Overview!$Z54*Results_energy_scenarios!$G32</f>
        <v>#REF!</v>
      </c>
      <c r="P32" s="99" t="e">
        <f>Overview!AJ54*Overview!$Z54*Results_energy_scenarios!$G32</f>
        <v>#REF!</v>
      </c>
      <c r="Q32" s="99" t="e">
        <f>Overview!AK54*Overview!$Z54*Results_energy_scenarios!$G32</f>
        <v>#REF!</v>
      </c>
      <c r="R32" s="99" t="e">
        <f>Overview!AL54*Overview!$Z54*Results_energy_scenarios!$G32</f>
        <v>#REF!</v>
      </c>
      <c r="S32" s="99" t="e">
        <f>Overview!AM54*Overview!$Z54*Results_energy_scenarios!$G32</f>
        <v>#REF!</v>
      </c>
      <c r="T32" s="99" t="e">
        <f>Overview!AN54*Overview!$Z54*Results_energy_scenarios!$G32</f>
        <v>#REF!</v>
      </c>
      <c r="U32" s="99" t="e">
        <f>Overview!AO54*Overview!$Z54*Results_energy_scenarios!$G32</f>
        <v>#REF!</v>
      </c>
      <c r="V32" s="99" t="e">
        <f>Overview!AP54*Overview!$Z54*Results_energy_scenarios!$G32</f>
        <v>#REF!</v>
      </c>
      <c r="W32" s="99" t="e">
        <f>Overview!AQ54*Overview!$Z54*Results_energy_scenarios!$G32</f>
        <v>#REF!</v>
      </c>
      <c r="X32" s="99" t="e">
        <f>Overview!AR54*Overview!$Z54*Results_energy_scenarios!$G32</f>
        <v>#REF!</v>
      </c>
      <c r="Y32" s="102" t="e">
        <f>Overview!AS54*Overview!$Z54*Results_energy_scenarios!$G32</f>
        <v>#REF!</v>
      </c>
      <c r="Z32" s="100" t="e">
        <f>Overview!CP54*Overview!$Z54*Results_energy_scenarios!$G32</f>
        <v>#REF!</v>
      </c>
      <c r="AA32" s="99" t="e">
        <f>Overview!CQ54*Overview!$Z54*Results_energy_scenarios!$G32</f>
        <v>#REF!</v>
      </c>
      <c r="AB32" s="99" t="e">
        <f>Overview!CR54*Overview!$Z54*Results_energy_scenarios!$G32</f>
        <v>#REF!</v>
      </c>
      <c r="AC32" s="99" t="e">
        <f>Overview!CS54*Overview!$Z54*Results_energy_scenarios!$G32</f>
        <v>#REF!</v>
      </c>
      <c r="AD32" s="99" t="e">
        <f>Overview!CT54*Overview!$Z54*Results_energy_scenarios!$G32</f>
        <v>#REF!</v>
      </c>
      <c r="AE32" s="99" t="e">
        <f>Overview!CU54*Overview!$Z54*Results_energy_scenarios!$G32</f>
        <v>#REF!</v>
      </c>
      <c r="AF32" s="99" t="e">
        <f>Overview!CV54*Overview!$Z54*Results_energy_scenarios!$G32</f>
        <v>#REF!</v>
      </c>
      <c r="AG32" s="99" t="e">
        <f>Overview!CW54*Overview!$Z54*Results_energy_scenarios!$G32</f>
        <v>#REF!</v>
      </c>
      <c r="AH32" s="99" t="e">
        <f>Overview!CX54*Overview!$Z54*Results_energy_scenarios!$G32</f>
        <v>#REF!</v>
      </c>
      <c r="AI32" s="99" t="e">
        <f>Overview!CY54*Overview!$Z54*Results_energy_scenarios!$G32</f>
        <v>#REF!</v>
      </c>
      <c r="AJ32" s="99" t="e">
        <f>Overview!CZ54*Overview!$Z54*Results_energy_scenarios!$G32</f>
        <v>#REF!</v>
      </c>
      <c r="AK32" s="99" t="e">
        <f>Overview!DA54*Overview!$Z54*Results_energy_scenarios!$G32</f>
        <v>#REF!</v>
      </c>
      <c r="AL32" s="99" t="e">
        <f>Overview!DB54*Overview!$Z54*Results_energy_scenarios!$G32</f>
        <v>#REF!</v>
      </c>
      <c r="AM32" s="99" t="e">
        <f>Overview!DC54*Overview!$Z54*Results_energy_scenarios!$G32</f>
        <v>#REF!</v>
      </c>
      <c r="AN32" s="99" t="e">
        <f>Overview!DD54*Overview!$Z54*Results_energy_scenarios!$G32</f>
        <v>#REF!</v>
      </c>
      <c r="AO32" s="101" t="e">
        <f>Overview!DE54*Overview!$Z54*Results_energy_scenarios!$G32</f>
        <v>#REF!</v>
      </c>
    </row>
    <row r="33" spans="1:41">
      <c r="A33" t="s">
        <v>4</v>
      </c>
      <c r="B33" t="s">
        <v>320</v>
      </c>
      <c r="C33" t="s">
        <v>320</v>
      </c>
      <c r="D33" s="132" t="s">
        <v>310</v>
      </c>
      <c r="E33" s="103"/>
      <c r="F33" s="103"/>
      <c r="G33">
        <f>energy_data_per_scenario!E11*1000</f>
        <v>4040</v>
      </c>
      <c r="H33">
        <f>Overview!C50</f>
        <v>2.2227403538937689</v>
      </c>
      <c r="I33" s="170">
        <f t="shared" si="11"/>
        <v>5.1311361712662429E-2</v>
      </c>
      <c r="J33" s="100" t="e">
        <f>Overview!AD50*Overview!$Z50*Results_energy_scenarios!$G33</f>
        <v>#REF!</v>
      </c>
      <c r="K33" s="99" t="e">
        <f>Overview!AE50*Overview!$Z50*Results_energy_scenarios!$G33</f>
        <v>#REF!</v>
      </c>
      <c r="L33" s="99" t="e">
        <f>Overview!AF50*Overview!$Z50*Results_energy_scenarios!$G33</f>
        <v>#REF!</v>
      </c>
      <c r="M33" s="99" t="e">
        <f>Overview!AG50*Overview!$Z50*Results_energy_scenarios!$G33</f>
        <v>#REF!</v>
      </c>
      <c r="N33" s="99" t="e">
        <f>Overview!AH50*Overview!$Z50*Results_energy_scenarios!$G33</f>
        <v>#REF!</v>
      </c>
      <c r="O33" s="99" t="e">
        <f>Overview!AI50*Overview!$Z50*Results_energy_scenarios!$G33</f>
        <v>#REF!</v>
      </c>
      <c r="P33" s="99" t="e">
        <f>Overview!AJ50*Overview!$Z50*Results_energy_scenarios!$G33</f>
        <v>#REF!</v>
      </c>
      <c r="Q33" s="99" t="e">
        <f>Overview!AK50*Overview!$Z50*Results_energy_scenarios!$G33</f>
        <v>#REF!</v>
      </c>
      <c r="R33" s="99" t="e">
        <f>Overview!AL50*Overview!$Z50*Results_energy_scenarios!$G33</f>
        <v>#REF!</v>
      </c>
      <c r="S33" s="99" t="e">
        <f>Overview!AM50*Overview!$Z50*Results_energy_scenarios!$G33</f>
        <v>#REF!</v>
      </c>
      <c r="T33" s="99" t="e">
        <f>Overview!AN50*Overview!$Z50*Results_energy_scenarios!$G33</f>
        <v>#REF!</v>
      </c>
      <c r="U33" s="99" t="e">
        <f>Overview!AO50*Overview!$Z50*Results_energy_scenarios!$G33</f>
        <v>#REF!</v>
      </c>
      <c r="V33" s="99" t="e">
        <f>Overview!AP50*Overview!$Z50*Results_energy_scenarios!$G33</f>
        <v>#REF!</v>
      </c>
      <c r="W33" s="99" t="e">
        <f>Overview!AQ50*Overview!$Z50*Results_energy_scenarios!$G33</f>
        <v>#REF!</v>
      </c>
      <c r="X33" s="99" t="e">
        <f>Overview!AR50*Overview!$Z50*Results_energy_scenarios!$G33</f>
        <v>#REF!</v>
      </c>
      <c r="Y33" s="102" t="e">
        <f>Overview!AS50*Overview!$Z50*Results_energy_scenarios!$G33</f>
        <v>#REF!</v>
      </c>
      <c r="Z33" s="100" t="e">
        <f>Overview!CP50*Overview!$Z50*Results_energy_scenarios!$G33</f>
        <v>#REF!</v>
      </c>
      <c r="AA33" s="99" t="e">
        <f>Overview!CQ50*Overview!$Z50*Results_energy_scenarios!$G33</f>
        <v>#REF!</v>
      </c>
      <c r="AB33" s="99" t="e">
        <f>Overview!CR50*Overview!$Z50*Results_energy_scenarios!$G33</f>
        <v>#REF!</v>
      </c>
      <c r="AC33" s="99" t="e">
        <f>Overview!CS50*Overview!$Z50*Results_energy_scenarios!$G33</f>
        <v>#REF!</v>
      </c>
      <c r="AD33" s="99" t="e">
        <f>Overview!CT50*Overview!$Z50*Results_energy_scenarios!$G33</f>
        <v>#REF!</v>
      </c>
      <c r="AE33" s="99" t="e">
        <f>Overview!CU50*Overview!$Z50*Results_energy_scenarios!$G33</f>
        <v>#REF!</v>
      </c>
      <c r="AF33" s="99" t="e">
        <f>Overview!CV50*Overview!$Z50*Results_energy_scenarios!$G33</f>
        <v>#REF!</v>
      </c>
      <c r="AG33" s="99" t="e">
        <f>Overview!CW50*Overview!$Z50*Results_energy_scenarios!$G33</f>
        <v>#REF!</v>
      </c>
      <c r="AH33" s="99" t="e">
        <f>Overview!CX50*Overview!$Z50*Results_energy_scenarios!$G33</f>
        <v>#REF!</v>
      </c>
      <c r="AI33" s="99" t="e">
        <f>Overview!CY50*Overview!$Z50*Results_energy_scenarios!$G33</f>
        <v>#REF!</v>
      </c>
      <c r="AJ33" s="99" t="e">
        <f>Overview!CZ50*Overview!$Z50*Results_energy_scenarios!$G33</f>
        <v>#REF!</v>
      </c>
      <c r="AK33" s="99" t="e">
        <f>Overview!DA50*Overview!$Z50*Results_energy_scenarios!$G33</f>
        <v>#REF!</v>
      </c>
      <c r="AL33" s="99" t="e">
        <f>Overview!DB50*Overview!$Z50*Results_energy_scenarios!$G33</f>
        <v>#REF!</v>
      </c>
      <c r="AM33" s="99" t="e">
        <f>Overview!DC50*Overview!$Z50*Results_energy_scenarios!$G33</f>
        <v>#REF!</v>
      </c>
      <c r="AN33" s="99" t="e">
        <f>Overview!DD50*Overview!$Z50*Results_energy_scenarios!$G33</f>
        <v>#REF!</v>
      </c>
      <c r="AO33" s="101" t="e">
        <f>Overview!DE50*Overview!$Z50*Results_energy_scenarios!$G33</f>
        <v>#REF!</v>
      </c>
    </row>
    <row r="34" spans="1:41">
      <c r="A34" t="s">
        <v>4</v>
      </c>
      <c r="B34" t="s">
        <v>320</v>
      </c>
      <c r="C34" t="s">
        <v>320</v>
      </c>
      <c r="D34" s="133" t="s">
        <v>380</v>
      </c>
      <c r="E34" s="164"/>
      <c r="F34" s="103"/>
      <c r="G34">
        <f>Overview!G36</f>
        <v>6856</v>
      </c>
      <c r="H34" s="103"/>
      <c r="I34" s="170">
        <f t="shared" si="11"/>
        <v>8.7076904926240983E-2</v>
      </c>
      <c r="J34" s="100" t="e">
        <f>Overview!AD36*Overview!$Z36*Results_energy_scenarios!$G34</f>
        <v>#REF!</v>
      </c>
      <c r="K34" s="99" t="e">
        <f>Overview!AE36*Overview!$Z36*Results_energy_scenarios!$G34</f>
        <v>#REF!</v>
      </c>
      <c r="L34" s="99" t="e">
        <f>Overview!AF36*Overview!$Z36*Results_energy_scenarios!$G34</f>
        <v>#REF!</v>
      </c>
      <c r="M34" s="99" t="e">
        <f>Overview!AG36*Overview!$Z36*Results_energy_scenarios!$G34</f>
        <v>#REF!</v>
      </c>
      <c r="N34" s="99" t="e">
        <f>Overview!AH36*Overview!$Z36*Results_energy_scenarios!$G34</f>
        <v>#REF!</v>
      </c>
      <c r="O34" s="99" t="e">
        <f>Overview!AI36*Overview!$Z36*Results_energy_scenarios!$G34</f>
        <v>#REF!</v>
      </c>
      <c r="P34" s="99" t="e">
        <f>Overview!AJ36*Overview!$Z36*Results_energy_scenarios!$G34</f>
        <v>#REF!</v>
      </c>
      <c r="Q34" s="99" t="e">
        <f>Overview!AK36*Overview!$Z36*Results_energy_scenarios!$G34</f>
        <v>#REF!</v>
      </c>
      <c r="R34" s="99" t="e">
        <f>Overview!AL36*Overview!$Z36*Results_energy_scenarios!$G34</f>
        <v>#REF!</v>
      </c>
      <c r="S34" s="99" t="e">
        <f>Overview!AM36*Overview!$Z36*Results_energy_scenarios!$G34</f>
        <v>#REF!</v>
      </c>
      <c r="T34" s="99" t="e">
        <f>Overview!AN36*Overview!$Z36*Results_energy_scenarios!$G34</f>
        <v>#REF!</v>
      </c>
      <c r="U34" s="99" t="e">
        <f>Overview!AO36*Overview!$Z36*Results_energy_scenarios!$G34</f>
        <v>#REF!</v>
      </c>
      <c r="V34" s="99" t="e">
        <f>Overview!AP36*Overview!$Z36*Results_energy_scenarios!$G34</f>
        <v>#REF!</v>
      </c>
      <c r="W34" s="99" t="e">
        <f>Overview!AQ36*Overview!$Z36*Results_energy_scenarios!$G34</f>
        <v>#REF!</v>
      </c>
      <c r="X34" s="99" t="e">
        <f>Overview!AR36*Overview!$Z36*Results_energy_scenarios!$G34</f>
        <v>#REF!</v>
      </c>
      <c r="Y34" s="102" t="e">
        <f>Overview!AS36*Overview!$Z36*Results_energy_scenarios!$G34</f>
        <v>#REF!</v>
      </c>
      <c r="Z34" s="100" t="e">
        <f>Overview!CP36*Overview!$Z36*Results_energy_scenarios!$G34</f>
        <v>#REF!</v>
      </c>
      <c r="AA34" s="99" t="e">
        <f>Overview!CQ36*Overview!$Z36*Results_energy_scenarios!$G34</f>
        <v>#REF!</v>
      </c>
      <c r="AB34" s="99" t="e">
        <f>Overview!CR36*Overview!$Z36*Results_energy_scenarios!$G34</f>
        <v>#REF!</v>
      </c>
      <c r="AC34" s="99" t="e">
        <f>Overview!CS36*Overview!$Z36*Results_energy_scenarios!$G34</f>
        <v>#REF!</v>
      </c>
      <c r="AD34" s="99" t="e">
        <f>Overview!CT36*Overview!$Z36*Results_energy_scenarios!$G34</f>
        <v>#REF!</v>
      </c>
      <c r="AE34" s="99" t="e">
        <f>Overview!CU36*Overview!$Z36*Results_energy_scenarios!$G34</f>
        <v>#REF!</v>
      </c>
      <c r="AF34" s="99" t="e">
        <f>Overview!CV36*Overview!$Z36*Results_energy_scenarios!$G34</f>
        <v>#REF!</v>
      </c>
      <c r="AG34" s="99" t="e">
        <f>Overview!CW36*Overview!$Z36*Results_energy_scenarios!$G34</f>
        <v>#REF!</v>
      </c>
      <c r="AH34" s="99" t="e">
        <f>Overview!CX36*Overview!$Z36*Results_energy_scenarios!$G34</f>
        <v>#REF!</v>
      </c>
      <c r="AI34" s="99" t="e">
        <f>Overview!CY36*Overview!$Z36*Results_energy_scenarios!$G34</f>
        <v>#REF!</v>
      </c>
      <c r="AJ34" s="99" t="e">
        <f>Overview!CZ36*Overview!$Z36*Results_energy_scenarios!$G34</f>
        <v>#REF!</v>
      </c>
      <c r="AK34" s="99" t="e">
        <f>Overview!DA36*Overview!$Z36*Results_energy_scenarios!$G34</f>
        <v>#REF!</v>
      </c>
      <c r="AL34" s="99" t="e">
        <f>Overview!DB36*Overview!$Z36*Results_energy_scenarios!$G34</f>
        <v>#REF!</v>
      </c>
      <c r="AM34" s="99" t="e">
        <f>Overview!DC36*Overview!$Z36*Results_energy_scenarios!$G34</f>
        <v>#REF!</v>
      </c>
      <c r="AN34" s="99" t="e">
        <f>Overview!DD36*Overview!$Z36*Results_energy_scenarios!$G34</f>
        <v>#REF!</v>
      </c>
      <c r="AO34" s="101" t="e">
        <f>Overview!DE36*Overview!$Z36*Results_energy_scenarios!$G34</f>
        <v>#REF!</v>
      </c>
    </row>
    <row r="35" spans="1:41">
      <c r="A35" s="90" t="s">
        <v>4</v>
      </c>
      <c r="B35" s="90" t="s">
        <v>320</v>
      </c>
      <c r="C35" s="90" t="s">
        <v>337</v>
      </c>
      <c r="D35" s="90"/>
      <c r="E35" s="165"/>
      <c r="F35" s="109"/>
      <c r="G35" s="90">
        <f>SUM(G29:G34)</f>
        <v>78734.99874401158</v>
      </c>
      <c r="H35" s="109"/>
      <c r="I35" s="172">
        <f>SUM(I29:I34)</f>
        <v>1</v>
      </c>
      <c r="J35" s="124" t="e">
        <f>SUM(J28:J34)</f>
        <v>#REF!</v>
      </c>
      <c r="K35" s="125" t="e">
        <f t="shared" ref="K35:AO35" si="12">SUM(K28:K34)</f>
        <v>#REF!</v>
      </c>
      <c r="L35" s="125" t="e">
        <f t="shared" si="12"/>
        <v>#REF!</v>
      </c>
      <c r="M35" s="125" t="e">
        <f t="shared" si="12"/>
        <v>#REF!</v>
      </c>
      <c r="N35" s="125" t="e">
        <f t="shared" si="12"/>
        <v>#REF!</v>
      </c>
      <c r="O35" s="125" t="e">
        <f t="shared" si="12"/>
        <v>#REF!</v>
      </c>
      <c r="P35" s="125" t="e">
        <f t="shared" si="12"/>
        <v>#REF!</v>
      </c>
      <c r="Q35" s="125" t="e">
        <f t="shared" si="12"/>
        <v>#REF!</v>
      </c>
      <c r="R35" s="125" t="e">
        <f t="shared" si="12"/>
        <v>#REF!</v>
      </c>
      <c r="S35" s="125" t="e">
        <f t="shared" si="12"/>
        <v>#REF!</v>
      </c>
      <c r="T35" s="125" t="e">
        <f t="shared" si="12"/>
        <v>#REF!</v>
      </c>
      <c r="U35" s="125" t="e">
        <f t="shared" si="12"/>
        <v>#REF!</v>
      </c>
      <c r="V35" s="125" t="e">
        <f t="shared" si="12"/>
        <v>#REF!</v>
      </c>
      <c r="W35" s="125" t="e">
        <f t="shared" si="12"/>
        <v>#REF!</v>
      </c>
      <c r="X35" s="125" t="e">
        <f t="shared" si="12"/>
        <v>#REF!</v>
      </c>
      <c r="Y35" s="122" t="e">
        <f t="shared" si="12"/>
        <v>#REF!</v>
      </c>
      <c r="Z35" s="124" t="e">
        <f t="shared" si="12"/>
        <v>#REF!</v>
      </c>
      <c r="AA35" s="125" t="e">
        <f t="shared" si="12"/>
        <v>#REF!</v>
      </c>
      <c r="AB35" s="125" t="e">
        <f t="shared" si="12"/>
        <v>#REF!</v>
      </c>
      <c r="AC35" s="125" t="e">
        <f t="shared" si="12"/>
        <v>#REF!</v>
      </c>
      <c r="AD35" s="125" t="e">
        <f t="shared" si="12"/>
        <v>#REF!</v>
      </c>
      <c r="AE35" s="125" t="e">
        <f t="shared" si="12"/>
        <v>#REF!</v>
      </c>
      <c r="AF35" s="125" t="e">
        <f t="shared" si="12"/>
        <v>#REF!</v>
      </c>
      <c r="AG35" s="125" t="e">
        <f t="shared" si="12"/>
        <v>#REF!</v>
      </c>
      <c r="AH35" s="125" t="e">
        <f t="shared" si="12"/>
        <v>#REF!</v>
      </c>
      <c r="AI35" s="125" t="e">
        <f t="shared" si="12"/>
        <v>#REF!</v>
      </c>
      <c r="AJ35" s="125" t="e">
        <f t="shared" si="12"/>
        <v>#REF!</v>
      </c>
      <c r="AK35" s="125" t="e">
        <f t="shared" si="12"/>
        <v>#REF!</v>
      </c>
      <c r="AL35" s="125" t="e">
        <f t="shared" si="12"/>
        <v>#REF!</v>
      </c>
      <c r="AM35" s="125" t="e">
        <f t="shared" si="12"/>
        <v>#REF!</v>
      </c>
      <c r="AN35" s="125" t="e">
        <f t="shared" si="12"/>
        <v>#REF!</v>
      </c>
      <c r="AO35" s="123" t="e">
        <f t="shared" si="12"/>
        <v>#REF!</v>
      </c>
    </row>
    <row r="36" spans="1:41" s="90" customFormat="1">
      <c r="A36" s="104" t="s">
        <v>4</v>
      </c>
      <c r="B36" s="104" t="s">
        <v>320</v>
      </c>
      <c r="C36" s="104" t="s">
        <v>384</v>
      </c>
      <c r="D36" s="104"/>
      <c r="E36" s="105"/>
      <c r="F36" s="105"/>
      <c r="G36" s="107">
        <v>1</v>
      </c>
      <c r="H36" s="105"/>
      <c r="I36" s="104"/>
      <c r="J36" s="106" t="e">
        <f>J35/$G35</f>
        <v>#REF!</v>
      </c>
      <c r="K36" s="107" t="e">
        <f t="shared" ref="K36:Y36" si="13">K35/($G35)</f>
        <v>#REF!</v>
      </c>
      <c r="L36" s="107" t="e">
        <f t="shared" si="13"/>
        <v>#REF!</v>
      </c>
      <c r="M36" s="107" t="e">
        <f t="shared" si="13"/>
        <v>#REF!</v>
      </c>
      <c r="N36" s="107" t="e">
        <f t="shared" si="13"/>
        <v>#REF!</v>
      </c>
      <c r="O36" s="107" t="e">
        <f t="shared" si="13"/>
        <v>#REF!</v>
      </c>
      <c r="P36" s="107" t="e">
        <f t="shared" si="13"/>
        <v>#REF!</v>
      </c>
      <c r="Q36" s="107" t="e">
        <f t="shared" si="13"/>
        <v>#REF!</v>
      </c>
      <c r="R36" s="107" t="e">
        <f t="shared" si="13"/>
        <v>#REF!</v>
      </c>
      <c r="S36" s="107" t="e">
        <f t="shared" si="13"/>
        <v>#REF!</v>
      </c>
      <c r="T36" s="107" t="e">
        <f t="shared" si="13"/>
        <v>#REF!</v>
      </c>
      <c r="U36" s="107" t="e">
        <f t="shared" si="13"/>
        <v>#REF!</v>
      </c>
      <c r="V36" s="107" t="e">
        <f t="shared" si="13"/>
        <v>#REF!</v>
      </c>
      <c r="W36" s="107" t="e">
        <f t="shared" si="13"/>
        <v>#REF!</v>
      </c>
      <c r="X36" s="107" t="e">
        <f t="shared" si="13"/>
        <v>#REF!</v>
      </c>
      <c r="Y36" s="107" t="e">
        <f t="shared" si="13"/>
        <v>#REF!</v>
      </c>
      <c r="Z36" s="106" t="e">
        <f t="shared" ref="Z36" si="14">Z35/($G35)</f>
        <v>#REF!</v>
      </c>
      <c r="AA36" s="232" t="e">
        <f t="shared" ref="AA36" si="15">AA35/($G35)</f>
        <v>#REF!</v>
      </c>
      <c r="AB36" s="107" t="e">
        <f t="shared" ref="AB36" si="16">AB35/($G35)</f>
        <v>#REF!</v>
      </c>
      <c r="AC36" s="107" t="e">
        <f t="shared" ref="AC36" si="17">AC35/($G35)</f>
        <v>#REF!</v>
      </c>
      <c r="AD36" s="107" t="e">
        <f t="shared" ref="AD36" si="18">AD35/($G35)</f>
        <v>#REF!</v>
      </c>
      <c r="AE36" s="107" t="e">
        <f t="shared" ref="AE36" si="19">AE35/($G35)</f>
        <v>#REF!</v>
      </c>
      <c r="AF36" s="107" t="e">
        <f t="shared" ref="AF36" si="20">AF35/($G35)</f>
        <v>#REF!</v>
      </c>
      <c r="AG36" s="107" t="e">
        <f t="shared" ref="AG36" si="21">AG35/($G35)</f>
        <v>#REF!</v>
      </c>
      <c r="AH36" s="107" t="e">
        <f t="shared" ref="AH36" si="22">AH35/($G35)</f>
        <v>#REF!</v>
      </c>
      <c r="AI36" s="107" t="e">
        <f t="shared" ref="AI36" si="23">AI35/($G35)</f>
        <v>#REF!</v>
      </c>
      <c r="AJ36" s="107" t="e">
        <f t="shared" ref="AJ36" si="24">AJ35/($G35)</f>
        <v>#REF!</v>
      </c>
      <c r="AK36" s="107" t="e">
        <f t="shared" ref="AK36" si="25">AK35/($G35)</f>
        <v>#REF!</v>
      </c>
      <c r="AL36" s="107" t="e">
        <f t="shared" ref="AL36" si="26">AL35/($G35)</f>
        <v>#REF!</v>
      </c>
      <c r="AM36" s="107" t="e">
        <f t="shared" ref="AM36" si="27">AM35/($G35)</f>
        <v>#REF!</v>
      </c>
      <c r="AN36" s="107" t="e">
        <f t="shared" ref="AN36" si="28">AN35/($G35)</f>
        <v>#REF!</v>
      </c>
      <c r="AO36" s="108" t="e">
        <f t="shared" ref="AO36" si="29">AO35/($G35)</f>
        <v>#REF!</v>
      </c>
    </row>
    <row r="37" spans="1:41">
      <c r="A37" t="s">
        <v>4</v>
      </c>
      <c r="B37" t="s">
        <v>376</v>
      </c>
      <c r="C37" t="s">
        <v>328</v>
      </c>
      <c r="D37" s="140" t="s">
        <v>377</v>
      </c>
      <c r="E37">
        <f>energy_data_per_scenario!E24*1000</f>
        <v>74790</v>
      </c>
      <c r="F37" s="103"/>
      <c r="G37" s="103"/>
      <c r="H37" s="103"/>
      <c r="I37" s="170">
        <f>E37/E49</f>
        <v>0.95896853328767306</v>
      </c>
      <c r="J37" s="118" t="e">
        <f>Overview!AD42*Overview!$AA42*Results_energy_scenarios!$E37</f>
        <v>#REF!</v>
      </c>
      <c r="K37" s="99" t="e">
        <f>Overview!AE42*Overview!$AA42*Results_energy_scenarios!$E37</f>
        <v>#REF!</v>
      </c>
      <c r="L37" s="99" t="e">
        <f>Overview!AF42*Overview!$AA42*Results_energy_scenarios!$E37</f>
        <v>#REF!</v>
      </c>
      <c r="M37" s="99" t="e">
        <f>Overview!AG42*Overview!$AA42*Results_energy_scenarios!$E37</f>
        <v>#REF!</v>
      </c>
      <c r="N37" s="99" t="e">
        <f>Overview!AH42*Overview!$AA42*Results_energy_scenarios!$E37</f>
        <v>#REF!</v>
      </c>
      <c r="O37" s="99" t="e">
        <f>Overview!AI42*Overview!$AA42*Results_energy_scenarios!$E37</f>
        <v>#REF!</v>
      </c>
      <c r="P37" s="99" t="e">
        <f>Overview!AJ42*Overview!$AA42*Results_energy_scenarios!$E37</f>
        <v>#REF!</v>
      </c>
      <c r="Q37" s="99" t="e">
        <f>Overview!AK42*Overview!$AA42*Results_energy_scenarios!$E37</f>
        <v>#REF!</v>
      </c>
      <c r="R37" s="99" t="e">
        <f>Overview!AL42*Overview!$AA42*Results_energy_scenarios!$E37</f>
        <v>#REF!</v>
      </c>
      <c r="S37" s="99" t="e">
        <f>Overview!AM42*Overview!$AA42*Results_energy_scenarios!$E37</f>
        <v>#REF!</v>
      </c>
      <c r="T37" s="99" t="e">
        <f>Overview!AN42*Overview!$AA42*Results_energy_scenarios!$E37</f>
        <v>#REF!</v>
      </c>
      <c r="U37" s="99" t="e">
        <f>Overview!AO42*Overview!$AA42*Results_energy_scenarios!$E37</f>
        <v>#REF!</v>
      </c>
      <c r="V37" s="99" t="e">
        <f>Overview!AP42*Overview!$AA42*Results_energy_scenarios!$E37</f>
        <v>#REF!</v>
      </c>
      <c r="W37" s="99" t="e">
        <f>Overview!AQ42*Overview!$AA42*Results_energy_scenarios!$E37</f>
        <v>#REF!</v>
      </c>
      <c r="X37" s="99" t="e">
        <f>Overview!AR42*Overview!$AA42*Results_energy_scenarios!$E37</f>
        <v>#REF!</v>
      </c>
      <c r="Y37" s="143" t="e">
        <f>Overview!AS42*Overview!$AA42*Results_energy_scenarios!$E37</f>
        <v>#REF!</v>
      </c>
      <c r="Z37" s="99" t="e">
        <f>Overview!CP42*Overview!$AA42*Results_energy_scenarios!$E37</f>
        <v>#REF!</v>
      </c>
      <c r="AA37" s="99" t="e">
        <f>Overview!CQ42*Overview!$AA42*Results_energy_scenarios!$E37</f>
        <v>#REF!</v>
      </c>
      <c r="AB37" s="99" t="e">
        <f>Overview!CR42*Overview!$AA42*Results_energy_scenarios!$E37</f>
        <v>#REF!</v>
      </c>
      <c r="AC37" s="99" t="e">
        <f>Overview!CS42*Overview!$AA42*Results_energy_scenarios!$E37</f>
        <v>#REF!</v>
      </c>
      <c r="AD37" s="99" t="e">
        <f>Overview!CT42*Overview!$AA42*Results_energy_scenarios!$E37</f>
        <v>#REF!</v>
      </c>
      <c r="AE37" s="99" t="e">
        <f>Overview!CU42*Overview!$AA42*Results_energy_scenarios!$E37</f>
        <v>#REF!</v>
      </c>
      <c r="AF37" s="99" t="e">
        <f>Overview!CV42*Overview!$AA42*Results_energy_scenarios!$E37</f>
        <v>#REF!</v>
      </c>
      <c r="AG37" s="99" t="e">
        <f>Overview!CW42*Overview!$AA42*Results_energy_scenarios!$E37</f>
        <v>#REF!</v>
      </c>
      <c r="AH37" s="99" t="e">
        <f>Overview!CX42*Overview!$AA42*Results_energy_scenarios!$E37</f>
        <v>#REF!</v>
      </c>
      <c r="AI37" s="99" t="e">
        <f>Overview!CY42*Overview!$AA42*Results_energy_scenarios!$E37</f>
        <v>#REF!</v>
      </c>
      <c r="AJ37" s="99" t="e">
        <f>Overview!CZ42*Overview!$AA42*Results_energy_scenarios!$E37</f>
        <v>#REF!</v>
      </c>
      <c r="AK37" s="99" t="e">
        <f>Overview!DA42*Overview!$AA42*Results_energy_scenarios!$E37</f>
        <v>#REF!</v>
      </c>
      <c r="AL37" s="99" t="e">
        <f>Overview!DB42*Overview!$AA42*Results_energy_scenarios!$E37</f>
        <v>#REF!</v>
      </c>
      <c r="AM37" s="99" t="e">
        <f>Overview!DC42*Overview!$AA42*Results_energy_scenarios!$E37</f>
        <v>#REF!</v>
      </c>
      <c r="AN37" s="99" t="e">
        <f>Overview!DD42*Overview!$AA42*Results_energy_scenarios!$E37</f>
        <v>#REF!</v>
      </c>
      <c r="AO37" s="143" t="e">
        <f>Overview!DE42*Overview!$AA42*Results_energy_scenarios!$E37</f>
        <v>#REF!</v>
      </c>
    </row>
    <row r="38" spans="1:41">
      <c r="A38" t="s">
        <v>4</v>
      </c>
      <c r="B38" t="s">
        <v>376</v>
      </c>
      <c r="C38" t="s">
        <v>328</v>
      </c>
      <c r="D38" s="114" t="s">
        <v>389</v>
      </c>
      <c r="E38" s="103"/>
      <c r="F38" s="103"/>
      <c r="G38">
        <v>12774</v>
      </c>
      <c r="H38" s="103"/>
      <c r="I38" s="170"/>
      <c r="J38" s="100" t="e">
        <f>J36*$G38</f>
        <v>#REF!</v>
      </c>
      <c r="K38" s="99" t="e">
        <f t="shared" ref="K38:AO38" si="30">K36*$G38</f>
        <v>#REF!</v>
      </c>
      <c r="L38" s="99" t="e">
        <f t="shared" si="30"/>
        <v>#REF!</v>
      </c>
      <c r="M38" s="99" t="e">
        <f t="shared" si="30"/>
        <v>#REF!</v>
      </c>
      <c r="N38" s="99" t="e">
        <f t="shared" si="30"/>
        <v>#REF!</v>
      </c>
      <c r="O38" s="99" t="e">
        <f t="shared" si="30"/>
        <v>#REF!</v>
      </c>
      <c r="P38" s="99" t="e">
        <f t="shared" si="30"/>
        <v>#REF!</v>
      </c>
      <c r="Q38" s="99" t="e">
        <f t="shared" si="30"/>
        <v>#REF!</v>
      </c>
      <c r="R38" s="99" t="e">
        <f t="shared" si="30"/>
        <v>#REF!</v>
      </c>
      <c r="S38" s="99" t="e">
        <f t="shared" si="30"/>
        <v>#REF!</v>
      </c>
      <c r="T38" s="99" t="e">
        <f t="shared" si="30"/>
        <v>#REF!</v>
      </c>
      <c r="U38" s="99" t="e">
        <f t="shared" si="30"/>
        <v>#REF!</v>
      </c>
      <c r="V38" s="99" t="e">
        <f t="shared" si="30"/>
        <v>#REF!</v>
      </c>
      <c r="W38" s="99" t="e">
        <f t="shared" si="30"/>
        <v>#REF!</v>
      </c>
      <c r="X38" s="99" t="e">
        <f t="shared" si="30"/>
        <v>#REF!</v>
      </c>
      <c r="Y38" s="102" t="e">
        <f t="shared" si="30"/>
        <v>#REF!</v>
      </c>
      <c r="Z38" s="100" t="e">
        <f t="shared" si="30"/>
        <v>#REF!</v>
      </c>
      <c r="AA38" s="99" t="e">
        <f t="shared" si="30"/>
        <v>#REF!</v>
      </c>
      <c r="AB38" s="99" t="e">
        <f t="shared" si="30"/>
        <v>#REF!</v>
      </c>
      <c r="AC38" s="99" t="e">
        <f t="shared" si="30"/>
        <v>#REF!</v>
      </c>
      <c r="AD38" s="99" t="e">
        <f t="shared" si="30"/>
        <v>#REF!</v>
      </c>
      <c r="AE38" s="99" t="e">
        <f t="shared" si="30"/>
        <v>#REF!</v>
      </c>
      <c r="AF38" s="99" t="e">
        <f t="shared" si="30"/>
        <v>#REF!</v>
      </c>
      <c r="AG38" s="99" t="e">
        <f t="shared" si="30"/>
        <v>#REF!</v>
      </c>
      <c r="AH38" s="99" t="e">
        <f t="shared" si="30"/>
        <v>#REF!</v>
      </c>
      <c r="AI38" s="99" t="e">
        <f t="shared" si="30"/>
        <v>#REF!</v>
      </c>
      <c r="AJ38" s="99" t="e">
        <f t="shared" si="30"/>
        <v>#REF!</v>
      </c>
      <c r="AK38" s="99" t="e">
        <f t="shared" si="30"/>
        <v>#REF!</v>
      </c>
      <c r="AL38" s="99" t="e">
        <f t="shared" si="30"/>
        <v>#REF!</v>
      </c>
      <c r="AM38" s="99" t="e">
        <f t="shared" si="30"/>
        <v>#REF!</v>
      </c>
      <c r="AN38" s="99" t="e">
        <f t="shared" si="30"/>
        <v>#REF!</v>
      </c>
      <c r="AO38" s="101" t="e">
        <f t="shared" si="30"/>
        <v>#REF!</v>
      </c>
    </row>
    <row r="39" spans="1:41">
      <c r="A39" t="s">
        <v>4</v>
      </c>
      <c r="B39" t="s">
        <v>376</v>
      </c>
      <c r="C39" t="s">
        <v>328</v>
      </c>
      <c r="D39" s="140" t="s">
        <v>415</v>
      </c>
      <c r="E39">
        <f>Overview!G43</f>
        <v>1.0870242761755119E-2</v>
      </c>
      <c r="F39" s="103"/>
      <c r="G39" s="103"/>
      <c r="H39" s="103"/>
      <c r="I39" s="170">
        <f>E39/E49</f>
        <v>1.3937987374944846E-7</v>
      </c>
      <c r="J39" s="100" t="e">
        <f>Overview!AD43*Overview!$AA43*Results_energy_scenarios!$E39</f>
        <v>#REF!</v>
      </c>
      <c r="K39" s="99" t="e">
        <f>Overview!AE43*Overview!$AA43*Results_energy_scenarios!$E39</f>
        <v>#REF!</v>
      </c>
      <c r="L39" s="99" t="e">
        <f>Overview!AF43*Overview!$AA43*Results_energy_scenarios!$E39</f>
        <v>#REF!</v>
      </c>
      <c r="M39" s="99" t="e">
        <f>Overview!AG43*Overview!$AA43*Results_energy_scenarios!$E39</f>
        <v>#REF!</v>
      </c>
      <c r="N39" s="99" t="e">
        <f>Overview!AH43*Overview!$AA43*Results_energy_scenarios!$E39</f>
        <v>#REF!</v>
      </c>
      <c r="O39" s="99" t="e">
        <f>Overview!AI43*Overview!$AA43*Results_energy_scenarios!$E39</f>
        <v>#REF!</v>
      </c>
      <c r="P39" s="99" t="e">
        <f>Overview!AJ43*Overview!$AA43*Results_energy_scenarios!$E39</f>
        <v>#REF!</v>
      </c>
      <c r="Q39" s="99" t="e">
        <f>Overview!AK43*Overview!$AA43*Results_energy_scenarios!$E39</f>
        <v>#REF!</v>
      </c>
      <c r="R39" s="99" t="e">
        <f>Overview!AL43*Overview!$AA43*Results_energy_scenarios!$E39</f>
        <v>#REF!</v>
      </c>
      <c r="S39" s="99" t="e">
        <f>Overview!AM43*Overview!$AA43*Results_energy_scenarios!$E39</f>
        <v>#REF!</v>
      </c>
      <c r="T39" s="99" t="e">
        <f>Overview!AN43*Overview!$AA43*Results_energy_scenarios!$E39</f>
        <v>#REF!</v>
      </c>
      <c r="U39" s="99" t="e">
        <f>Overview!AO43*Overview!$AA43*Results_energy_scenarios!$E39</f>
        <v>#REF!</v>
      </c>
      <c r="V39" s="99" t="e">
        <f>Overview!AP43*Overview!$AA43*Results_energy_scenarios!$E39</f>
        <v>#REF!</v>
      </c>
      <c r="W39" s="99" t="e">
        <f>Overview!AQ43*Overview!$AA43*Results_energy_scenarios!$E39</f>
        <v>#REF!</v>
      </c>
      <c r="X39" s="99" t="e">
        <f>Overview!AR43*Overview!$AA43*Results_energy_scenarios!$E39</f>
        <v>#REF!</v>
      </c>
      <c r="Y39" s="102" t="e">
        <f>Overview!AS43*Overview!$AA43*Results_energy_scenarios!$E39</f>
        <v>#REF!</v>
      </c>
      <c r="Z39" s="100" t="e">
        <f>Overview!CP43*Overview!$AA43*Results_energy_scenarios!$E39</f>
        <v>#REF!</v>
      </c>
      <c r="AA39" s="99" t="e">
        <f>Overview!CQ43*Overview!$AA43*Results_energy_scenarios!$E39</f>
        <v>#REF!</v>
      </c>
      <c r="AB39" s="99" t="e">
        <f>Overview!CR43*Overview!$AA43*Results_energy_scenarios!$E39</f>
        <v>#REF!</v>
      </c>
      <c r="AC39" s="99" t="e">
        <f>Overview!CS43*Overview!$AA43*Results_energy_scenarios!$E39</f>
        <v>#REF!</v>
      </c>
      <c r="AD39" s="99" t="e">
        <f>Overview!CT43*Overview!$AA43*Results_energy_scenarios!$E39</f>
        <v>#REF!</v>
      </c>
      <c r="AE39" s="99" t="e">
        <f>Overview!CU43*Overview!$AA43*Results_energy_scenarios!$E39</f>
        <v>#REF!</v>
      </c>
      <c r="AF39" s="99" t="e">
        <f>Overview!CV43*Overview!$AA43*Results_energy_scenarios!$E39</f>
        <v>#REF!</v>
      </c>
      <c r="AG39" s="99" t="e">
        <f>Overview!CW43*Overview!$AA43*Results_energy_scenarios!$E39</f>
        <v>#REF!</v>
      </c>
      <c r="AH39" s="99" t="e">
        <f>Overview!CX43*Overview!$AA43*Results_energy_scenarios!$E39</f>
        <v>#REF!</v>
      </c>
      <c r="AI39" s="99" t="e">
        <f>Overview!CY43*Overview!$AA43*Results_energy_scenarios!$E39</f>
        <v>#REF!</v>
      </c>
      <c r="AJ39" s="99" t="e">
        <f>Overview!CZ43*Overview!$AA43*Results_energy_scenarios!$E39</f>
        <v>#REF!</v>
      </c>
      <c r="AK39" s="99" t="e">
        <f>Overview!DA43*Overview!$AA43*Results_energy_scenarios!$E39</f>
        <v>#REF!</v>
      </c>
      <c r="AL39" s="99" t="e">
        <f>Overview!DB43*Overview!$AA43*Results_energy_scenarios!$E39</f>
        <v>#REF!</v>
      </c>
      <c r="AM39" s="99" t="e">
        <f>Overview!DC43*Overview!$AA43*Results_energy_scenarios!$E39</f>
        <v>#REF!</v>
      </c>
      <c r="AN39" s="99" t="e">
        <f>Overview!DD43*Overview!$AA43*Results_energy_scenarios!$E39</f>
        <v>#REF!</v>
      </c>
      <c r="AO39" s="101" t="e">
        <f>Overview!DE43*Overview!$AA43*Results_energy_scenarios!$E39</f>
        <v>#REF!</v>
      </c>
    </row>
    <row r="40" spans="1:41">
      <c r="A40" t="s">
        <v>4</v>
      </c>
      <c r="B40" t="s">
        <v>376</v>
      </c>
      <c r="C40" t="s">
        <v>328</v>
      </c>
      <c r="D40" s="140" t="s">
        <v>417</v>
      </c>
      <c r="E40" s="103"/>
      <c r="F40" s="103"/>
      <c r="G40">
        <f>-Overview!G30</f>
        <v>3.5435903108877702E-5</v>
      </c>
      <c r="H40" s="103"/>
      <c r="I40" s="170"/>
      <c r="J40" s="100" t="e">
        <f>Overview!AD30*Overview!$Z30/7*Overview!$C26/Overview!$G26*Results_energy_scenarios!$G40+Overview!$G27*Results_energy_scenarios!$G40*Results_energy_scenarios!J36</f>
        <v>#REF!</v>
      </c>
      <c r="K40" s="99" t="e">
        <f>Overview!AE30*Overview!$Z30/7*Overview!$C26/Overview!$G26*Results_energy_scenarios!$G40+Overview!$G27*Results_energy_scenarios!$G40*Results_energy_scenarios!K36</f>
        <v>#REF!</v>
      </c>
      <c r="L40" s="99" t="e">
        <f>Overview!AF30*Overview!$Z30/7*Overview!$C26/Overview!$G26*Results_energy_scenarios!$G40+Overview!$G27*Results_energy_scenarios!$G40*Results_energy_scenarios!L36</f>
        <v>#REF!</v>
      </c>
      <c r="M40" s="99" t="e">
        <f>Overview!AG30*Overview!$Z30/7*Overview!$C26/Overview!$G26*Results_energy_scenarios!$G40+Overview!$G27*Results_energy_scenarios!$G40*Results_energy_scenarios!M36</f>
        <v>#REF!</v>
      </c>
      <c r="N40" s="99" t="e">
        <f>Overview!AH30*Overview!$Z30/7*Overview!$C26/Overview!$G26*Results_energy_scenarios!$G40+Overview!$G27*Results_energy_scenarios!$G40*Results_energy_scenarios!N36</f>
        <v>#REF!</v>
      </c>
      <c r="O40" s="99" t="e">
        <f>Overview!AI30*Overview!$Z30/7*Overview!$C26/Overview!$G26*Results_energy_scenarios!$G40+Overview!$G27*Results_energy_scenarios!$G40*Results_energy_scenarios!O36</f>
        <v>#REF!</v>
      </c>
      <c r="P40" s="99" t="e">
        <f>Overview!AJ30*Overview!$Z30/7*Overview!$C26/Overview!$G26*Results_energy_scenarios!$G40+Overview!$G27*Results_energy_scenarios!$G40*Results_energy_scenarios!P36</f>
        <v>#REF!</v>
      </c>
      <c r="Q40" s="99" t="e">
        <f>Overview!AK30*Overview!$Z30/7*Overview!$C26/Overview!$G26*Results_energy_scenarios!$G40+Overview!$G27*Results_energy_scenarios!$G40*Results_energy_scenarios!Q36</f>
        <v>#REF!</v>
      </c>
      <c r="R40" s="99" t="e">
        <f>Overview!AL30*Overview!$Z30/7*Overview!$C26/Overview!$G26*Results_energy_scenarios!$G40+Overview!$G27*Results_energy_scenarios!$G40*Results_energy_scenarios!R36</f>
        <v>#REF!</v>
      </c>
      <c r="S40" s="99" t="e">
        <f>Overview!AM30*Overview!$Z30/7*Overview!$C26/Overview!$G26*Results_energy_scenarios!$G40+Overview!$G27*Results_energy_scenarios!$G40*Results_energy_scenarios!S36</f>
        <v>#REF!</v>
      </c>
      <c r="T40" s="99" t="e">
        <f>Overview!AN30*Overview!$Z30/7*Overview!$C26/Overview!$G26*Results_energy_scenarios!$G40+Overview!$G27*Results_energy_scenarios!$G40*Results_energy_scenarios!T36</f>
        <v>#REF!</v>
      </c>
      <c r="U40" s="99" t="e">
        <f>Overview!AO30*Overview!$Z30/7*Overview!$C26/Overview!$G26*Results_energy_scenarios!$G40+Overview!$G27*Results_energy_scenarios!$G40*Results_energy_scenarios!U36</f>
        <v>#REF!</v>
      </c>
      <c r="V40" s="99" t="e">
        <f>Overview!AP30*Overview!$Z30/7*Overview!$C26/Overview!$G26*Results_energy_scenarios!$G40+Overview!$G27*Results_energy_scenarios!$G40*Results_energy_scenarios!V36</f>
        <v>#REF!</v>
      </c>
      <c r="W40" s="99" t="e">
        <f>Overview!AQ30*Overview!$Z30/7*Overview!$C26/Overview!$G26*Results_energy_scenarios!$G40+Overview!$G27*Results_energy_scenarios!$G40*Results_energy_scenarios!W36</f>
        <v>#REF!</v>
      </c>
      <c r="X40" s="99" t="e">
        <f>Overview!AR30*Overview!$Z30/7*Overview!$C26/Overview!$G26*Results_energy_scenarios!$G40+Overview!$G27*Results_energy_scenarios!$G40*Results_energy_scenarios!X36</f>
        <v>#REF!</v>
      </c>
      <c r="Y40" s="102" t="e">
        <f>Overview!AS30*Overview!$Z30/7*Overview!$C26/Overview!$G26*Results_energy_scenarios!$G40+Overview!$G27*Results_energy_scenarios!$G40*Results_energy_scenarios!Y36</f>
        <v>#REF!</v>
      </c>
      <c r="Z40" s="100" t="e">
        <f>Overview!CP30*Overview!$Z30/7*Overview!$C26/Overview!$G26*Results_energy_scenarios!$G40+Overview!$G27*Results_energy_scenarios!$G40*Results_energy_scenarios!Z36</f>
        <v>#REF!</v>
      </c>
      <c r="AA40" s="99" t="e">
        <f>Overview!CQ30*Overview!$Z30/7*Overview!$C26/Overview!$G26*Results_energy_scenarios!$G40+Overview!$G27*Results_energy_scenarios!$G40*Results_energy_scenarios!AA36</f>
        <v>#REF!</v>
      </c>
      <c r="AB40" s="99" t="e">
        <f>Overview!CR30*Overview!$Z30/7*Overview!$C26/Overview!$G26*Results_energy_scenarios!$G40+Overview!$G27*Results_energy_scenarios!$G40*Results_energy_scenarios!AB36</f>
        <v>#REF!</v>
      </c>
      <c r="AC40" s="99" t="e">
        <f>Overview!CS30*Overview!$Z30/7*Overview!$C26/Overview!$G26*Results_energy_scenarios!$G40+Overview!$G27*Results_energy_scenarios!$G40*Results_energy_scenarios!AC36</f>
        <v>#REF!</v>
      </c>
      <c r="AD40" s="99" t="e">
        <f>Overview!CT30*Overview!$Z30/7*Overview!$C26/Overview!$G26*Results_energy_scenarios!$G40+Overview!$G27*Results_energy_scenarios!$G40*Results_energy_scenarios!AD36</f>
        <v>#REF!</v>
      </c>
      <c r="AE40" s="99" t="e">
        <f>Overview!CU30*Overview!$Z30/7*Overview!$C26/Overview!$G26*Results_energy_scenarios!$G40+Overview!$G27*Results_energy_scenarios!$G40*Results_energy_scenarios!AE36</f>
        <v>#REF!</v>
      </c>
      <c r="AF40" s="99" t="e">
        <f>Overview!CV30*Overview!$Z30/7*Overview!$C26/Overview!$G26*Results_energy_scenarios!$G40+Overview!$G27*Results_energy_scenarios!$G40*Results_energy_scenarios!AF36</f>
        <v>#REF!</v>
      </c>
      <c r="AG40" s="99" t="e">
        <f>Overview!CW30*Overview!$Z30/7*Overview!$C26/Overview!$G26*Results_energy_scenarios!$G40+Overview!$G27*Results_energy_scenarios!$G40*Results_energy_scenarios!AG36</f>
        <v>#REF!</v>
      </c>
      <c r="AH40" s="99" t="e">
        <f>Overview!CX30*Overview!$Z30/7*Overview!$C26/Overview!$G26*Results_energy_scenarios!$G40+Overview!$G27*Results_energy_scenarios!$G40*Results_energy_scenarios!AH36</f>
        <v>#REF!</v>
      </c>
      <c r="AI40" s="99" t="e">
        <f>Overview!CY30*Overview!$Z30/7*Overview!$C26/Overview!$G26*Results_energy_scenarios!$G40+Overview!$G27*Results_energy_scenarios!$G40*Results_energy_scenarios!AI36</f>
        <v>#REF!</v>
      </c>
      <c r="AJ40" s="99" t="e">
        <f>Overview!CZ30*Overview!$Z30/7*Overview!$C26/Overview!$G26*Results_energy_scenarios!$G40+Overview!$G27*Results_energy_scenarios!$G40*Results_energy_scenarios!AJ36</f>
        <v>#REF!</v>
      </c>
      <c r="AK40" s="99" t="e">
        <f>Overview!DA30*Overview!$Z30/7*Overview!$C26/Overview!$G26*Results_energy_scenarios!$G40+Overview!$G27*Results_energy_scenarios!$G40*Results_energy_scenarios!AK36</f>
        <v>#REF!</v>
      </c>
      <c r="AL40" s="99" t="e">
        <f>Overview!DB30*Overview!$Z30/7*Overview!$C26/Overview!$G26*Results_energy_scenarios!$G40+Overview!$G27*Results_energy_scenarios!$G40*Results_energy_scenarios!AL36</f>
        <v>#REF!</v>
      </c>
      <c r="AM40" s="99" t="e">
        <f>Overview!DC30*Overview!$Z30/7*Overview!$C26/Overview!$G26*Results_energy_scenarios!$G40+Overview!$G27*Results_energy_scenarios!$G40*Results_energy_scenarios!AM36</f>
        <v>#REF!</v>
      </c>
      <c r="AN40" s="99" t="e">
        <f>Overview!DD30*Overview!$Z30/7*Overview!$C26/Overview!$G26*Results_energy_scenarios!$G40+Overview!$G27*Results_energy_scenarios!$G40*Results_energy_scenarios!AN36</f>
        <v>#REF!</v>
      </c>
      <c r="AO40" s="101" t="e">
        <f>Overview!DE30*Overview!$Z30/7*Overview!$C26/Overview!$G26*Results_energy_scenarios!$G40+Overview!$G27*Results_energy_scenarios!$G40*Results_energy_scenarios!AO36</f>
        <v>#REF!</v>
      </c>
    </row>
    <row r="41" spans="1:41">
      <c r="A41" t="s">
        <v>4</v>
      </c>
      <c r="B41" t="s">
        <v>376</v>
      </c>
      <c r="C41" t="s">
        <v>328</v>
      </c>
      <c r="D41" s="140" t="s">
        <v>416</v>
      </c>
      <c r="E41">
        <f>Overview!G44</f>
        <v>2.8139014523322351E-2</v>
      </c>
      <c r="F41" s="103"/>
      <c r="G41" s="103"/>
      <c r="H41" s="103"/>
      <c r="I41" s="170">
        <f>E41/E49</f>
        <v>3.6080264053471003E-7</v>
      </c>
      <c r="J41" s="100" t="e">
        <f>Overview!AD44*Overview!$AA44*Results_energy_scenarios!$E41</f>
        <v>#REF!</v>
      </c>
      <c r="K41" s="99" t="e">
        <f>Overview!AE44*Overview!$AA44*Results_energy_scenarios!$E41</f>
        <v>#REF!</v>
      </c>
      <c r="L41" s="99" t="e">
        <f>Overview!AF44*Overview!$AA44*Results_energy_scenarios!$E41</f>
        <v>#REF!</v>
      </c>
      <c r="M41" s="99" t="e">
        <f>Overview!AG44*Overview!$AA44*Results_energy_scenarios!$E41</f>
        <v>#REF!</v>
      </c>
      <c r="N41" s="99" t="e">
        <f>Overview!AH44*Overview!$AA44*Results_energy_scenarios!$E41</f>
        <v>#REF!</v>
      </c>
      <c r="O41" s="99" t="e">
        <f>Overview!AI44*Overview!$AA44*Results_energy_scenarios!$E41</f>
        <v>#REF!</v>
      </c>
      <c r="P41" s="99" t="e">
        <f>Overview!AJ44*Overview!$AA44*Results_energy_scenarios!$E41</f>
        <v>#REF!</v>
      </c>
      <c r="Q41" s="99" t="e">
        <f>Overview!AK44*Overview!$AA44*Results_energy_scenarios!$E41</f>
        <v>#REF!</v>
      </c>
      <c r="R41" s="99" t="e">
        <f>Overview!AL44*Overview!$AA44*Results_energy_scenarios!$E41</f>
        <v>#REF!</v>
      </c>
      <c r="S41" s="99" t="e">
        <f>Overview!AM44*Overview!$AA44*Results_energy_scenarios!$E41</f>
        <v>#REF!</v>
      </c>
      <c r="T41" s="99" t="e">
        <f>Overview!AN44*Overview!$AA44*Results_energy_scenarios!$E41</f>
        <v>#REF!</v>
      </c>
      <c r="U41" s="99" t="e">
        <f>Overview!AO44*Overview!$AA44*Results_energy_scenarios!$E41</f>
        <v>#REF!</v>
      </c>
      <c r="V41" s="99" t="e">
        <f>Overview!AP44*Overview!$AA44*Results_energy_scenarios!$E41</f>
        <v>#REF!</v>
      </c>
      <c r="W41" s="99" t="e">
        <f>Overview!AQ44*Overview!$AA44*Results_energy_scenarios!$E41</f>
        <v>#REF!</v>
      </c>
      <c r="X41" s="99" t="e">
        <f>Overview!AR44*Overview!$AA44*Results_energy_scenarios!$E41</f>
        <v>#REF!</v>
      </c>
      <c r="Y41" s="102" t="e">
        <f>Overview!AS44*Overview!$AA44*Results_energy_scenarios!$E41</f>
        <v>#REF!</v>
      </c>
      <c r="Z41" s="100" t="e">
        <f>Overview!CP44*Overview!$AA44*Results_energy_scenarios!$E41</f>
        <v>#REF!</v>
      </c>
      <c r="AA41" s="99" t="e">
        <f>Overview!CQ44*Overview!$AA44*Results_energy_scenarios!$E41</f>
        <v>#REF!</v>
      </c>
      <c r="AB41" s="99" t="e">
        <f>Overview!CR44*Overview!$AA44*Results_energy_scenarios!$E41</f>
        <v>#REF!</v>
      </c>
      <c r="AC41" s="99" t="e">
        <f>Overview!CS44*Overview!$AA44*Results_energy_scenarios!$E41</f>
        <v>#REF!</v>
      </c>
      <c r="AD41" s="99" t="e">
        <f>Overview!CT44*Overview!$AA44*Results_energy_scenarios!$E41</f>
        <v>#REF!</v>
      </c>
      <c r="AE41" s="99" t="e">
        <f>Overview!CU44*Overview!$AA44*Results_energy_scenarios!$E41</f>
        <v>#REF!</v>
      </c>
      <c r="AF41" s="99" t="e">
        <f>Overview!CV44*Overview!$AA44*Results_energy_scenarios!$E41</f>
        <v>#REF!</v>
      </c>
      <c r="AG41" s="99" t="e">
        <f>Overview!CW44*Overview!$AA44*Results_energy_scenarios!$E41</f>
        <v>#REF!</v>
      </c>
      <c r="AH41" s="99" t="e">
        <f>Overview!CX44*Overview!$AA44*Results_energy_scenarios!$E41</f>
        <v>#REF!</v>
      </c>
      <c r="AI41" s="99" t="e">
        <f>Overview!CY44*Overview!$AA44*Results_energy_scenarios!$E41</f>
        <v>#REF!</v>
      </c>
      <c r="AJ41" s="99" t="e">
        <f>Overview!CZ44*Overview!$AA44*Results_energy_scenarios!$E41</f>
        <v>#REF!</v>
      </c>
      <c r="AK41" s="99" t="e">
        <f>Overview!DA44*Overview!$AA44*Results_energy_scenarios!$E41</f>
        <v>#REF!</v>
      </c>
      <c r="AL41" s="99" t="e">
        <f>Overview!DB44*Overview!$AA44*Results_energy_scenarios!$E41</f>
        <v>#REF!</v>
      </c>
      <c r="AM41" s="99" t="e">
        <f>Overview!DC44*Overview!$AA44*Results_energy_scenarios!$E41</f>
        <v>#REF!</v>
      </c>
      <c r="AN41" s="99" t="e">
        <f>Overview!DD44*Overview!$AA44*Results_energy_scenarios!$E41</f>
        <v>#REF!</v>
      </c>
      <c r="AO41" s="101" t="e">
        <f>Overview!DE44*Overview!$AA44*Results_energy_scenarios!$E41</f>
        <v>#REF!</v>
      </c>
    </row>
    <row r="42" spans="1:41">
      <c r="A42" t="s">
        <v>4</v>
      </c>
      <c r="B42" t="s">
        <v>376</v>
      </c>
      <c r="C42" t="s">
        <v>328</v>
      </c>
      <c r="D42" s="140" t="s">
        <v>418</v>
      </c>
      <c r="E42" s="103"/>
      <c r="F42" s="103"/>
      <c r="G42">
        <f>Overview!G8/(E47+E41)*E41</f>
        <v>7.8011648723559654E-3</v>
      </c>
      <c r="H42" s="103"/>
      <c r="I42" s="170"/>
      <c r="J42" s="100" t="e">
        <f>Overview!AD8*Overview!$Z8*Results_energy_scenarios!$G42</f>
        <v>#REF!</v>
      </c>
      <c r="K42" s="99" t="e">
        <f>Overview!AE8*Overview!$Z8*Results_energy_scenarios!$G42</f>
        <v>#REF!</v>
      </c>
      <c r="L42" s="99" t="e">
        <f>Overview!AF8*Overview!$Z8*Results_energy_scenarios!$G42</f>
        <v>#REF!</v>
      </c>
      <c r="M42" s="99" t="e">
        <f>Overview!AG8*Overview!$Z8*Results_energy_scenarios!$G42</f>
        <v>#REF!</v>
      </c>
      <c r="N42" s="99" t="e">
        <f>Overview!AH8*Overview!$Z8*Results_energy_scenarios!$G42</f>
        <v>#REF!</v>
      </c>
      <c r="O42" s="99" t="e">
        <f>Overview!AI8*Overview!$Z8*Results_energy_scenarios!$G42</f>
        <v>#REF!</v>
      </c>
      <c r="P42" s="99" t="e">
        <f>Overview!AJ8*Overview!$Z8*Results_energy_scenarios!$G42</f>
        <v>#REF!</v>
      </c>
      <c r="Q42" s="99" t="e">
        <f>Overview!AK8*Overview!$Z8*Results_energy_scenarios!$G42</f>
        <v>#REF!</v>
      </c>
      <c r="R42" s="99" t="e">
        <f>Overview!AL8*Overview!$Z8*Results_energy_scenarios!$G42</f>
        <v>#REF!</v>
      </c>
      <c r="S42" s="99" t="e">
        <f>Overview!AM8*Overview!$Z8*Results_energy_scenarios!$G42</f>
        <v>#REF!</v>
      </c>
      <c r="T42" s="99" t="e">
        <f>Overview!AN8*Overview!$Z8*Results_energy_scenarios!$G42</f>
        <v>#REF!</v>
      </c>
      <c r="U42" s="99" t="e">
        <f>Overview!AO8*Overview!$Z8*Results_energy_scenarios!$G42</f>
        <v>#REF!</v>
      </c>
      <c r="V42" s="99" t="e">
        <f>Overview!AP8*Overview!$Z8*Results_energy_scenarios!$G42</f>
        <v>#REF!</v>
      </c>
      <c r="W42" s="99" t="e">
        <f>Overview!AQ8*Overview!$Z8*Results_energy_scenarios!$G42</f>
        <v>#REF!</v>
      </c>
      <c r="X42" s="99" t="e">
        <f>Overview!AR8*Overview!$Z8*Results_energy_scenarios!$G42</f>
        <v>#REF!</v>
      </c>
      <c r="Y42" s="102" t="e">
        <f>Overview!AS8*Overview!$Z8*Results_energy_scenarios!$G42</f>
        <v>#REF!</v>
      </c>
      <c r="Z42" s="100" t="e">
        <f>Overview!CP8*Overview!$Z8*Results_energy_scenarios!$G42</f>
        <v>#REF!</v>
      </c>
      <c r="AA42" s="99" t="e">
        <f>Overview!CQ8*Overview!$Z8*Results_energy_scenarios!$G42</f>
        <v>#REF!</v>
      </c>
      <c r="AB42" s="99" t="e">
        <f>Overview!CR8*Overview!$Z8*Results_energy_scenarios!$G42</f>
        <v>#REF!</v>
      </c>
      <c r="AC42" s="99" t="e">
        <f>Overview!CS8*Overview!$Z8*Results_energy_scenarios!$G42</f>
        <v>#REF!</v>
      </c>
      <c r="AD42" s="99" t="e">
        <f>Overview!CT8*Overview!$Z8*Results_energy_scenarios!$G42</f>
        <v>#REF!</v>
      </c>
      <c r="AE42" s="99" t="e">
        <f>Overview!CU8*Overview!$Z8*Results_energy_scenarios!$G42</f>
        <v>#REF!</v>
      </c>
      <c r="AF42" s="99" t="e">
        <f>Overview!CV8*Overview!$Z8*Results_energy_scenarios!$G42</f>
        <v>#REF!</v>
      </c>
      <c r="AG42" s="99" t="e">
        <f>Overview!CW8*Overview!$Z8*Results_energy_scenarios!$G42</f>
        <v>#REF!</v>
      </c>
      <c r="AH42" s="99" t="e">
        <f>Overview!CX8*Overview!$Z8*Results_energy_scenarios!$G42</f>
        <v>#REF!</v>
      </c>
      <c r="AI42" s="99" t="e">
        <f>Overview!CY8*Overview!$Z8*Results_energy_scenarios!$G42</f>
        <v>#REF!</v>
      </c>
      <c r="AJ42" s="99" t="e">
        <f>Overview!CZ8*Overview!$Z8*Results_energy_scenarios!$G42</f>
        <v>#REF!</v>
      </c>
      <c r="AK42" s="99" t="e">
        <f>Overview!DA8*Overview!$Z8*Results_energy_scenarios!$G42</f>
        <v>#REF!</v>
      </c>
      <c r="AL42" s="99" t="e">
        <f>Overview!DB8*Overview!$Z8*Results_energy_scenarios!$G42</f>
        <v>#REF!</v>
      </c>
      <c r="AM42" s="99" t="e">
        <f>Overview!DC8*Overview!$Z8*Results_energy_scenarios!$G42</f>
        <v>#REF!</v>
      </c>
      <c r="AN42" s="99" t="e">
        <f>Overview!DD8*Overview!$Z8*Results_energy_scenarios!$G42</f>
        <v>#REF!</v>
      </c>
      <c r="AO42" s="101" t="e">
        <f>Overview!DE8*Overview!$Z8*Results_energy_scenarios!$G42</f>
        <v>#REF!</v>
      </c>
    </row>
    <row r="43" spans="1:41">
      <c r="A43" t="s">
        <v>4</v>
      </c>
      <c r="B43" t="s">
        <v>376</v>
      </c>
      <c r="C43" t="s">
        <v>327</v>
      </c>
      <c r="D43" s="140" t="s">
        <v>377</v>
      </c>
      <c r="E43">
        <f>energy_data_per_scenario!E15*1000</f>
        <v>3200</v>
      </c>
      <c r="F43" s="103"/>
      <c r="G43" s="103"/>
      <c r="H43" s="103"/>
      <c r="I43" s="170">
        <f>E43/E49</f>
        <v>4.1030877209794807E-2</v>
      </c>
      <c r="J43" s="100" t="e">
        <f>Overview!AD32*Overview!$AA32*Results_energy_scenarios!$E43</f>
        <v>#REF!</v>
      </c>
      <c r="K43" s="99" t="e">
        <f>Overview!AE32*Overview!$AA32*Results_energy_scenarios!$E43</f>
        <v>#REF!</v>
      </c>
      <c r="L43" s="99" t="e">
        <f>Overview!AF32*Overview!$AA32*Results_energy_scenarios!$E43</f>
        <v>#REF!</v>
      </c>
      <c r="M43" s="99" t="e">
        <f>Overview!AG32*Overview!$AA32*Results_energy_scenarios!$E43</f>
        <v>#REF!</v>
      </c>
      <c r="N43" s="99" t="e">
        <f>Overview!AH32*Overview!$AA32*Results_energy_scenarios!$E43</f>
        <v>#REF!</v>
      </c>
      <c r="O43" s="99" t="e">
        <f>Overview!AI32*Overview!$AA32*Results_energy_scenarios!$E43</f>
        <v>#REF!</v>
      </c>
      <c r="P43" s="99" t="e">
        <f>Overview!AJ32*Overview!$AA32*Results_energy_scenarios!$E43</f>
        <v>#REF!</v>
      </c>
      <c r="Q43" s="99" t="e">
        <f>Overview!AK32*Overview!$AA32*Results_energy_scenarios!$E43</f>
        <v>#REF!</v>
      </c>
      <c r="R43" s="99" t="e">
        <f>Overview!AL32*Overview!$AA32*Results_energy_scenarios!$E43</f>
        <v>#REF!</v>
      </c>
      <c r="S43" s="99" t="e">
        <f>Overview!AM32*Overview!$AA32*Results_energy_scenarios!$E43</f>
        <v>#REF!</v>
      </c>
      <c r="T43" s="99" t="e">
        <f>Overview!AN32*Overview!$AA32*Results_energy_scenarios!$E43</f>
        <v>#REF!</v>
      </c>
      <c r="U43" s="99" t="e">
        <f>Overview!AO32*Overview!$AA32*Results_energy_scenarios!$E43</f>
        <v>#REF!</v>
      </c>
      <c r="V43" s="99" t="e">
        <f>Overview!AP32*Overview!$AA32*Results_energy_scenarios!$E43</f>
        <v>#REF!</v>
      </c>
      <c r="W43" s="99" t="e">
        <f>Overview!AQ32*Overview!$AA32*Results_energy_scenarios!$E43</f>
        <v>#REF!</v>
      </c>
      <c r="X43" s="99" t="e">
        <f>Overview!AR32*Overview!$AA32*Results_energy_scenarios!$E43</f>
        <v>#REF!</v>
      </c>
      <c r="Y43" s="102" t="e">
        <f>Overview!AS32*Overview!$AA32*Results_energy_scenarios!$E43</f>
        <v>#REF!</v>
      </c>
      <c r="Z43" s="100" t="e">
        <f>Overview!CP32*Overview!$AA32*Results_energy_scenarios!$E43</f>
        <v>#REF!</v>
      </c>
      <c r="AA43" s="99" t="e">
        <f>Overview!CQ32*Overview!$AA32*Results_energy_scenarios!$E43</f>
        <v>#REF!</v>
      </c>
      <c r="AB43" s="99" t="e">
        <f>Overview!CR32*Overview!$AA32*Results_energy_scenarios!$E43</f>
        <v>#REF!</v>
      </c>
      <c r="AC43" s="99" t="e">
        <f>Overview!CS32*Overview!$AA32*Results_energy_scenarios!$E43</f>
        <v>#REF!</v>
      </c>
      <c r="AD43" s="99" t="e">
        <f>Overview!CT32*Overview!$AA32*Results_energy_scenarios!$E43</f>
        <v>#REF!</v>
      </c>
      <c r="AE43" s="99" t="e">
        <f>Overview!CU32*Overview!$AA32*Results_energy_scenarios!$E43</f>
        <v>#REF!</v>
      </c>
      <c r="AF43" s="99" t="e">
        <f>Overview!CV32*Overview!$AA32*Results_energy_scenarios!$E43</f>
        <v>#REF!</v>
      </c>
      <c r="AG43" s="99" t="e">
        <f>Overview!CW32*Overview!$AA32*Results_energy_scenarios!$E43</f>
        <v>#REF!</v>
      </c>
      <c r="AH43" s="99" t="e">
        <f>Overview!CX32*Overview!$AA32*Results_energy_scenarios!$E43</f>
        <v>#REF!</v>
      </c>
      <c r="AI43" s="99" t="e">
        <f>Overview!CY32*Overview!$AA32*Results_energy_scenarios!$E43</f>
        <v>#REF!</v>
      </c>
      <c r="AJ43" s="99" t="e">
        <f>Overview!CZ32*Overview!$AA32*Results_energy_scenarios!$E43</f>
        <v>#REF!</v>
      </c>
      <c r="AK43" s="99" t="e">
        <f>Overview!DA32*Overview!$AA32*Results_energy_scenarios!$E43</f>
        <v>#REF!</v>
      </c>
      <c r="AL43" s="99" t="e">
        <f>Overview!DB32*Overview!$AA32*Results_energy_scenarios!$E43</f>
        <v>#REF!</v>
      </c>
      <c r="AM43" s="99" t="e">
        <f>Overview!DC32*Overview!$AA32*Results_energy_scenarios!$E43</f>
        <v>#REF!</v>
      </c>
      <c r="AN43" s="99" t="e">
        <f>Overview!DD32*Overview!$AA32*Results_energy_scenarios!$E43</f>
        <v>#REF!</v>
      </c>
      <c r="AO43" s="101" t="e">
        <f>Overview!DE32*Overview!$AA32*Results_energy_scenarios!$E43</f>
        <v>#REF!</v>
      </c>
    </row>
    <row r="44" spans="1:41">
      <c r="A44" t="s">
        <v>4</v>
      </c>
      <c r="B44" t="s">
        <v>376</v>
      </c>
      <c r="C44" t="s">
        <v>327</v>
      </c>
      <c r="D44" s="114" t="s">
        <v>390</v>
      </c>
      <c r="E44" s="103"/>
      <c r="F44" s="103"/>
      <c r="G44">
        <v>3201</v>
      </c>
      <c r="H44" s="103"/>
      <c r="I44" s="170"/>
      <c r="J44" s="100" t="e">
        <f t="shared" ref="J44:AO44" si="31">J36*$G44</f>
        <v>#REF!</v>
      </c>
      <c r="K44" s="99" t="e">
        <f t="shared" si="31"/>
        <v>#REF!</v>
      </c>
      <c r="L44" s="99" t="e">
        <f t="shared" si="31"/>
        <v>#REF!</v>
      </c>
      <c r="M44" s="99" t="e">
        <f t="shared" si="31"/>
        <v>#REF!</v>
      </c>
      <c r="N44" s="99" t="e">
        <f t="shared" si="31"/>
        <v>#REF!</v>
      </c>
      <c r="O44" s="99" t="e">
        <f t="shared" si="31"/>
        <v>#REF!</v>
      </c>
      <c r="P44" s="99" t="e">
        <f t="shared" si="31"/>
        <v>#REF!</v>
      </c>
      <c r="Q44" s="99" t="e">
        <f t="shared" si="31"/>
        <v>#REF!</v>
      </c>
      <c r="R44" s="99" t="e">
        <f t="shared" si="31"/>
        <v>#REF!</v>
      </c>
      <c r="S44" s="99" t="e">
        <f t="shared" si="31"/>
        <v>#REF!</v>
      </c>
      <c r="T44" s="99" t="e">
        <f t="shared" si="31"/>
        <v>#REF!</v>
      </c>
      <c r="U44" s="99" t="e">
        <f t="shared" si="31"/>
        <v>#REF!</v>
      </c>
      <c r="V44" s="99" t="e">
        <f t="shared" si="31"/>
        <v>#REF!</v>
      </c>
      <c r="W44" s="99" t="e">
        <f t="shared" si="31"/>
        <v>#REF!</v>
      </c>
      <c r="X44" s="99" t="e">
        <f t="shared" si="31"/>
        <v>#REF!</v>
      </c>
      <c r="Y44" s="102" t="e">
        <f t="shared" si="31"/>
        <v>#REF!</v>
      </c>
      <c r="Z44" s="100" t="e">
        <f t="shared" si="31"/>
        <v>#REF!</v>
      </c>
      <c r="AA44" s="99" t="e">
        <f t="shared" si="31"/>
        <v>#REF!</v>
      </c>
      <c r="AB44" s="99" t="e">
        <f t="shared" si="31"/>
        <v>#REF!</v>
      </c>
      <c r="AC44" s="99" t="e">
        <f t="shared" si="31"/>
        <v>#REF!</v>
      </c>
      <c r="AD44" s="99" t="e">
        <f t="shared" si="31"/>
        <v>#REF!</v>
      </c>
      <c r="AE44" s="99" t="e">
        <f t="shared" si="31"/>
        <v>#REF!</v>
      </c>
      <c r="AF44" s="99" t="e">
        <f t="shared" si="31"/>
        <v>#REF!</v>
      </c>
      <c r="AG44" s="99" t="e">
        <f t="shared" si="31"/>
        <v>#REF!</v>
      </c>
      <c r="AH44" s="99" t="e">
        <f t="shared" si="31"/>
        <v>#REF!</v>
      </c>
      <c r="AI44" s="99" t="e">
        <f t="shared" si="31"/>
        <v>#REF!</v>
      </c>
      <c r="AJ44" s="99" t="e">
        <f t="shared" si="31"/>
        <v>#REF!</v>
      </c>
      <c r="AK44" s="99" t="e">
        <f t="shared" si="31"/>
        <v>#REF!</v>
      </c>
      <c r="AL44" s="99" t="e">
        <f t="shared" si="31"/>
        <v>#REF!</v>
      </c>
      <c r="AM44" s="99" t="e">
        <f t="shared" si="31"/>
        <v>#REF!</v>
      </c>
      <c r="AN44" s="99" t="e">
        <f t="shared" si="31"/>
        <v>#REF!</v>
      </c>
      <c r="AO44" s="101" t="e">
        <f t="shared" si="31"/>
        <v>#REF!</v>
      </c>
    </row>
    <row r="45" spans="1:41">
      <c r="A45" t="s">
        <v>4</v>
      </c>
      <c r="B45" t="s">
        <v>376</v>
      </c>
      <c r="C45" t="s">
        <v>327</v>
      </c>
      <c r="D45" s="140" t="s">
        <v>415</v>
      </c>
      <c r="E45">
        <f>Overview!G33</f>
        <v>1.4573628854929301E-4</v>
      </c>
      <c r="F45" s="103"/>
      <c r="G45" s="103"/>
      <c r="H45" s="103"/>
      <c r="I45" s="170">
        <f>E45/E49</f>
        <v>1.8686524251491457E-9</v>
      </c>
      <c r="J45" s="100" t="e">
        <f>Overview!AD33*Overview!$AA33*Results_energy_scenarios!$E45</f>
        <v>#REF!</v>
      </c>
      <c r="K45" s="99" t="e">
        <f>Overview!AE33*Overview!$AA33*Results_energy_scenarios!$E45</f>
        <v>#REF!</v>
      </c>
      <c r="L45" s="99" t="e">
        <f>Overview!AF33*Overview!$AA33*Results_energy_scenarios!$E45</f>
        <v>#REF!</v>
      </c>
      <c r="M45" s="99" t="e">
        <f>Overview!AG33*Overview!$AA33*Results_energy_scenarios!$E45</f>
        <v>#REF!</v>
      </c>
      <c r="N45" s="99" t="e">
        <f>Overview!AH33*Overview!$AA33*Results_energy_scenarios!$E45</f>
        <v>#REF!</v>
      </c>
      <c r="O45" s="99" t="e">
        <f>Overview!AI33*Overview!$AA33*Results_energy_scenarios!$E45</f>
        <v>#REF!</v>
      </c>
      <c r="P45" s="99" t="e">
        <f>Overview!AJ33*Overview!$AA33*Results_energy_scenarios!$E45</f>
        <v>#REF!</v>
      </c>
      <c r="Q45" s="99" t="e">
        <f>Overview!AK33*Overview!$AA33*Results_energy_scenarios!$E45</f>
        <v>#REF!</v>
      </c>
      <c r="R45" s="99" t="e">
        <f>Overview!AL33*Overview!$AA33*Results_energy_scenarios!$E45</f>
        <v>#REF!</v>
      </c>
      <c r="S45" s="99" t="e">
        <f>Overview!AM33*Overview!$AA33*Results_energy_scenarios!$E45</f>
        <v>#REF!</v>
      </c>
      <c r="T45" s="99" t="e">
        <f>Overview!AN33*Overview!$AA33*Results_energy_scenarios!$E45</f>
        <v>#REF!</v>
      </c>
      <c r="U45" s="99" t="e">
        <f>Overview!AO33*Overview!$AA33*Results_energy_scenarios!$E45</f>
        <v>#REF!</v>
      </c>
      <c r="V45" s="99" t="e">
        <f>Overview!AP33*Overview!$AA33*Results_energy_scenarios!$E45</f>
        <v>#REF!</v>
      </c>
      <c r="W45" s="99" t="e">
        <f>Overview!AQ33*Overview!$AA33*Results_energy_scenarios!$E45</f>
        <v>#REF!</v>
      </c>
      <c r="X45" s="99" t="e">
        <f>Overview!AR33*Overview!$AA33*Results_energy_scenarios!$E45</f>
        <v>#REF!</v>
      </c>
      <c r="Y45" s="102" t="e">
        <f>Overview!AS33*Overview!$AA33*Results_energy_scenarios!$E45</f>
        <v>#REF!</v>
      </c>
      <c r="Z45" s="100" t="e">
        <f>Overview!CP33*Overview!$AA33*Results_energy_scenarios!$E45</f>
        <v>#REF!</v>
      </c>
      <c r="AA45" s="99" t="e">
        <f>Overview!CQ33*Overview!$AA33*Results_energy_scenarios!$E45</f>
        <v>#REF!</v>
      </c>
      <c r="AB45" s="99" t="e">
        <f>Overview!CR33*Overview!$AA33*Results_energy_scenarios!$E45</f>
        <v>#REF!</v>
      </c>
      <c r="AC45" s="99" t="e">
        <f>Overview!CS33*Overview!$AA33*Results_energy_scenarios!$E45</f>
        <v>#REF!</v>
      </c>
      <c r="AD45" s="99" t="e">
        <f>Overview!CT33*Overview!$AA33*Results_energy_scenarios!$E45</f>
        <v>#REF!</v>
      </c>
      <c r="AE45" s="99" t="e">
        <f>Overview!CU33*Overview!$AA33*Results_energy_scenarios!$E45</f>
        <v>#REF!</v>
      </c>
      <c r="AF45" s="99" t="e">
        <f>Overview!CV33*Overview!$AA33*Results_energy_scenarios!$E45</f>
        <v>#REF!</v>
      </c>
      <c r="AG45" s="99" t="e">
        <f>Overview!CW33*Overview!$AA33*Results_energy_scenarios!$E45</f>
        <v>#REF!</v>
      </c>
      <c r="AH45" s="99" t="e">
        <f>Overview!CX33*Overview!$AA33*Results_energy_scenarios!$E45</f>
        <v>#REF!</v>
      </c>
      <c r="AI45" s="99" t="e">
        <f>Overview!CY33*Overview!$AA33*Results_energy_scenarios!$E45</f>
        <v>#REF!</v>
      </c>
      <c r="AJ45" s="99" t="e">
        <f>Overview!CZ33*Overview!$AA33*Results_energy_scenarios!$E45</f>
        <v>#REF!</v>
      </c>
      <c r="AK45" s="99" t="e">
        <f>Overview!DA33*Overview!$AA33*Results_energy_scenarios!$E45</f>
        <v>#REF!</v>
      </c>
      <c r="AL45" s="99" t="e">
        <f>Overview!DB33*Overview!$AA33*Results_energy_scenarios!$E45</f>
        <v>#REF!</v>
      </c>
      <c r="AM45" s="99" t="e">
        <f>Overview!DC33*Overview!$AA33*Results_energy_scenarios!$E45</f>
        <v>#REF!</v>
      </c>
      <c r="AN45" s="99" t="e">
        <f>Overview!DD33*Overview!$AA33*Results_energy_scenarios!$E45</f>
        <v>#REF!</v>
      </c>
      <c r="AO45" s="101" t="e">
        <f>Overview!DE33*Overview!$AA33*Results_energy_scenarios!$E45</f>
        <v>#REF!</v>
      </c>
    </row>
    <row r="46" spans="1:41">
      <c r="A46" t="s">
        <v>4</v>
      </c>
      <c r="B46" t="s">
        <v>376</v>
      </c>
      <c r="C46" t="s">
        <v>327</v>
      </c>
      <c r="D46" s="140" t="s">
        <v>417</v>
      </c>
      <c r="E46" s="103"/>
      <c r="F46" s="103"/>
      <c r="G46">
        <f>-Overview!G31</f>
        <v>2.5952978566805111E-4</v>
      </c>
      <c r="H46" s="103"/>
      <c r="I46" s="170"/>
      <c r="J46" s="100" t="e">
        <f>Overview!AD31*Overview!$Z31/7*Overview!$C26/Overview!$G26*Results_energy_scenarios!$G46+Overview!$G27*Results_energy_scenarios!$G46*Results_energy_scenarios!J36</f>
        <v>#REF!</v>
      </c>
      <c r="K46" s="99" t="e">
        <f>Overview!AE31*Overview!$Z31/7*Overview!$C26/Overview!$G26*Results_energy_scenarios!$G46+Overview!$G27*Results_energy_scenarios!$G46*Results_energy_scenarios!K36</f>
        <v>#REF!</v>
      </c>
      <c r="L46" s="99" t="e">
        <f>Overview!AF31*Overview!$Z31/7*Overview!$C26/Overview!$G26*Results_energy_scenarios!$G46+Overview!$G27*Results_energy_scenarios!$G46*Results_energy_scenarios!L36</f>
        <v>#REF!</v>
      </c>
      <c r="M46" s="99" t="e">
        <f>Overview!AG31*Overview!$Z31/7*Overview!$C26/Overview!$G26*Results_energy_scenarios!$G46+Overview!$G27*Results_energy_scenarios!$G46*Results_energy_scenarios!M36</f>
        <v>#REF!</v>
      </c>
      <c r="N46" s="99" t="e">
        <f>Overview!AH31*Overview!$Z31/7*Overview!$C26/Overview!$G26*Results_energy_scenarios!$G46+Overview!$G27*Results_energy_scenarios!$G46*Results_energy_scenarios!N36</f>
        <v>#REF!</v>
      </c>
      <c r="O46" s="99" t="e">
        <f>Overview!AI31*Overview!$Z31/7*Overview!$C26/Overview!$G26*Results_energy_scenarios!$G46+Overview!$G27*Results_energy_scenarios!$G46*Results_energy_scenarios!O36</f>
        <v>#REF!</v>
      </c>
      <c r="P46" s="99" t="e">
        <f>Overview!AJ31*Overview!$Z31/7*Overview!$C26/Overview!$G26*Results_energy_scenarios!$G46+Overview!$G27*Results_energy_scenarios!$G46*Results_energy_scenarios!P36</f>
        <v>#REF!</v>
      </c>
      <c r="Q46" s="99" t="e">
        <f>Overview!AK31*Overview!$Z31/7*Overview!$C26/Overview!$G26*Results_energy_scenarios!$G46+Overview!$G27*Results_energy_scenarios!$G46*Results_energy_scenarios!Q36</f>
        <v>#REF!</v>
      </c>
      <c r="R46" s="99" t="e">
        <f>Overview!AL31*Overview!$Z31/7*Overview!$C26/Overview!$G26*Results_energy_scenarios!$G46+Overview!$G27*Results_energy_scenarios!$G46*Results_energy_scenarios!R36</f>
        <v>#REF!</v>
      </c>
      <c r="S46" s="99" t="e">
        <f>Overview!AM31*Overview!$Z31/7*Overview!$C26/Overview!$G26*Results_energy_scenarios!$G46+Overview!$G27*Results_energy_scenarios!$G46*Results_energy_scenarios!S36</f>
        <v>#REF!</v>
      </c>
      <c r="T46" s="99" t="e">
        <f>Overview!AN31*Overview!$Z31/7*Overview!$C26/Overview!$G26*Results_energy_scenarios!$G46+Overview!$G27*Results_energy_scenarios!$G46*Results_energy_scenarios!T36</f>
        <v>#REF!</v>
      </c>
      <c r="U46" s="99" t="e">
        <f>Overview!AO31*Overview!$Z31/7*Overview!$C26/Overview!$G26*Results_energy_scenarios!$G46+Overview!$G27*Results_energy_scenarios!$G46*Results_energy_scenarios!U36</f>
        <v>#REF!</v>
      </c>
      <c r="V46" s="99" t="e">
        <f>Overview!AP31*Overview!$Z31/7*Overview!$C26/Overview!$G26*Results_energy_scenarios!$G46+Overview!$G27*Results_energy_scenarios!$G46*Results_energy_scenarios!V36</f>
        <v>#REF!</v>
      </c>
      <c r="W46" s="99" t="e">
        <f>Overview!AQ31*Overview!$Z31/7*Overview!$C26/Overview!$G26*Results_energy_scenarios!$G46+Overview!$G27*Results_energy_scenarios!$G46*Results_energy_scenarios!W36</f>
        <v>#REF!</v>
      </c>
      <c r="X46" s="99" t="e">
        <f>Overview!AR31*Overview!$Z31/7*Overview!$C26/Overview!$G26*Results_energy_scenarios!$G46+Overview!$G27*Results_energy_scenarios!$G46*Results_energy_scenarios!X36</f>
        <v>#REF!</v>
      </c>
      <c r="Y46" s="102" t="e">
        <f>Overview!AS31*Overview!$Z31/7*Overview!$C26/Overview!$G26*Results_energy_scenarios!$G46+Overview!$G27*Results_energy_scenarios!$G46*Results_energy_scenarios!Y36</f>
        <v>#REF!</v>
      </c>
      <c r="Z46" s="100" t="e">
        <f>Overview!CP31*Overview!$Z31/7*Overview!$C26/Overview!$G26*Results_energy_scenarios!$G46+Overview!$G27*Results_energy_scenarios!$G46*Results_energy_scenarios!Z36</f>
        <v>#REF!</v>
      </c>
      <c r="AA46" s="99" t="e">
        <f>Overview!CQ31*Overview!$Z31/7*Overview!$C26/Overview!$G26*Results_energy_scenarios!$G46+Overview!$G27*Results_energy_scenarios!$G46*Results_energy_scenarios!AA36</f>
        <v>#REF!</v>
      </c>
      <c r="AB46" s="99" t="e">
        <f>Overview!CR31*Overview!$Z31/7*Overview!$C26/Overview!$G26*Results_energy_scenarios!$G46+Overview!$G27*Results_energy_scenarios!$G46*Results_energy_scenarios!AB36</f>
        <v>#REF!</v>
      </c>
      <c r="AC46" s="99" t="e">
        <f>Overview!CS31*Overview!$Z31/7*Overview!$C26/Overview!$G26*Results_energy_scenarios!$G46+Overview!$G27*Results_energy_scenarios!$G46*Results_energy_scenarios!AC36</f>
        <v>#REF!</v>
      </c>
      <c r="AD46" s="99" t="e">
        <f>Overview!CT31*Overview!$Z31/7*Overview!$C26/Overview!$G26*Results_energy_scenarios!$G46+Overview!$G27*Results_energy_scenarios!$G46*Results_energy_scenarios!AD36</f>
        <v>#REF!</v>
      </c>
      <c r="AE46" s="99" t="e">
        <f>Overview!CU31*Overview!$Z31/7*Overview!$C26/Overview!$G26*Results_energy_scenarios!$G46+Overview!$G27*Results_energy_scenarios!$G46*Results_energy_scenarios!AE36</f>
        <v>#REF!</v>
      </c>
      <c r="AF46" s="99" t="e">
        <f>Overview!CV31*Overview!$Z31/7*Overview!$C26/Overview!$G26*Results_energy_scenarios!$G46+Overview!$G27*Results_energy_scenarios!$G46*Results_energy_scenarios!AF36</f>
        <v>#REF!</v>
      </c>
      <c r="AG46" s="99" t="e">
        <f>Overview!CW31*Overview!$Z31/7*Overview!$C26/Overview!$G26*Results_energy_scenarios!$G46+Overview!$G27*Results_energy_scenarios!$G46*Results_energy_scenarios!AG36</f>
        <v>#REF!</v>
      </c>
      <c r="AH46" s="99" t="e">
        <f>Overview!CX31*Overview!$Z31/7*Overview!$C26/Overview!$G26*Results_energy_scenarios!$G46+Overview!$G27*Results_energy_scenarios!$G46*Results_energy_scenarios!AH36</f>
        <v>#REF!</v>
      </c>
      <c r="AI46" s="99" t="e">
        <f>Overview!CY31*Overview!$Z31/7*Overview!$C26/Overview!$G26*Results_energy_scenarios!$G46+Overview!$G27*Results_energy_scenarios!$G46*Results_energy_scenarios!AI36</f>
        <v>#REF!</v>
      </c>
      <c r="AJ46" s="99" t="e">
        <f>Overview!CZ31*Overview!$Z31/7*Overview!$C26/Overview!$G26*Results_energy_scenarios!$G46+Overview!$G27*Results_energy_scenarios!$G46*Results_energy_scenarios!AJ36</f>
        <v>#REF!</v>
      </c>
      <c r="AK46" s="99" t="e">
        <f>Overview!DA31*Overview!$Z31/7*Overview!$C26/Overview!$G26*Results_energy_scenarios!$G46+Overview!$G27*Results_energy_scenarios!$G46*Results_energy_scenarios!AK36</f>
        <v>#REF!</v>
      </c>
      <c r="AL46" s="99" t="e">
        <f>Overview!DB31*Overview!$Z31/7*Overview!$C26/Overview!$G26*Results_energy_scenarios!$G46+Overview!$G27*Results_energy_scenarios!$G46*Results_energy_scenarios!AL36</f>
        <v>#REF!</v>
      </c>
      <c r="AM46" s="99" t="e">
        <f>Overview!DC31*Overview!$Z31/7*Overview!$C26/Overview!$G26*Results_energy_scenarios!$G46+Overview!$G27*Results_energy_scenarios!$G46*Results_energy_scenarios!AM36</f>
        <v>#REF!</v>
      </c>
      <c r="AN46" s="99" t="e">
        <f>Overview!DD31*Overview!$Z31/7*Overview!$C26/Overview!$G26*Results_energy_scenarios!$G46+Overview!$G27*Results_energy_scenarios!$G46*Results_energy_scenarios!AN36</f>
        <v>#REF!</v>
      </c>
      <c r="AO46" s="101" t="e">
        <f>Overview!DE31*Overview!$Z31/7*Overview!$C26/Overview!$G26*Results_energy_scenarios!$G46+Overview!$G27*Results_energy_scenarios!$G46*Results_energy_scenarios!AO36</f>
        <v>#REF!</v>
      </c>
    </row>
    <row r="47" spans="1:41">
      <c r="A47" t="s">
        <v>4</v>
      </c>
      <c r="B47" t="s">
        <v>376</v>
      </c>
      <c r="C47" t="s">
        <v>327</v>
      </c>
      <c r="D47" s="140" t="s">
        <v>416</v>
      </c>
      <c r="E47">
        <f>Overview!G34</f>
        <v>6.8203360098421286E-3</v>
      </c>
      <c r="F47" s="103"/>
      <c r="G47" s="103"/>
      <c r="H47" s="103"/>
      <c r="I47" s="170">
        <f>E47/E49</f>
        <v>8.7451365421679452E-8</v>
      </c>
      <c r="J47" s="100" t="e">
        <f>Overview!AD34*Overview!$AA34*Results_energy_scenarios!$E47</f>
        <v>#REF!</v>
      </c>
      <c r="K47" s="99" t="e">
        <f>Overview!AE34*Overview!$AA34*Results_energy_scenarios!$E47</f>
        <v>#REF!</v>
      </c>
      <c r="L47" s="99" t="e">
        <f>Overview!AF34*Overview!$AA34*Results_energy_scenarios!$E47</f>
        <v>#REF!</v>
      </c>
      <c r="M47" s="99" t="e">
        <f>Overview!AG34*Overview!$AA34*Results_energy_scenarios!$E47</f>
        <v>#REF!</v>
      </c>
      <c r="N47" s="99" t="e">
        <f>Overview!AH34*Overview!$AA34*Results_energy_scenarios!$E47</f>
        <v>#REF!</v>
      </c>
      <c r="O47" s="99" t="e">
        <f>Overview!AI34*Overview!$AA34*Results_energy_scenarios!$E47</f>
        <v>#REF!</v>
      </c>
      <c r="P47" s="99" t="e">
        <f>Overview!AJ34*Overview!$AA34*Results_energy_scenarios!$E47</f>
        <v>#REF!</v>
      </c>
      <c r="Q47" s="99" t="e">
        <f>Overview!AK34*Overview!$AA34*Results_energy_scenarios!$E47</f>
        <v>#REF!</v>
      </c>
      <c r="R47" s="99" t="e">
        <f>Overview!AL34*Overview!$AA34*Results_energy_scenarios!$E47</f>
        <v>#REF!</v>
      </c>
      <c r="S47" s="99" t="e">
        <f>Overview!AM34*Overview!$AA34*Results_energy_scenarios!$E47</f>
        <v>#REF!</v>
      </c>
      <c r="T47" s="99" t="e">
        <f>Overview!AN34*Overview!$AA34*Results_energy_scenarios!$E47</f>
        <v>#REF!</v>
      </c>
      <c r="U47" s="99" t="e">
        <f>Overview!AO34*Overview!$AA34*Results_energy_scenarios!$E47</f>
        <v>#REF!</v>
      </c>
      <c r="V47" s="99" t="e">
        <f>Overview!AP34*Overview!$AA34*Results_energy_scenarios!$E47</f>
        <v>#REF!</v>
      </c>
      <c r="W47" s="99" t="e">
        <f>Overview!AQ34*Overview!$AA34*Results_energy_scenarios!$E47</f>
        <v>#REF!</v>
      </c>
      <c r="X47" s="99" t="e">
        <f>Overview!AR34*Overview!$AA34*Results_energy_scenarios!$E47</f>
        <v>#REF!</v>
      </c>
      <c r="Y47" s="102" t="e">
        <f>Overview!AS34*Overview!$AA34*Results_energy_scenarios!$E47</f>
        <v>#REF!</v>
      </c>
      <c r="Z47" s="100" t="e">
        <f>Overview!CP34*Overview!$AA34*Results_energy_scenarios!$E47</f>
        <v>#REF!</v>
      </c>
      <c r="AA47" s="99" t="e">
        <f>Overview!CQ34*Overview!$AA34*Results_energy_scenarios!$E47</f>
        <v>#REF!</v>
      </c>
      <c r="AB47" s="99" t="e">
        <f>Overview!CR34*Overview!$AA34*Results_energy_scenarios!$E47</f>
        <v>#REF!</v>
      </c>
      <c r="AC47" s="99" t="e">
        <f>Overview!CS34*Overview!$AA34*Results_energy_scenarios!$E47</f>
        <v>#REF!</v>
      </c>
      <c r="AD47" s="99" t="e">
        <f>Overview!CT34*Overview!$AA34*Results_energy_scenarios!$E47</f>
        <v>#REF!</v>
      </c>
      <c r="AE47" s="99" t="e">
        <f>Overview!CU34*Overview!$AA34*Results_energy_scenarios!$E47</f>
        <v>#REF!</v>
      </c>
      <c r="AF47" s="99" t="e">
        <f>Overview!CV34*Overview!$AA34*Results_energy_scenarios!$E47</f>
        <v>#REF!</v>
      </c>
      <c r="AG47" s="99" t="e">
        <f>Overview!CW34*Overview!$AA34*Results_energy_scenarios!$E47</f>
        <v>#REF!</v>
      </c>
      <c r="AH47" s="99" t="e">
        <f>Overview!CX34*Overview!$AA34*Results_energy_scenarios!$E47</f>
        <v>#REF!</v>
      </c>
      <c r="AI47" s="99" t="e">
        <f>Overview!CY34*Overview!$AA34*Results_energy_scenarios!$E47</f>
        <v>#REF!</v>
      </c>
      <c r="AJ47" s="99" t="e">
        <f>Overview!CZ34*Overview!$AA34*Results_energy_scenarios!$E47</f>
        <v>#REF!</v>
      </c>
      <c r="AK47" s="99" t="e">
        <f>Overview!DA34*Overview!$AA34*Results_energy_scenarios!$E47</f>
        <v>#REF!</v>
      </c>
      <c r="AL47" s="99" t="e">
        <f>Overview!DB34*Overview!$AA34*Results_energy_scenarios!$E47</f>
        <v>#REF!</v>
      </c>
      <c r="AM47" s="99" t="e">
        <f>Overview!DC34*Overview!$AA34*Results_energy_scenarios!$E47</f>
        <v>#REF!</v>
      </c>
      <c r="AN47" s="99" t="e">
        <f>Overview!DD34*Overview!$AA34*Results_energy_scenarios!$E47</f>
        <v>#REF!</v>
      </c>
      <c r="AO47" s="101" t="e">
        <f>Overview!DE34*Overview!$AA34*Results_energy_scenarios!$E47</f>
        <v>#REF!</v>
      </c>
    </row>
    <row r="48" spans="1:41">
      <c r="A48" t="s">
        <v>4</v>
      </c>
      <c r="B48" t="s">
        <v>376</v>
      </c>
      <c r="C48" t="s">
        <v>327</v>
      </c>
      <c r="D48" s="140" t="s">
        <v>418</v>
      </c>
      <c r="E48" s="103"/>
      <c r="F48" s="103"/>
      <c r="G48">
        <f>Overview!G8/(E47+E41)*E47</f>
        <v>1.8908468046578487E-3</v>
      </c>
      <c r="H48" s="103"/>
      <c r="I48" s="170"/>
      <c r="J48" s="100" t="e">
        <f>Overview!AD8*Overview!$Z8*Results_energy_scenarios!$G48</f>
        <v>#REF!</v>
      </c>
      <c r="K48" s="99" t="e">
        <f>Overview!AE8*Overview!$Z8*Results_energy_scenarios!$G48</f>
        <v>#REF!</v>
      </c>
      <c r="L48" s="99" t="e">
        <f>Overview!AF8*Overview!$Z8*Results_energy_scenarios!$G48</f>
        <v>#REF!</v>
      </c>
      <c r="M48" s="99" t="e">
        <f>Overview!AG8*Overview!$Z8*Results_energy_scenarios!$G48</f>
        <v>#REF!</v>
      </c>
      <c r="N48" s="99" t="e">
        <f>Overview!AH8*Overview!$Z8*Results_energy_scenarios!$G48</f>
        <v>#REF!</v>
      </c>
      <c r="O48" s="99" t="e">
        <f>Overview!AI8*Overview!$Z8*Results_energy_scenarios!$G48</f>
        <v>#REF!</v>
      </c>
      <c r="P48" s="99" t="e">
        <f>Overview!AJ8*Overview!$Z8*Results_energy_scenarios!$G48</f>
        <v>#REF!</v>
      </c>
      <c r="Q48" s="99" t="e">
        <f>Overview!AK8*Overview!$Z8*Results_energy_scenarios!$G48</f>
        <v>#REF!</v>
      </c>
      <c r="R48" s="99" t="e">
        <f>Overview!AL8*Overview!$Z8*Results_energy_scenarios!$G48</f>
        <v>#REF!</v>
      </c>
      <c r="S48" s="99" t="e">
        <f>Overview!AM8*Overview!$Z8*Results_energy_scenarios!$G48</f>
        <v>#REF!</v>
      </c>
      <c r="T48" s="99" t="e">
        <f>Overview!AN8*Overview!$Z8*Results_energy_scenarios!$G48</f>
        <v>#REF!</v>
      </c>
      <c r="U48" s="99" t="e">
        <f>Overview!AO8*Overview!$Z8*Results_energy_scenarios!$G48</f>
        <v>#REF!</v>
      </c>
      <c r="V48" s="99" t="e">
        <f>Overview!AP8*Overview!$Z8*Results_energy_scenarios!$G48</f>
        <v>#REF!</v>
      </c>
      <c r="W48" s="99" t="e">
        <f>Overview!AQ8*Overview!$Z8*Results_energy_scenarios!$G48</f>
        <v>#REF!</v>
      </c>
      <c r="X48" s="99" t="e">
        <f>Overview!AR8*Overview!$Z8*Results_energy_scenarios!$G48</f>
        <v>#REF!</v>
      </c>
      <c r="Y48" s="102" t="e">
        <f>Overview!AS8*Overview!$Z8*Results_energy_scenarios!$G48</f>
        <v>#REF!</v>
      </c>
      <c r="Z48" s="100" t="e">
        <f>Overview!CP8*Overview!$Z8*Results_energy_scenarios!$G48</f>
        <v>#REF!</v>
      </c>
      <c r="AA48" s="99" t="e">
        <f>Overview!CQ8*Overview!$Z8*Results_energy_scenarios!$G48</f>
        <v>#REF!</v>
      </c>
      <c r="AB48" s="99" t="e">
        <f>Overview!CR8*Overview!$Z8*Results_energy_scenarios!$G48</f>
        <v>#REF!</v>
      </c>
      <c r="AC48" s="99" t="e">
        <f>Overview!CS8*Overview!$Z8*Results_energy_scenarios!$G48</f>
        <v>#REF!</v>
      </c>
      <c r="AD48" s="99" t="e">
        <f>Overview!CT8*Overview!$Z8*Results_energy_scenarios!$G48</f>
        <v>#REF!</v>
      </c>
      <c r="AE48" s="99" t="e">
        <f>Overview!CU8*Overview!$Z8*Results_energy_scenarios!$G48</f>
        <v>#REF!</v>
      </c>
      <c r="AF48" s="99" t="e">
        <f>Overview!CV8*Overview!$Z8*Results_energy_scenarios!$G48</f>
        <v>#REF!</v>
      </c>
      <c r="AG48" s="99" t="e">
        <f>Overview!CW8*Overview!$Z8*Results_energy_scenarios!$G48</f>
        <v>#REF!</v>
      </c>
      <c r="AH48" s="99" t="e">
        <f>Overview!CX8*Overview!$Z8*Results_energy_scenarios!$G48</f>
        <v>#REF!</v>
      </c>
      <c r="AI48" s="99" t="e">
        <f>Overview!CY8*Overview!$Z8*Results_energy_scenarios!$G48</f>
        <v>#REF!</v>
      </c>
      <c r="AJ48" s="99" t="e">
        <f>Overview!CZ8*Overview!$Z8*Results_energy_scenarios!$G48</f>
        <v>#REF!</v>
      </c>
      <c r="AK48" s="99" t="e">
        <f>Overview!DA8*Overview!$Z8*Results_energy_scenarios!$G48</f>
        <v>#REF!</v>
      </c>
      <c r="AL48" s="99" t="e">
        <f>Overview!DB8*Overview!$Z8*Results_energy_scenarios!$G48</f>
        <v>#REF!</v>
      </c>
      <c r="AM48" s="99" t="e">
        <f>Overview!DC8*Overview!$Z8*Results_energy_scenarios!$G48</f>
        <v>#REF!</v>
      </c>
      <c r="AN48" s="99" t="e">
        <f>Overview!DD8*Overview!$Z8*Results_energy_scenarios!$G48</f>
        <v>#REF!</v>
      </c>
      <c r="AO48" s="101" t="e">
        <f>Overview!DE8*Overview!$Z8*Results_energy_scenarios!$G48</f>
        <v>#REF!</v>
      </c>
    </row>
    <row r="49" spans="1:41">
      <c r="A49" s="90" t="s">
        <v>4</v>
      </c>
      <c r="B49" s="90" t="s">
        <v>376</v>
      </c>
      <c r="C49" s="90" t="s">
        <v>337</v>
      </c>
      <c r="D49" s="90"/>
      <c r="E49" s="90">
        <f>E37++E39+E41+E43+E45+E47</f>
        <v>77990.045975329587</v>
      </c>
      <c r="F49" s="109"/>
      <c r="G49" s="109"/>
      <c r="H49" s="109"/>
      <c r="I49" s="172">
        <f>SUM(I37:I47)</f>
        <v>1</v>
      </c>
      <c r="J49" s="124" t="e">
        <f t="shared" ref="J49:AO49" si="32">SUM(J37:J48)</f>
        <v>#REF!</v>
      </c>
      <c r="K49" s="125" t="e">
        <f t="shared" si="32"/>
        <v>#REF!</v>
      </c>
      <c r="L49" s="125" t="e">
        <f t="shared" si="32"/>
        <v>#REF!</v>
      </c>
      <c r="M49" s="125" t="e">
        <f t="shared" si="32"/>
        <v>#REF!</v>
      </c>
      <c r="N49" s="125" t="e">
        <f t="shared" si="32"/>
        <v>#REF!</v>
      </c>
      <c r="O49" s="125" t="e">
        <f t="shared" si="32"/>
        <v>#REF!</v>
      </c>
      <c r="P49" s="125" t="e">
        <f t="shared" si="32"/>
        <v>#REF!</v>
      </c>
      <c r="Q49" s="125" t="e">
        <f t="shared" si="32"/>
        <v>#REF!</v>
      </c>
      <c r="R49" s="125" t="e">
        <f t="shared" si="32"/>
        <v>#REF!</v>
      </c>
      <c r="S49" s="125" t="e">
        <f t="shared" si="32"/>
        <v>#REF!</v>
      </c>
      <c r="T49" s="125" t="e">
        <f t="shared" si="32"/>
        <v>#REF!</v>
      </c>
      <c r="U49" s="125" t="e">
        <f t="shared" si="32"/>
        <v>#REF!</v>
      </c>
      <c r="V49" s="125" t="e">
        <f t="shared" si="32"/>
        <v>#REF!</v>
      </c>
      <c r="W49" s="125" t="e">
        <f t="shared" si="32"/>
        <v>#REF!</v>
      </c>
      <c r="X49" s="125" t="e">
        <f t="shared" si="32"/>
        <v>#REF!</v>
      </c>
      <c r="Y49" s="122" t="e">
        <f t="shared" si="32"/>
        <v>#REF!</v>
      </c>
      <c r="Z49" s="124" t="e">
        <f t="shared" si="32"/>
        <v>#REF!</v>
      </c>
      <c r="AA49" s="125" t="e">
        <f t="shared" si="32"/>
        <v>#REF!</v>
      </c>
      <c r="AB49" s="125" t="e">
        <f t="shared" si="32"/>
        <v>#REF!</v>
      </c>
      <c r="AC49" s="125" t="e">
        <f t="shared" si="32"/>
        <v>#REF!</v>
      </c>
      <c r="AD49" s="125" t="e">
        <f t="shared" si="32"/>
        <v>#REF!</v>
      </c>
      <c r="AE49" s="125" t="e">
        <f t="shared" si="32"/>
        <v>#REF!</v>
      </c>
      <c r="AF49" s="125" t="e">
        <f t="shared" si="32"/>
        <v>#REF!</v>
      </c>
      <c r="AG49" s="125" t="e">
        <f t="shared" si="32"/>
        <v>#REF!</v>
      </c>
      <c r="AH49" s="125" t="e">
        <f t="shared" si="32"/>
        <v>#REF!</v>
      </c>
      <c r="AI49" s="125" t="e">
        <f t="shared" si="32"/>
        <v>#REF!</v>
      </c>
      <c r="AJ49" s="125" t="e">
        <f t="shared" si="32"/>
        <v>#REF!</v>
      </c>
      <c r="AK49" s="125" t="e">
        <f t="shared" si="32"/>
        <v>#REF!</v>
      </c>
      <c r="AL49" s="125" t="e">
        <f t="shared" si="32"/>
        <v>#REF!</v>
      </c>
      <c r="AM49" s="125" t="e">
        <f t="shared" si="32"/>
        <v>#REF!</v>
      </c>
      <c r="AN49" s="125" t="e">
        <f t="shared" si="32"/>
        <v>#REF!</v>
      </c>
      <c r="AO49" s="123" t="e">
        <f t="shared" si="32"/>
        <v>#REF!</v>
      </c>
    </row>
    <row r="50" spans="1:41" s="90" customFormat="1" ht="15" thickBot="1">
      <c r="A50" s="134" t="s">
        <v>4</v>
      </c>
      <c r="B50" s="134" t="s">
        <v>376</v>
      </c>
      <c r="C50" s="134" t="s">
        <v>391</v>
      </c>
      <c r="D50" s="134"/>
      <c r="E50" s="134">
        <v>1</v>
      </c>
      <c r="F50" s="135"/>
      <c r="G50" s="141"/>
      <c r="H50" s="141"/>
      <c r="I50" s="134"/>
      <c r="J50" s="136" t="e">
        <f>J49/$E49</f>
        <v>#REF!</v>
      </c>
      <c r="K50" s="137" t="e">
        <f t="shared" ref="K50:AO50" si="33">K49/$E49</f>
        <v>#REF!</v>
      </c>
      <c r="L50" s="137" t="e">
        <f t="shared" si="33"/>
        <v>#REF!</v>
      </c>
      <c r="M50" s="137" t="e">
        <f t="shared" si="33"/>
        <v>#REF!</v>
      </c>
      <c r="N50" s="137" t="e">
        <f t="shared" si="33"/>
        <v>#REF!</v>
      </c>
      <c r="O50" s="137" t="e">
        <f t="shared" si="33"/>
        <v>#REF!</v>
      </c>
      <c r="P50" s="137" t="e">
        <f t="shared" si="33"/>
        <v>#REF!</v>
      </c>
      <c r="Q50" s="137" t="e">
        <f t="shared" si="33"/>
        <v>#REF!</v>
      </c>
      <c r="R50" s="137" t="e">
        <f t="shared" si="33"/>
        <v>#REF!</v>
      </c>
      <c r="S50" s="137" t="e">
        <f t="shared" si="33"/>
        <v>#REF!</v>
      </c>
      <c r="T50" s="137" t="e">
        <f t="shared" si="33"/>
        <v>#REF!</v>
      </c>
      <c r="U50" s="137" t="e">
        <f t="shared" si="33"/>
        <v>#REF!</v>
      </c>
      <c r="V50" s="137" t="e">
        <f t="shared" si="33"/>
        <v>#REF!</v>
      </c>
      <c r="W50" s="137" t="e">
        <f t="shared" si="33"/>
        <v>#REF!</v>
      </c>
      <c r="X50" s="137" t="e">
        <f t="shared" si="33"/>
        <v>#REF!</v>
      </c>
      <c r="Y50" s="137" t="e">
        <f t="shared" si="33"/>
        <v>#REF!</v>
      </c>
      <c r="Z50" s="136" t="e">
        <f t="shared" si="33"/>
        <v>#REF!</v>
      </c>
      <c r="AA50" s="137" t="e">
        <f t="shared" si="33"/>
        <v>#REF!</v>
      </c>
      <c r="AB50" s="137" t="e">
        <f t="shared" si="33"/>
        <v>#REF!</v>
      </c>
      <c r="AC50" s="137" t="e">
        <f t="shared" si="33"/>
        <v>#REF!</v>
      </c>
      <c r="AD50" s="137" t="e">
        <f t="shared" si="33"/>
        <v>#REF!</v>
      </c>
      <c r="AE50" s="137" t="e">
        <f t="shared" si="33"/>
        <v>#REF!</v>
      </c>
      <c r="AF50" s="137" t="e">
        <f t="shared" si="33"/>
        <v>#REF!</v>
      </c>
      <c r="AG50" s="137" t="e">
        <f t="shared" si="33"/>
        <v>#REF!</v>
      </c>
      <c r="AH50" s="137" t="e">
        <f t="shared" si="33"/>
        <v>#REF!</v>
      </c>
      <c r="AI50" s="137" t="e">
        <f t="shared" si="33"/>
        <v>#REF!</v>
      </c>
      <c r="AJ50" s="137" t="e">
        <f t="shared" si="33"/>
        <v>#REF!</v>
      </c>
      <c r="AK50" s="137" t="e">
        <f t="shared" si="33"/>
        <v>#REF!</v>
      </c>
      <c r="AL50" s="137" t="e">
        <f t="shared" si="33"/>
        <v>#REF!</v>
      </c>
      <c r="AM50" s="137" t="e">
        <f t="shared" si="33"/>
        <v>#REF!</v>
      </c>
      <c r="AN50" s="137" t="e">
        <f t="shared" si="33"/>
        <v>#REF!</v>
      </c>
      <c r="AO50" s="138" t="e">
        <f t="shared" si="33"/>
        <v>#REF!</v>
      </c>
    </row>
    <row r="51" spans="1:41">
      <c r="A51" t="s">
        <v>5</v>
      </c>
      <c r="B51" t="s">
        <v>361</v>
      </c>
      <c r="D51" s="115" t="s">
        <v>322</v>
      </c>
      <c r="E51" s="103"/>
      <c r="F51" s="103"/>
      <c r="G51">
        <v>6151</v>
      </c>
      <c r="H51" s="103"/>
      <c r="I51" s="94"/>
      <c r="J51" s="148" t="e">
        <f t="shared" ref="J51:AO51" si="34">SUM(J53:J54,J55:J56,J57)</f>
        <v>#REF!</v>
      </c>
      <c r="K51" s="148" t="e">
        <f t="shared" si="34"/>
        <v>#REF!</v>
      </c>
      <c r="L51" s="148" t="e">
        <f t="shared" si="34"/>
        <v>#REF!</v>
      </c>
      <c r="M51" s="148" t="e">
        <f t="shared" si="34"/>
        <v>#REF!</v>
      </c>
      <c r="N51" s="148" t="e">
        <f t="shared" si="34"/>
        <v>#REF!</v>
      </c>
      <c r="O51" s="148" t="e">
        <f t="shared" si="34"/>
        <v>#REF!</v>
      </c>
      <c r="P51" s="148" t="e">
        <f t="shared" si="34"/>
        <v>#REF!</v>
      </c>
      <c r="Q51" s="148" t="e">
        <f t="shared" si="34"/>
        <v>#REF!</v>
      </c>
      <c r="R51" s="148" t="e">
        <f t="shared" si="34"/>
        <v>#REF!</v>
      </c>
      <c r="S51" s="148" t="e">
        <f t="shared" si="34"/>
        <v>#REF!</v>
      </c>
      <c r="T51" s="148" t="e">
        <f t="shared" si="34"/>
        <v>#REF!</v>
      </c>
      <c r="U51" s="148" t="e">
        <f t="shared" si="34"/>
        <v>#REF!</v>
      </c>
      <c r="V51" s="148" t="e">
        <f t="shared" si="34"/>
        <v>#REF!</v>
      </c>
      <c r="W51" s="148" t="e">
        <f t="shared" si="34"/>
        <v>#REF!</v>
      </c>
      <c r="X51" s="148" t="e">
        <f t="shared" si="34"/>
        <v>#REF!</v>
      </c>
      <c r="Y51" s="146" t="e">
        <f t="shared" si="34"/>
        <v>#REF!</v>
      </c>
      <c r="Z51" s="148" t="e">
        <f t="shared" si="34"/>
        <v>#REF!</v>
      </c>
      <c r="AA51" s="148" t="e">
        <f t="shared" si="34"/>
        <v>#REF!</v>
      </c>
      <c r="AB51" s="148" t="e">
        <f t="shared" si="34"/>
        <v>#REF!</v>
      </c>
      <c r="AC51" s="148" t="e">
        <f t="shared" si="34"/>
        <v>#REF!</v>
      </c>
      <c r="AD51" s="148" t="e">
        <f t="shared" si="34"/>
        <v>#REF!</v>
      </c>
      <c r="AE51" s="148" t="e">
        <f t="shared" si="34"/>
        <v>#REF!</v>
      </c>
      <c r="AF51" s="148" t="e">
        <f t="shared" si="34"/>
        <v>#REF!</v>
      </c>
      <c r="AG51" s="148" t="e">
        <f t="shared" si="34"/>
        <v>#REF!</v>
      </c>
      <c r="AH51" s="148" t="e">
        <f t="shared" si="34"/>
        <v>#REF!</v>
      </c>
      <c r="AI51" s="148" t="e">
        <f t="shared" si="34"/>
        <v>#REF!</v>
      </c>
      <c r="AJ51" s="148" t="e">
        <f t="shared" si="34"/>
        <v>#REF!</v>
      </c>
      <c r="AK51" s="148" t="e">
        <f t="shared" si="34"/>
        <v>#REF!</v>
      </c>
      <c r="AL51" s="148" t="e">
        <f t="shared" si="34"/>
        <v>#REF!</v>
      </c>
      <c r="AM51" s="148" t="e">
        <f t="shared" si="34"/>
        <v>#REF!</v>
      </c>
      <c r="AN51" s="148" t="e">
        <f t="shared" si="34"/>
        <v>#REF!</v>
      </c>
      <c r="AO51" s="146" t="e">
        <f t="shared" si="34"/>
        <v>#REF!</v>
      </c>
    </row>
    <row r="52" spans="1:41">
      <c r="A52" t="s">
        <v>5</v>
      </c>
      <c r="B52" t="s">
        <v>361</v>
      </c>
      <c r="D52" s="115" t="s">
        <v>406</v>
      </c>
      <c r="E52" s="103"/>
      <c r="F52" s="103"/>
      <c r="G52">
        <v>6151</v>
      </c>
      <c r="H52" s="103"/>
      <c r="I52" s="183"/>
      <c r="J52" s="100" t="e">
        <f>J53+J54+J57</f>
        <v>#REF!</v>
      </c>
      <c r="K52" s="148" t="e">
        <f t="shared" ref="K52:Z52" si="35">K53+K54+K57</f>
        <v>#REF!</v>
      </c>
      <c r="L52" s="148" t="e">
        <f t="shared" si="35"/>
        <v>#REF!</v>
      </c>
      <c r="M52" s="148" t="e">
        <f t="shared" si="35"/>
        <v>#REF!</v>
      </c>
      <c r="N52" s="148" t="e">
        <f t="shared" si="35"/>
        <v>#REF!</v>
      </c>
      <c r="O52" s="148" t="e">
        <f t="shared" si="35"/>
        <v>#REF!</v>
      </c>
      <c r="P52" s="148" t="e">
        <f t="shared" si="35"/>
        <v>#REF!</v>
      </c>
      <c r="Q52" s="148" t="e">
        <f t="shared" si="35"/>
        <v>#REF!</v>
      </c>
      <c r="R52" s="148" t="e">
        <f t="shared" si="35"/>
        <v>#REF!</v>
      </c>
      <c r="S52" s="148" t="e">
        <f t="shared" si="35"/>
        <v>#REF!</v>
      </c>
      <c r="T52" s="148" t="e">
        <f t="shared" si="35"/>
        <v>#REF!</v>
      </c>
      <c r="U52" s="148" t="e">
        <f t="shared" si="35"/>
        <v>#REF!</v>
      </c>
      <c r="V52" s="148" t="e">
        <f t="shared" si="35"/>
        <v>#REF!</v>
      </c>
      <c r="W52" s="148" t="e">
        <f t="shared" si="35"/>
        <v>#REF!</v>
      </c>
      <c r="X52" s="148" t="e">
        <f t="shared" si="35"/>
        <v>#REF!</v>
      </c>
      <c r="Y52" s="146" t="e">
        <f t="shared" si="35"/>
        <v>#REF!</v>
      </c>
      <c r="Z52" s="148" t="e">
        <f t="shared" si="35"/>
        <v>#REF!</v>
      </c>
      <c r="AA52" s="148" t="e">
        <f t="shared" ref="AA52" si="36">AA53+AA54+AA57</f>
        <v>#REF!</v>
      </c>
      <c r="AB52" s="148" t="e">
        <f t="shared" ref="AB52" si="37">AB53+AB54+AB57</f>
        <v>#REF!</v>
      </c>
      <c r="AC52" s="148" t="e">
        <f t="shared" ref="AC52" si="38">AC53+AC54+AC57</f>
        <v>#REF!</v>
      </c>
      <c r="AD52" s="148" t="e">
        <f t="shared" ref="AD52" si="39">AD53+AD54+AD57</f>
        <v>#REF!</v>
      </c>
      <c r="AE52" s="148" t="e">
        <f t="shared" ref="AE52" si="40">AE53+AE54+AE57</f>
        <v>#REF!</v>
      </c>
      <c r="AF52" s="148" t="e">
        <f t="shared" ref="AF52" si="41">AF53+AF54+AF57</f>
        <v>#REF!</v>
      </c>
      <c r="AG52" s="148" t="e">
        <f t="shared" ref="AG52" si="42">AG53+AG54+AG57</f>
        <v>#REF!</v>
      </c>
      <c r="AH52" s="148" t="e">
        <f t="shared" ref="AH52" si="43">AH53+AH54+AH57</f>
        <v>#REF!</v>
      </c>
      <c r="AI52" s="148" t="e">
        <f t="shared" ref="AI52" si="44">AI53+AI54+AI57</f>
        <v>#REF!</v>
      </c>
      <c r="AJ52" s="148" t="e">
        <f t="shared" ref="AJ52" si="45">AJ53+AJ54+AJ57</f>
        <v>#REF!</v>
      </c>
      <c r="AK52" s="148" t="e">
        <f t="shared" ref="AK52" si="46">AK53+AK54+AK57</f>
        <v>#REF!</v>
      </c>
      <c r="AL52" s="148" t="e">
        <f t="shared" ref="AL52" si="47">AL53+AL54+AL57</f>
        <v>#REF!</v>
      </c>
      <c r="AM52" s="148" t="e">
        <f t="shared" ref="AM52" si="48">AM53+AM54+AM57</f>
        <v>#REF!</v>
      </c>
      <c r="AN52" s="148" t="e">
        <f t="shared" ref="AN52" si="49">AN53+AN54+AN57</f>
        <v>#REF!</v>
      </c>
      <c r="AO52" s="146" t="e">
        <f t="shared" ref="AO52" si="50">AO53+AO54+AO57</f>
        <v>#REF!</v>
      </c>
    </row>
    <row r="53" spans="1:41">
      <c r="A53" t="s">
        <v>5</v>
      </c>
      <c r="B53" t="s">
        <v>361</v>
      </c>
      <c r="D53" s="117" t="s">
        <v>81</v>
      </c>
      <c r="E53" s="103"/>
      <c r="F53" s="149">
        <f>Overview!H23</f>
        <v>680567.03176643909</v>
      </c>
      <c r="G53" s="103"/>
      <c r="H53" s="103"/>
      <c r="J53" s="100" t="e">
        <f>Overview!AD23*Overview!$AB23*Results_energy_scenarios!$F53</f>
        <v>#REF!</v>
      </c>
      <c r="K53" s="148" t="e">
        <f>Overview!AE23*Overview!$AB23*Results_energy_scenarios!$F53</f>
        <v>#REF!</v>
      </c>
      <c r="L53" s="148" t="e">
        <f>Overview!AF23*Overview!$AB23*Results_energy_scenarios!$F53</f>
        <v>#REF!</v>
      </c>
      <c r="M53" s="148" t="e">
        <f>Overview!AG23*Overview!$AB23*Results_energy_scenarios!$F53</f>
        <v>#REF!</v>
      </c>
      <c r="N53" s="148" t="e">
        <f>Overview!AH23*Overview!$AB23*Results_energy_scenarios!$F53</f>
        <v>#REF!</v>
      </c>
      <c r="O53" s="148" t="e">
        <f>Overview!AI23*Overview!$AB23*Results_energy_scenarios!$F53</f>
        <v>#REF!</v>
      </c>
      <c r="P53" s="148" t="e">
        <f>Overview!AJ23*Overview!$AB23*Results_energy_scenarios!$F53</f>
        <v>#REF!</v>
      </c>
      <c r="Q53" s="148" t="e">
        <f>Overview!AK23*Overview!$AB23*Results_energy_scenarios!$F53</f>
        <v>#REF!</v>
      </c>
      <c r="R53" s="148" t="e">
        <f>Overview!AL23*Overview!$AB23*Results_energy_scenarios!$F53</f>
        <v>#REF!</v>
      </c>
      <c r="S53" s="148" t="e">
        <f>Overview!AM23*Overview!$AB23*Results_energy_scenarios!$F53</f>
        <v>#REF!</v>
      </c>
      <c r="T53" s="148" t="e">
        <f>Overview!AN23*Overview!$AB23*Results_energy_scenarios!$F53</f>
        <v>#REF!</v>
      </c>
      <c r="U53" s="148" t="e">
        <f>Overview!AO23*Overview!$AB23*Results_energy_scenarios!$F53</f>
        <v>#REF!</v>
      </c>
      <c r="V53" s="148" t="e">
        <f>Overview!AP23*Overview!$AB23*Results_energy_scenarios!$F53</f>
        <v>#REF!</v>
      </c>
      <c r="W53" s="148" t="e">
        <f>Overview!AQ23*Overview!$AB23*Results_energy_scenarios!$F53</f>
        <v>#REF!</v>
      </c>
      <c r="X53" s="148" t="e">
        <f>Overview!AR23*Overview!$AB23*Results_energy_scenarios!$F53</f>
        <v>#REF!</v>
      </c>
      <c r="Y53" s="146" t="e">
        <f>Overview!AS23*Overview!$AB23*Results_energy_scenarios!$F53</f>
        <v>#REF!</v>
      </c>
      <c r="Z53" s="148" t="e">
        <f>Overview!CP23*Overview!$AB23*Results_energy_scenarios!$F53</f>
        <v>#REF!</v>
      </c>
      <c r="AA53" s="148" t="e">
        <f>Overview!CQ23*Overview!$AB23*Results_energy_scenarios!$F53</f>
        <v>#REF!</v>
      </c>
      <c r="AB53" s="148" t="e">
        <f>Overview!CR23*Overview!$AB23*Results_energy_scenarios!$F53</f>
        <v>#REF!</v>
      </c>
      <c r="AC53" s="148" t="e">
        <f>Overview!CS23*Overview!$AB23*Results_energy_scenarios!$F53</f>
        <v>#REF!</v>
      </c>
      <c r="AD53" s="148" t="e">
        <f>Overview!CT23*Overview!$AB23*Results_energy_scenarios!$F53</f>
        <v>#REF!</v>
      </c>
      <c r="AE53" s="148" t="e">
        <f>Overview!CU23*Overview!$AB23*Results_energy_scenarios!$F53</f>
        <v>#REF!</v>
      </c>
      <c r="AF53" s="148" t="e">
        <f>Overview!CV23*Overview!$AB23*Results_energy_scenarios!$F53</f>
        <v>#REF!</v>
      </c>
      <c r="AG53" s="148" t="e">
        <f>Overview!CW23*Overview!$AB23*Results_energy_scenarios!$F53</f>
        <v>#REF!</v>
      </c>
      <c r="AH53" s="148" t="e">
        <f>Overview!CX23*Overview!$AB23*Results_energy_scenarios!$F53</f>
        <v>#REF!</v>
      </c>
      <c r="AI53" s="148" t="e">
        <f>Overview!CY23*Overview!$AB23*Results_energy_scenarios!$F53</f>
        <v>#REF!</v>
      </c>
      <c r="AJ53" s="148" t="e">
        <f>Overview!CZ23*Overview!$AB23*Results_energy_scenarios!$F53</f>
        <v>#REF!</v>
      </c>
      <c r="AK53" s="148" t="e">
        <f>Overview!DA23*Overview!$AB23*Results_energy_scenarios!$F53</f>
        <v>#REF!</v>
      </c>
      <c r="AL53" s="148" t="e">
        <f>Overview!DB23*Overview!$AB23*Results_energy_scenarios!$F53</f>
        <v>#REF!</v>
      </c>
      <c r="AM53" s="148" t="e">
        <f>Overview!DC23*Overview!$AB23*Results_energy_scenarios!$F53</f>
        <v>#REF!</v>
      </c>
      <c r="AN53" s="148" t="e">
        <f>Overview!DD23*Overview!$AB23*Results_energy_scenarios!$F53</f>
        <v>#REF!</v>
      </c>
      <c r="AO53" s="146" t="e">
        <f>Overview!DE23*Overview!$AB23*Results_energy_scenarios!$F53</f>
        <v>#REF!</v>
      </c>
    </row>
    <row r="54" spans="1:41">
      <c r="A54" t="s">
        <v>5</v>
      </c>
      <c r="B54" t="s">
        <v>361</v>
      </c>
      <c r="D54" s="117" t="s">
        <v>338</v>
      </c>
      <c r="E54" s="103"/>
      <c r="F54" s="103"/>
      <c r="G54" s="149">
        <f>Overview!H26</f>
        <v>5083.7695198768743</v>
      </c>
      <c r="H54">
        <f>Overview!D26</f>
        <v>1.217375639491908</v>
      </c>
      <c r="J54" s="100" t="e">
        <f>Overview!AD26*Overview!$Z26/7*Results_energy_scenarios!$H54</f>
        <v>#REF!</v>
      </c>
      <c r="K54" s="148" t="e">
        <f>Overview!AE26*Overview!$Z26/7*Results_energy_scenarios!$H54</f>
        <v>#REF!</v>
      </c>
      <c r="L54" s="148" t="e">
        <f>Overview!AF26*Overview!$Z26/7*Results_energy_scenarios!$H54</f>
        <v>#REF!</v>
      </c>
      <c r="M54" s="148" t="e">
        <f>Overview!AG26*Overview!$Z26/7*Results_energy_scenarios!$H54</f>
        <v>#REF!</v>
      </c>
      <c r="N54" s="148" t="e">
        <f>Overview!AH26*Overview!$Z26/7*Results_energy_scenarios!$H54</f>
        <v>#REF!</v>
      </c>
      <c r="O54" s="148" t="e">
        <f>Overview!AI26*Overview!$Z26/7*Results_energy_scenarios!$H54</f>
        <v>#REF!</v>
      </c>
      <c r="P54" s="148" t="e">
        <f>Overview!AJ26*Overview!$Z26/7*Results_energy_scenarios!$H54</f>
        <v>#REF!</v>
      </c>
      <c r="Q54" s="148" t="e">
        <f>Overview!AK26*Overview!$Z26/7*Results_energy_scenarios!$H54</f>
        <v>#REF!</v>
      </c>
      <c r="R54" s="148" t="e">
        <f>Overview!AL26*Overview!$Z26/7*Results_energy_scenarios!$H54</f>
        <v>#REF!</v>
      </c>
      <c r="S54" s="148" t="e">
        <f>Overview!AM26*Overview!$Z26/7*Results_energy_scenarios!$H54</f>
        <v>#REF!</v>
      </c>
      <c r="T54" s="148" t="e">
        <f>Overview!AN26*Overview!$Z26/7*Results_energy_scenarios!$H54</f>
        <v>#REF!</v>
      </c>
      <c r="U54" s="148" t="e">
        <f>Overview!AO26*Overview!$Z26/7*Results_energy_scenarios!$H54</f>
        <v>#REF!</v>
      </c>
      <c r="V54" s="148" t="e">
        <f>Overview!AP26*Overview!$Z26/7*Results_energy_scenarios!$H54</f>
        <v>#REF!</v>
      </c>
      <c r="W54" s="148" t="e">
        <f>Overview!AQ26*Overview!$Z26/7*Results_energy_scenarios!$H54</f>
        <v>#REF!</v>
      </c>
      <c r="X54" s="148" t="e">
        <f>Overview!AR26*Overview!$Z26/7*Results_energy_scenarios!$H54</f>
        <v>#REF!</v>
      </c>
      <c r="Y54" s="146" t="e">
        <f>Overview!AS26*Overview!$Z26/7*Results_energy_scenarios!$H54</f>
        <v>#REF!</v>
      </c>
      <c r="Z54" s="148" t="e">
        <f>Overview!CP26*Overview!$Z26/7*Results_energy_scenarios!$H54</f>
        <v>#REF!</v>
      </c>
      <c r="AA54" s="148" t="e">
        <f>Overview!CQ26*Overview!$Z26/7*Results_energy_scenarios!$H54</f>
        <v>#REF!</v>
      </c>
      <c r="AB54" s="148" t="e">
        <f>Overview!CR26*Overview!$Z26/7*Results_energy_scenarios!$H54</f>
        <v>#REF!</v>
      </c>
      <c r="AC54" s="148" t="e">
        <f>Overview!CS26*Overview!$Z26/7*Results_energy_scenarios!$H54</f>
        <v>#REF!</v>
      </c>
      <c r="AD54" s="148" t="e">
        <f>Overview!CT26*Overview!$Z26/7*Results_energy_scenarios!$H54</f>
        <v>#REF!</v>
      </c>
      <c r="AE54" s="148" t="e">
        <f>Overview!CU26*Overview!$Z26/7*Results_energy_scenarios!$H54</f>
        <v>#REF!</v>
      </c>
      <c r="AF54" s="148" t="e">
        <f>Overview!CV26*Overview!$Z26/7*Results_energy_scenarios!$H54</f>
        <v>#REF!</v>
      </c>
      <c r="AG54" s="148" t="e">
        <f>Overview!CW26*Overview!$Z26/7*Results_energy_scenarios!$H54</f>
        <v>#REF!</v>
      </c>
      <c r="AH54" s="148" t="e">
        <f>Overview!CX26*Overview!$Z26/7*Results_energy_scenarios!$H54</f>
        <v>#REF!</v>
      </c>
      <c r="AI54" s="148" t="e">
        <f>Overview!CY26*Overview!$Z26/7*Results_energy_scenarios!$H54</f>
        <v>#REF!</v>
      </c>
      <c r="AJ54" s="148" t="e">
        <f>Overview!CZ26*Overview!$Z26/7*Results_energy_scenarios!$H54</f>
        <v>#REF!</v>
      </c>
      <c r="AK54" s="148" t="e">
        <f>Overview!DA26*Overview!$Z26/7*Results_energy_scenarios!$H54</f>
        <v>#REF!</v>
      </c>
      <c r="AL54" s="148" t="e">
        <f>Overview!DB26*Overview!$Z26/7*Results_energy_scenarios!$H54</f>
        <v>#REF!</v>
      </c>
      <c r="AM54" s="148" t="e">
        <f>Overview!DC26*Overview!$Z26/7*Results_energy_scenarios!$H54</f>
        <v>#REF!</v>
      </c>
      <c r="AN54" s="148" t="e">
        <f>Overview!DD26*Overview!$Z26/7*Results_energy_scenarios!$H54</f>
        <v>#REF!</v>
      </c>
      <c r="AO54" s="146" t="e">
        <f>Overview!DE26*Overview!$Z26/7*Results_energy_scenarios!$H54</f>
        <v>#REF!</v>
      </c>
    </row>
    <row r="55" spans="1:41">
      <c r="A55" t="s">
        <v>5</v>
      </c>
      <c r="B55" t="s">
        <v>361</v>
      </c>
      <c r="D55" s="114" t="s">
        <v>385</v>
      </c>
      <c r="E55" s="103"/>
      <c r="F55" s="103"/>
      <c r="G55" s="149">
        <v>340</v>
      </c>
      <c r="H55" s="103"/>
      <c r="J55" s="100" t="e">
        <f t="shared" ref="J55:S56" si="51">J$82*$G55</f>
        <v>#REF!</v>
      </c>
      <c r="K55" s="148" t="e">
        <f t="shared" si="51"/>
        <v>#REF!</v>
      </c>
      <c r="L55" s="148" t="e">
        <f t="shared" si="51"/>
        <v>#REF!</v>
      </c>
      <c r="M55" s="148" t="e">
        <f t="shared" si="51"/>
        <v>#REF!</v>
      </c>
      <c r="N55" s="148" t="e">
        <f t="shared" si="51"/>
        <v>#REF!</v>
      </c>
      <c r="O55" s="148" t="e">
        <f t="shared" si="51"/>
        <v>#REF!</v>
      </c>
      <c r="P55" s="148" t="e">
        <f t="shared" si="51"/>
        <v>#REF!</v>
      </c>
      <c r="Q55" s="148" t="e">
        <f t="shared" si="51"/>
        <v>#REF!</v>
      </c>
      <c r="R55" s="148" t="e">
        <f t="shared" si="51"/>
        <v>#REF!</v>
      </c>
      <c r="S55" s="148" t="e">
        <f t="shared" si="51"/>
        <v>#REF!</v>
      </c>
      <c r="T55" s="148" t="e">
        <f t="shared" ref="T55:AC56" si="52">T$82*$G55</f>
        <v>#REF!</v>
      </c>
      <c r="U55" s="148" t="e">
        <f t="shared" si="52"/>
        <v>#REF!</v>
      </c>
      <c r="V55" s="148" t="e">
        <f t="shared" si="52"/>
        <v>#REF!</v>
      </c>
      <c r="W55" s="148" t="e">
        <f t="shared" si="52"/>
        <v>#REF!</v>
      </c>
      <c r="X55" s="148" t="e">
        <f t="shared" si="52"/>
        <v>#REF!</v>
      </c>
      <c r="Y55" s="146" t="e">
        <f t="shared" si="52"/>
        <v>#REF!</v>
      </c>
      <c r="Z55" s="148" t="e">
        <f t="shared" si="52"/>
        <v>#REF!</v>
      </c>
      <c r="AA55" s="148" t="e">
        <f t="shared" si="52"/>
        <v>#REF!</v>
      </c>
      <c r="AB55" s="148" t="e">
        <f t="shared" si="52"/>
        <v>#REF!</v>
      </c>
      <c r="AC55" s="148" t="e">
        <f t="shared" si="52"/>
        <v>#REF!</v>
      </c>
      <c r="AD55" s="148" t="e">
        <f t="shared" ref="AD55:AO56" si="53">AD$82*$G55</f>
        <v>#REF!</v>
      </c>
      <c r="AE55" s="148" t="e">
        <f t="shared" si="53"/>
        <v>#REF!</v>
      </c>
      <c r="AF55" s="148" t="e">
        <f t="shared" si="53"/>
        <v>#REF!</v>
      </c>
      <c r="AG55" s="148" t="e">
        <f t="shared" si="53"/>
        <v>#REF!</v>
      </c>
      <c r="AH55" s="148" t="e">
        <f t="shared" si="53"/>
        <v>#REF!</v>
      </c>
      <c r="AI55" s="148" t="e">
        <f t="shared" si="53"/>
        <v>#REF!</v>
      </c>
      <c r="AJ55" s="148" t="e">
        <f t="shared" si="53"/>
        <v>#REF!</v>
      </c>
      <c r="AK55" s="148" t="e">
        <f t="shared" si="53"/>
        <v>#REF!</v>
      </c>
      <c r="AL55" s="148" t="e">
        <f t="shared" si="53"/>
        <v>#REF!</v>
      </c>
      <c r="AM55" s="148" t="e">
        <f t="shared" si="53"/>
        <v>#REF!</v>
      </c>
      <c r="AN55" s="148" t="e">
        <f t="shared" si="53"/>
        <v>#REF!</v>
      </c>
      <c r="AO55" s="146" t="e">
        <f t="shared" si="53"/>
        <v>#REF!</v>
      </c>
    </row>
    <row r="56" spans="1:41">
      <c r="A56" t="s">
        <v>5</v>
      </c>
      <c r="B56" t="s">
        <v>361</v>
      </c>
      <c r="D56" s="114" t="s">
        <v>386</v>
      </c>
      <c r="E56" s="103"/>
      <c r="F56" s="103"/>
      <c r="G56" s="149">
        <v>7087</v>
      </c>
      <c r="H56" s="103"/>
      <c r="J56" s="100" t="e">
        <f t="shared" si="51"/>
        <v>#REF!</v>
      </c>
      <c r="K56" s="148" t="e">
        <f t="shared" si="51"/>
        <v>#REF!</v>
      </c>
      <c r="L56" s="148" t="e">
        <f t="shared" si="51"/>
        <v>#REF!</v>
      </c>
      <c r="M56" s="148" t="e">
        <f t="shared" si="51"/>
        <v>#REF!</v>
      </c>
      <c r="N56" s="148" t="e">
        <f t="shared" si="51"/>
        <v>#REF!</v>
      </c>
      <c r="O56" s="148" t="e">
        <f t="shared" si="51"/>
        <v>#REF!</v>
      </c>
      <c r="P56" s="148" t="e">
        <f t="shared" si="51"/>
        <v>#REF!</v>
      </c>
      <c r="Q56" s="148" t="e">
        <f t="shared" si="51"/>
        <v>#REF!</v>
      </c>
      <c r="R56" s="148" t="e">
        <f t="shared" si="51"/>
        <v>#REF!</v>
      </c>
      <c r="S56" s="148" t="e">
        <f t="shared" si="51"/>
        <v>#REF!</v>
      </c>
      <c r="T56" s="148" t="e">
        <f t="shared" si="52"/>
        <v>#REF!</v>
      </c>
      <c r="U56" s="148" t="e">
        <f t="shared" si="52"/>
        <v>#REF!</v>
      </c>
      <c r="V56" s="148" t="e">
        <f t="shared" si="52"/>
        <v>#REF!</v>
      </c>
      <c r="W56" s="148" t="e">
        <f t="shared" si="52"/>
        <v>#REF!</v>
      </c>
      <c r="X56" s="148" t="e">
        <f t="shared" si="52"/>
        <v>#REF!</v>
      </c>
      <c r="Y56" s="146" t="e">
        <f t="shared" si="52"/>
        <v>#REF!</v>
      </c>
      <c r="Z56" s="148" t="e">
        <f t="shared" si="52"/>
        <v>#REF!</v>
      </c>
      <c r="AA56" s="148" t="e">
        <f t="shared" si="52"/>
        <v>#REF!</v>
      </c>
      <c r="AB56" s="148" t="e">
        <f t="shared" si="52"/>
        <v>#REF!</v>
      </c>
      <c r="AC56" s="148" t="e">
        <f t="shared" si="52"/>
        <v>#REF!</v>
      </c>
      <c r="AD56" s="148" t="e">
        <f t="shared" si="53"/>
        <v>#REF!</v>
      </c>
      <c r="AE56" s="148" t="e">
        <f t="shared" si="53"/>
        <v>#REF!</v>
      </c>
      <c r="AF56" s="148" t="e">
        <f t="shared" si="53"/>
        <v>#REF!</v>
      </c>
      <c r="AG56" s="148" t="e">
        <f t="shared" si="53"/>
        <v>#REF!</v>
      </c>
      <c r="AH56" s="148" t="e">
        <f t="shared" si="53"/>
        <v>#REF!</v>
      </c>
      <c r="AI56" s="148" t="e">
        <f t="shared" si="53"/>
        <v>#REF!</v>
      </c>
      <c r="AJ56" s="148" t="e">
        <f t="shared" si="53"/>
        <v>#REF!</v>
      </c>
      <c r="AK56" s="148" t="e">
        <f t="shared" si="53"/>
        <v>#REF!</v>
      </c>
      <c r="AL56" s="148" t="e">
        <f t="shared" si="53"/>
        <v>#REF!</v>
      </c>
      <c r="AM56" s="148" t="e">
        <f t="shared" si="53"/>
        <v>#REF!</v>
      </c>
      <c r="AN56" s="148" t="e">
        <f t="shared" si="53"/>
        <v>#REF!</v>
      </c>
      <c r="AO56" s="146" t="e">
        <f t="shared" si="53"/>
        <v>#REF!</v>
      </c>
    </row>
    <row r="57" spans="1:41">
      <c r="A57" t="s">
        <v>5</v>
      </c>
      <c r="B57" t="s">
        <v>361</v>
      </c>
      <c r="D57" s="112" t="s">
        <v>396</v>
      </c>
      <c r="E57" s="103"/>
      <c r="F57" s="103"/>
      <c r="G57" s="149">
        <v>1021</v>
      </c>
      <c r="H57" s="157">
        <f>Overview!D35/Overview!H35*Results_energy_scenarios!G57</f>
        <v>0.26818371489252041</v>
      </c>
      <c r="J57" s="100" t="e">
        <f>Overview!AD35*Overview!$Z35/20*Results_energy_scenarios!$H57</f>
        <v>#REF!</v>
      </c>
      <c r="K57" s="148" t="e">
        <f>Overview!AE35*Overview!$Z35/20*Results_energy_scenarios!$H57</f>
        <v>#REF!</v>
      </c>
      <c r="L57" s="148" t="e">
        <f>Overview!AF35*Overview!$Z35/20*Results_energy_scenarios!$H57</f>
        <v>#REF!</v>
      </c>
      <c r="M57" s="148" t="e">
        <f>Overview!AG35*Overview!$Z35/20*Results_energy_scenarios!$H57</f>
        <v>#REF!</v>
      </c>
      <c r="N57" s="148" t="e">
        <f>Overview!AH35*Overview!$Z35/20*Results_energy_scenarios!$H57</f>
        <v>#REF!</v>
      </c>
      <c r="O57" s="148" t="e">
        <f>Overview!AI35*Overview!$Z35/20*Results_energy_scenarios!$H57</f>
        <v>#REF!</v>
      </c>
      <c r="P57" s="148" t="e">
        <f>Overview!AJ35*Overview!$Z35/20*Results_energy_scenarios!$H57</f>
        <v>#REF!</v>
      </c>
      <c r="Q57" s="148" t="e">
        <f>Overview!AK35*Overview!$Z35/20*Results_energy_scenarios!$H57</f>
        <v>#REF!</v>
      </c>
      <c r="R57" s="148" t="e">
        <f>Overview!AL35*Overview!$Z35/20*Results_energy_scenarios!$H57</f>
        <v>#REF!</v>
      </c>
      <c r="S57" s="148" t="e">
        <f>Overview!AM35*Overview!$Z35/20*Results_energy_scenarios!$H57</f>
        <v>#REF!</v>
      </c>
      <c r="T57" s="148" t="e">
        <f>Overview!AN35*Overview!$Z35/20*Results_energy_scenarios!$H57</f>
        <v>#REF!</v>
      </c>
      <c r="U57" s="148" t="e">
        <f>Overview!AO35*Overview!$Z35/20*Results_energy_scenarios!$H57</f>
        <v>#REF!</v>
      </c>
      <c r="V57" s="148" t="e">
        <f>Overview!AP35*Overview!$Z35/20*Results_energy_scenarios!$H57</f>
        <v>#REF!</v>
      </c>
      <c r="W57" s="148" t="e">
        <f>Overview!AQ35*Overview!$Z35/20*Results_energy_scenarios!$H57</f>
        <v>#REF!</v>
      </c>
      <c r="X57" s="148" t="e">
        <f>Overview!AR35*Overview!$Z35/20*Results_energy_scenarios!$H57</f>
        <v>#REF!</v>
      </c>
      <c r="Y57" s="146" t="e">
        <f>Overview!AS35*Overview!$Z35/20*Results_energy_scenarios!$H57</f>
        <v>#REF!</v>
      </c>
      <c r="Z57" s="148" t="e">
        <f>Overview!CP35*Overview!$Z35/20*Results_energy_scenarios!$H57</f>
        <v>#REF!</v>
      </c>
      <c r="AA57" s="148" t="e">
        <f>Overview!CQ35*Overview!$Z35/20*Results_energy_scenarios!$H57</f>
        <v>#REF!</v>
      </c>
      <c r="AB57" s="148" t="e">
        <f>Overview!CR35*Overview!$Z35/20*Results_energy_scenarios!$H57</f>
        <v>#REF!</v>
      </c>
      <c r="AC57" s="148" t="e">
        <f>Overview!CS35*Overview!$Z35/20*Results_energy_scenarios!$H57</f>
        <v>#REF!</v>
      </c>
      <c r="AD57" s="148" t="e">
        <f>Overview!CT35*Overview!$Z35/20*Results_energy_scenarios!$H57</f>
        <v>#REF!</v>
      </c>
      <c r="AE57" s="148" t="e">
        <f>Overview!CU35*Overview!$Z35/20*Results_energy_scenarios!$H57</f>
        <v>#REF!</v>
      </c>
      <c r="AF57" s="148" t="e">
        <f>Overview!CV35*Overview!$Z35/20*Results_energy_scenarios!$H57</f>
        <v>#REF!</v>
      </c>
      <c r="AG57" s="148" t="e">
        <f>Overview!CW35*Overview!$Z35/20*Results_energy_scenarios!$H57</f>
        <v>#REF!</v>
      </c>
      <c r="AH57" s="148" t="e">
        <f>Overview!CX35*Overview!$Z35/20*Results_energy_scenarios!$H57</f>
        <v>#REF!</v>
      </c>
      <c r="AI57" s="148" t="e">
        <f>Overview!CY35*Overview!$Z35/20*Results_energy_scenarios!$H57</f>
        <v>#REF!</v>
      </c>
      <c r="AJ57" s="148" t="e">
        <f>Overview!CZ35*Overview!$Z35/20*Results_energy_scenarios!$H57</f>
        <v>#REF!</v>
      </c>
      <c r="AK57" s="148" t="e">
        <f>Overview!DA35*Overview!$Z35/20*Results_energy_scenarios!$H57</f>
        <v>#REF!</v>
      </c>
      <c r="AL57" s="148" t="e">
        <f>Overview!DB35*Overview!$Z35/20*Results_energy_scenarios!$H57</f>
        <v>#REF!</v>
      </c>
      <c r="AM57" s="148" t="e">
        <f>Overview!DC35*Overview!$Z35/20*Results_energy_scenarios!$H57</f>
        <v>#REF!</v>
      </c>
      <c r="AN57" s="148" t="e">
        <f>Overview!DD35*Overview!$Z35/20*Results_energy_scenarios!$H57</f>
        <v>#REF!</v>
      </c>
      <c r="AO57" s="146" t="e">
        <f>Overview!DE35*Overview!$Z35/20*Results_energy_scenarios!$H57</f>
        <v>#REF!</v>
      </c>
    </row>
    <row r="58" spans="1:41">
      <c r="A58" t="s">
        <v>5</v>
      </c>
      <c r="B58" t="s">
        <v>361</v>
      </c>
      <c r="C58" t="s">
        <v>357</v>
      </c>
      <c r="D58" s="112" t="s">
        <v>358</v>
      </c>
      <c r="E58" s="103"/>
      <c r="F58" s="103"/>
      <c r="G58">
        <f>energy_data_per_scenario!K27*1000</f>
        <v>55110</v>
      </c>
      <c r="H58">
        <f>Overview!D35/Overview!H35*Results_energy_scenarios!G58</f>
        <v>14.475616579556121</v>
      </c>
      <c r="I58" s="173">
        <f>G58/G68</f>
        <v>0.77369086059244696</v>
      </c>
      <c r="J58" s="100" t="e">
        <f>Overview!AD35*Overview!$Z35/20*Results_energy_scenarios!$H58</f>
        <v>#REF!</v>
      </c>
      <c r="K58" s="99" t="e">
        <f>Overview!AE35*Overview!$Z35/20*Results_energy_scenarios!$H58</f>
        <v>#REF!</v>
      </c>
      <c r="L58" s="99" t="e">
        <f>Overview!AF35*Overview!$Z35/20*Results_energy_scenarios!$H58</f>
        <v>#REF!</v>
      </c>
      <c r="M58" s="99" t="e">
        <f>Overview!AG35*Overview!$Z35/20*Results_energy_scenarios!$H58</f>
        <v>#REF!</v>
      </c>
      <c r="N58" s="99" t="e">
        <f>Overview!AH35*Overview!$Z35/20*Results_energy_scenarios!$H58</f>
        <v>#REF!</v>
      </c>
      <c r="O58" s="99" t="e">
        <f>Overview!AI35*Overview!$Z35/20*Results_energy_scenarios!$H58</f>
        <v>#REF!</v>
      </c>
      <c r="P58" s="99" t="e">
        <f>Overview!AJ35*Overview!$Z35/20*Results_energy_scenarios!$H58</f>
        <v>#REF!</v>
      </c>
      <c r="Q58" s="99" t="e">
        <f>Overview!AK35*Overview!$Z35/20*Results_energy_scenarios!$H58</f>
        <v>#REF!</v>
      </c>
      <c r="R58" s="99" t="e">
        <f>Overview!AL35*Overview!$Z35/20*Results_energy_scenarios!$H58</f>
        <v>#REF!</v>
      </c>
      <c r="S58" s="99" t="e">
        <f>Overview!AM35*Overview!$Z35/20*Results_energy_scenarios!$H58</f>
        <v>#REF!</v>
      </c>
      <c r="T58" s="99" t="e">
        <f>Overview!AN35*Overview!$Z35/20*Results_energy_scenarios!$H58</f>
        <v>#REF!</v>
      </c>
      <c r="U58" s="99" t="e">
        <f>Overview!AO35*Overview!$Z35/20*Results_energy_scenarios!$H58</f>
        <v>#REF!</v>
      </c>
      <c r="V58" s="99" t="e">
        <f>Overview!AP35*Overview!$Z35/20*Results_energy_scenarios!$H58</f>
        <v>#REF!</v>
      </c>
      <c r="W58" s="99" t="e">
        <f>Overview!AQ35*Overview!$Z35/20*Results_energy_scenarios!$H58</f>
        <v>#REF!</v>
      </c>
      <c r="X58" s="99" t="e">
        <f>Overview!AR35*Overview!$Z35/20*Results_energy_scenarios!$H58</f>
        <v>#REF!</v>
      </c>
      <c r="Y58" s="101" t="e">
        <f>Overview!AS35*Overview!$Z35/20*Results_energy_scenarios!$H58</f>
        <v>#REF!</v>
      </c>
      <c r="Z58" s="99" t="e">
        <f>Overview!CP35*Overview!$Z35/20*Results_energy_scenarios!$H58</f>
        <v>#REF!</v>
      </c>
      <c r="AA58" s="99" t="e">
        <f>Overview!CQ35*Overview!$Z35/20*Results_energy_scenarios!$H58</f>
        <v>#REF!</v>
      </c>
      <c r="AB58" s="99" t="e">
        <f>Overview!CR35*Overview!$Z35/20*Results_energy_scenarios!$H58</f>
        <v>#REF!</v>
      </c>
      <c r="AC58" s="99" t="e">
        <f>Overview!CS35*Overview!$Z35/20*Results_energy_scenarios!$H58</f>
        <v>#REF!</v>
      </c>
      <c r="AD58" s="99" t="e">
        <f>Overview!CT35*Overview!$Z35/20*Results_energy_scenarios!$H58</f>
        <v>#REF!</v>
      </c>
      <c r="AE58" s="99" t="e">
        <f>Overview!CU35*Overview!$Z35/20*Results_energy_scenarios!$H58</f>
        <v>#REF!</v>
      </c>
      <c r="AF58" s="99" t="e">
        <f>Overview!CV35*Overview!$Z35/20*Results_energy_scenarios!$H58</f>
        <v>#REF!</v>
      </c>
      <c r="AG58" s="99" t="e">
        <f>Overview!CW35*Overview!$Z35/20*Results_energy_scenarios!$H58</f>
        <v>#REF!</v>
      </c>
      <c r="AH58" s="99" t="e">
        <f>Overview!CX35*Overview!$Z35/20*Results_energy_scenarios!$H58</f>
        <v>#REF!</v>
      </c>
      <c r="AI58" s="99" t="e">
        <f>Overview!CY35*Overview!$Z35/20*Results_energy_scenarios!$H58</f>
        <v>#REF!</v>
      </c>
      <c r="AJ58" s="99" t="e">
        <f>Overview!CZ35*Overview!$Z35/20*Results_energy_scenarios!$H58</f>
        <v>#REF!</v>
      </c>
      <c r="AK58" s="99" t="e">
        <f>Overview!DA35*Overview!$Z35/20*Results_energy_scenarios!$H58</f>
        <v>#REF!</v>
      </c>
      <c r="AL58" s="99" t="e">
        <f>Overview!DB35*Overview!$Z35/20*Results_energy_scenarios!$H58</f>
        <v>#REF!</v>
      </c>
      <c r="AM58" s="99" t="e">
        <f>Overview!DC35*Overview!$Z35/20*Results_energy_scenarios!$H58</f>
        <v>#REF!</v>
      </c>
      <c r="AN58" s="99" t="e">
        <f>Overview!DD35*Overview!$Z35/20*Results_energy_scenarios!$H58</f>
        <v>#REF!</v>
      </c>
      <c r="AO58" s="101" t="e">
        <f>Overview!DE35*Overview!$Z35/20*Results_energy_scenarios!$H58</f>
        <v>#REF!</v>
      </c>
    </row>
    <row r="59" spans="1:41">
      <c r="A59" t="s">
        <v>5</v>
      </c>
      <c r="B59" t="s">
        <v>361</v>
      </c>
      <c r="C59" t="s">
        <v>357</v>
      </c>
      <c r="D59" s="114" t="s">
        <v>378</v>
      </c>
      <c r="E59" s="103"/>
      <c r="F59" s="103"/>
      <c r="G59">
        <f>14981/Overview!H35*Results_energy_scenarios!G58</f>
        <v>12936.431328795801</v>
      </c>
      <c r="H59" s="103"/>
      <c r="I59" s="173"/>
      <c r="J59" s="100" t="e">
        <f t="shared" ref="J59:AO59" si="54">J$82*$G59</f>
        <v>#REF!</v>
      </c>
      <c r="K59" s="99" t="e">
        <f t="shared" si="54"/>
        <v>#REF!</v>
      </c>
      <c r="L59" s="99" t="e">
        <f t="shared" si="54"/>
        <v>#REF!</v>
      </c>
      <c r="M59" s="99" t="e">
        <f t="shared" si="54"/>
        <v>#REF!</v>
      </c>
      <c r="N59" s="99" t="e">
        <f t="shared" si="54"/>
        <v>#REF!</v>
      </c>
      <c r="O59" s="99" t="e">
        <f t="shared" si="54"/>
        <v>#REF!</v>
      </c>
      <c r="P59" s="99" t="e">
        <f t="shared" si="54"/>
        <v>#REF!</v>
      </c>
      <c r="Q59" s="99" t="e">
        <f t="shared" si="54"/>
        <v>#REF!</v>
      </c>
      <c r="R59" s="99" t="e">
        <f t="shared" si="54"/>
        <v>#REF!</v>
      </c>
      <c r="S59" s="99" t="e">
        <f t="shared" si="54"/>
        <v>#REF!</v>
      </c>
      <c r="T59" s="99" t="e">
        <f t="shared" si="54"/>
        <v>#REF!</v>
      </c>
      <c r="U59" s="99" t="e">
        <f t="shared" si="54"/>
        <v>#REF!</v>
      </c>
      <c r="V59" s="99" t="e">
        <f t="shared" si="54"/>
        <v>#REF!</v>
      </c>
      <c r="W59" s="99" t="e">
        <f t="shared" si="54"/>
        <v>#REF!</v>
      </c>
      <c r="X59" s="99" t="e">
        <f t="shared" si="54"/>
        <v>#REF!</v>
      </c>
      <c r="Y59" s="101" t="e">
        <f t="shared" si="54"/>
        <v>#REF!</v>
      </c>
      <c r="Z59" s="99" t="e">
        <f t="shared" si="54"/>
        <v>#REF!</v>
      </c>
      <c r="AA59" s="99" t="e">
        <f t="shared" si="54"/>
        <v>#REF!</v>
      </c>
      <c r="AB59" s="99" t="e">
        <f t="shared" si="54"/>
        <v>#REF!</v>
      </c>
      <c r="AC59" s="99" t="e">
        <f t="shared" si="54"/>
        <v>#REF!</v>
      </c>
      <c r="AD59" s="99" t="e">
        <f t="shared" si="54"/>
        <v>#REF!</v>
      </c>
      <c r="AE59" s="99" t="e">
        <f t="shared" si="54"/>
        <v>#REF!</v>
      </c>
      <c r="AF59" s="99" t="e">
        <f t="shared" si="54"/>
        <v>#REF!</v>
      </c>
      <c r="AG59" s="99" t="e">
        <f t="shared" si="54"/>
        <v>#REF!</v>
      </c>
      <c r="AH59" s="99" t="e">
        <f t="shared" si="54"/>
        <v>#REF!</v>
      </c>
      <c r="AI59" s="99" t="e">
        <f t="shared" si="54"/>
        <v>#REF!</v>
      </c>
      <c r="AJ59" s="99" t="e">
        <f t="shared" si="54"/>
        <v>#REF!</v>
      </c>
      <c r="AK59" s="99" t="e">
        <f t="shared" si="54"/>
        <v>#REF!</v>
      </c>
      <c r="AL59" s="99" t="e">
        <f t="shared" si="54"/>
        <v>#REF!</v>
      </c>
      <c r="AM59" s="99" t="e">
        <f t="shared" si="54"/>
        <v>#REF!</v>
      </c>
      <c r="AN59" s="99" t="e">
        <f t="shared" si="54"/>
        <v>#REF!</v>
      </c>
      <c r="AO59" s="101" t="e">
        <f t="shared" si="54"/>
        <v>#REF!</v>
      </c>
    </row>
    <row r="60" spans="1:41">
      <c r="A60" t="s">
        <v>5</v>
      </c>
      <c r="B60" t="s">
        <v>361</v>
      </c>
      <c r="C60" t="s">
        <v>357</v>
      </c>
      <c r="D60" s="115" t="s">
        <v>343</v>
      </c>
      <c r="E60" s="103"/>
      <c r="F60" s="103"/>
      <c r="G60">
        <f>Overview!H12</f>
        <v>3.348039177901612E-4</v>
      </c>
      <c r="H60">
        <f>Overview!D12</f>
        <v>3.3979215358144001E-6</v>
      </c>
      <c r="I60" s="173"/>
      <c r="J60" s="100" t="e">
        <f>Overview!AD12*Overview!$Z12/20*Results_energy_scenarios!$H60+Overview!AD15*Overview!$Z15*Results_energy_scenarios!$G60</f>
        <v>#REF!</v>
      </c>
      <c r="K60" s="99" t="e">
        <f>Overview!AE12*Overview!$Z12/20*Results_energy_scenarios!$H60+Overview!AE15*Overview!$Z15*Results_energy_scenarios!$G60</f>
        <v>#REF!</v>
      </c>
      <c r="L60" s="99" t="e">
        <f>Overview!AF12*Overview!$Z12/20*Results_energy_scenarios!$H60+Overview!AF15*Overview!$Z15*Results_energy_scenarios!$G60</f>
        <v>#REF!</v>
      </c>
      <c r="M60" s="99" t="e">
        <f>Overview!AG12*Overview!$Z12/20*Results_energy_scenarios!$H60+Overview!AG15*Overview!$Z15*Results_energy_scenarios!$G60</f>
        <v>#REF!</v>
      </c>
      <c r="N60" s="99" t="e">
        <f>Overview!AH12*Overview!$Z12/20*Results_energy_scenarios!$H60+Overview!AH15*Overview!$Z15*Results_energy_scenarios!$G60</f>
        <v>#REF!</v>
      </c>
      <c r="O60" s="99" t="e">
        <f>Overview!AI12*Overview!$Z12/20*Results_energy_scenarios!$H60+Overview!AI15*Overview!$Z15*Results_energy_scenarios!$G60</f>
        <v>#REF!</v>
      </c>
      <c r="P60" s="99" t="e">
        <f>Overview!AJ12*Overview!$Z12/20*Results_energy_scenarios!$H60+Overview!AJ15*Overview!$Z15*Results_energy_scenarios!$G60</f>
        <v>#REF!</v>
      </c>
      <c r="Q60" s="99" t="e">
        <f>Overview!AK12*Overview!$Z12/20*Results_energy_scenarios!$H60+Overview!AK15*Overview!$Z15*Results_energy_scenarios!$G60</f>
        <v>#REF!</v>
      </c>
      <c r="R60" s="99" t="e">
        <f>Overview!AL12*Overview!$Z12/20*Results_energy_scenarios!$H60+Overview!AL15*Overview!$Z15*Results_energy_scenarios!$G60</f>
        <v>#REF!</v>
      </c>
      <c r="S60" s="99" t="e">
        <f>Overview!AM12*Overview!$Z12/20*Results_energy_scenarios!$H60+Overview!AM15*Overview!$Z15*Results_energy_scenarios!$G60</f>
        <v>#REF!</v>
      </c>
      <c r="T60" s="99" t="e">
        <f>Overview!AN12*Overview!$Z12/20*Results_energy_scenarios!$H60+Overview!AN15*Overview!$Z15*Results_energy_scenarios!$G60</f>
        <v>#REF!</v>
      </c>
      <c r="U60" s="99" t="e">
        <f>Overview!AO12*Overview!$Z12/20*Results_energy_scenarios!$H60+Overview!AO15*Overview!$Z15*Results_energy_scenarios!$G60</f>
        <v>#REF!</v>
      </c>
      <c r="V60" s="99" t="e">
        <f>Overview!AP12*Overview!$Z12/20*Results_energy_scenarios!$H60+Overview!AP15*Overview!$Z15*Results_energy_scenarios!$G60</f>
        <v>#REF!</v>
      </c>
      <c r="W60" s="99" t="e">
        <f>Overview!AQ12*Overview!$Z12/20*Results_energy_scenarios!$H60+Overview!AQ15*Overview!$Z15*Results_energy_scenarios!$G60</f>
        <v>#REF!</v>
      </c>
      <c r="X60" s="99" t="e">
        <f>Overview!AR12*Overview!$Z12/20*Results_energy_scenarios!$H60+Overview!AR15*Overview!$Z15*Results_energy_scenarios!$G60</f>
        <v>#REF!</v>
      </c>
      <c r="Y60" s="101" t="e">
        <f>Overview!AS12*Overview!$Z12/20*Results_energy_scenarios!$H60+Overview!AS15*Overview!$Z15*Results_energy_scenarios!$G60</f>
        <v>#REF!</v>
      </c>
      <c r="Z60" s="99" t="e">
        <f>Overview!CP12*Overview!$Z12/20*Results_energy_scenarios!$H60+Overview!CP15*Overview!$Z15*Results_energy_scenarios!$G60</f>
        <v>#REF!</v>
      </c>
      <c r="AA60" s="99" t="e">
        <f>Overview!CQ12*Overview!$Z12/20*Results_energy_scenarios!$H60+Overview!CQ15*Overview!$Z15*Results_energy_scenarios!$G60</f>
        <v>#REF!</v>
      </c>
      <c r="AB60" s="99" t="e">
        <f>Overview!CR12*Overview!$Z12/20*Results_energy_scenarios!$H60+Overview!CR15*Overview!$Z15*Results_energy_scenarios!$G60</f>
        <v>#REF!</v>
      </c>
      <c r="AC60" s="99" t="e">
        <f>Overview!CS12*Overview!$Z12/20*Results_energy_scenarios!$H60+Overview!CS15*Overview!$Z15*Results_energy_scenarios!$G60</f>
        <v>#REF!</v>
      </c>
      <c r="AD60" s="99" t="e">
        <f>Overview!CT12*Overview!$Z12/20*Results_energy_scenarios!$H60+Overview!CT15*Overview!$Z15*Results_energy_scenarios!$G60</f>
        <v>#REF!</v>
      </c>
      <c r="AE60" s="99" t="e">
        <f>Overview!CU12*Overview!$Z12/20*Results_energy_scenarios!$H60+Overview!CU15*Overview!$Z15*Results_energy_scenarios!$G60</f>
        <v>#REF!</v>
      </c>
      <c r="AF60" s="99" t="e">
        <f>Overview!CV12*Overview!$Z12/20*Results_energy_scenarios!$H60+Overview!CV15*Overview!$Z15*Results_energy_scenarios!$G60</f>
        <v>#REF!</v>
      </c>
      <c r="AG60" s="99" t="e">
        <f>Overview!CW12*Overview!$Z12/20*Results_energy_scenarios!$H60+Overview!CW15*Overview!$Z15*Results_energy_scenarios!$G60</f>
        <v>#REF!</v>
      </c>
      <c r="AH60" s="99" t="e">
        <f>Overview!CX12*Overview!$Z12/20*Results_energy_scenarios!$H60+Overview!CX15*Overview!$Z15*Results_energy_scenarios!$G60</f>
        <v>#REF!</v>
      </c>
      <c r="AI60" s="99" t="e">
        <f>Overview!CY12*Overview!$Z12/20*Results_energy_scenarios!$H60+Overview!CY15*Overview!$Z15*Results_energy_scenarios!$G60</f>
        <v>#REF!</v>
      </c>
      <c r="AJ60" s="99" t="e">
        <f>Overview!CZ12*Overview!$Z12/20*Results_energy_scenarios!$H60+Overview!CZ15*Overview!$Z15*Results_energy_scenarios!$G60</f>
        <v>#REF!</v>
      </c>
      <c r="AK60" s="99" t="e">
        <f>Overview!DA12*Overview!$Z12/20*Results_energy_scenarios!$H60+Overview!DA15*Overview!$Z15*Results_energy_scenarios!$G60</f>
        <v>#REF!</v>
      </c>
      <c r="AL60" s="99" t="e">
        <f>Overview!DB12*Overview!$Z12/20*Results_energy_scenarios!$H60+Overview!DB15*Overview!$Z15*Results_energy_scenarios!$G60</f>
        <v>#REF!</v>
      </c>
      <c r="AM60" s="99" t="e">
        <f>Overview!DC12*Overview!$Z12/20*Results_energy_scenarios!$H60+Overview!DC15*Overview!$Z15*Results_energy_scenarios!$G60</f>
        <v>#REF!</v>
      </c>
      <c r="AN60" s="99" t="e">
        <f>Overview!DD12*Overview!$Z12/20*Results_energy_scenarios!$H60+Overview!DD15*Overview!$Z15*Results_energy_scenarios!$G60</f>
        <v>#REF!</v>
      </c>
      <c r="AO60" s="101" t="e">
        <f>Overview!DE12*Overview!$Z12/20*Results_energy_scenarios!$H60+Overview!DE15*Overview!$Z15*Results_energy_scenarios!$G60</f>
        <v>#REF!</v>
      </c>
    </row>
    <row r="61" spans="1:41">
      <c r="A61" t="s">
        <v>5</v>
      </c>
      <c r="B61" t="s">
        <v>361</v>
      </c>
      <c r="C61" t="s">
        <v>329</v>
      </c>
      <c r="D61" s="115" t="s">
        <v>322</v>
      </c>
      <c r="E61" s="103"/>
      <c r="F61" s="103"/>
      <c r="G61" s="149">
        <v>6151</v>
      </c>
      <c r="H61" s="103"/>
      <c r="I61" s="173"/>
      <c r="J61" s="100" t="e">
        <f>J51/$G51*$G61</f>
        <v>#REF!</v>
      </c>
      <c r="K61" s="99" t="e">
        <f t="shared" ref="K61:AO61" si="55">K51/$G51*$G61</f>
        <v>#REF!</v>
      </c>
      <c r="L61" s="99" t="e">
        <f t="shared" si="55"/>
        <v>#REF!</v>
      </c>
      <c r="M61" s="99" t="e">
        <f t="shared" si="55"/>
        <v>#REF!</v>
      </c>
      <c r="N61" s="99" t="e">
        <f t="shared" si="55"/>
        <v>#REF!</v>
      </c>
      <c r="O61" s="99" t="e">
        <f t="shared" si="55"/>
        <v>#REF!</v>
      </c>
      <c r="P61" s="99" t="e">
        <f t="shared" si="55"/>
        <v>#REF!</v>
      </c>
      <c r="Q61" s="99" t="e">
        <f t="shared" si="55"/>
        <v>#REF!</v>
      </c>
      <c r="R61" s="99" t="e">
        <f t="shared" si="55"/>
        <v>#REF!</v>
      </c>
      <c r="S61" s="99" t="e">
        <f t="shared" si="55"/>
        <v>#REF!</v>
      </c>
      <c r="T61" s="99" t="e">
        <f t="shared" si="55"/>
        <v>#REF!</v>
      </c>
      <c r="U61" s="99" t="e">
        <f t="shared" si="55"/>
        <v>#REF!</v>
      </c>
      <c r="V61" s="99" t="e">
        <f t="shared" si="55"/>
        <v>#REF!</v>
      </c>
      <c r="W61" s="99" t="e">
        <f t="shared" si="55"/>
        <v>#REF!</v>
      </c>
      <c r="X61" s="99" t="e">
        <f t="shared" si="55"/>
        <v>#REF!</v>
      </c>
      <c r="Y61" s="101" t="e">
        <f t="shared" si="55"/>
        <v>#REF!</v>
      </c>
      <c r="Z61" s="99" t="e">
        <f t="shared" si="55"/>
        <v>#REF!</v>
      </c>
      <c r="AA61" s="99" t="e">
        <f t="shared" si="55"/>
        <v>#REF!</v>
      </c>
      <c r="AB61" s="99" t="e">
        <f t="shared" si="55"/>
        <v>#REF!</v>
      </c>
      <c r="AC61" s="99" t="e">
        <f t="shared" si="55"/>
        <v>#REF!</v>
      </c>
      <c r="AD61" s="99" t="e">
        <f t="shared" si="55"/>
        <v>#REF!</v>
      </c>
      <c r="AE61" s="99" t="e">
        <f t="shared" si="55"/>
        <v>#REF!</v>
      </c>
      <c r="AF61" s="99" t="e">
        <f t="shared" si="55"/>
        <v>#REF!</v>
      </c>
      <c r="AG61" s="99" t="e">
        <f t="shared" si="55"/>
        <v>#REF!</v>
      </c>
      <c r="AH61" s="99" t="e">
        <f t="shared" si="55"/>
        <v>#REF!</v>
      </c>
      <c r="AI61" s="99" t="e">
        <f t="shared" si="55"/>
        <v>#REF!</v>
      </c>
      <c r="AJ61" s="99" t="e">
        <f t="shared" si="55"/>
        <v>#REF!</v>
      </c>
      <c r="AK61" s="99" t="e">
        <f t="shared" si="55"/>
        <v>#REF!</v>
      </c>
      <c r="AL61" s="99" t="e">
        <f t="shared" si="55"/>
        <v>#REF!</v>
      </c>
      <c r="AM61" s="99" t="e">
        <f t="shared" si="55"/>
        <v>#REF!</v>
      </c>
      <c r="AN61" s="99" t="e">
        <f t="shared" si="55"/>
        <v>#REF!</v>
      </c>
      <c r="AO61" s="101" t="e">
        <f t="shared" si="55"/>
        <v>#REF!</v>
      </c>
    </row>
    <row r="62" spans="1:41">
      <c r="A62" t="s">
        <v>5</v>
      </c>
      <c r="B62" t="s">
        <v>361</v>
      </c>
      <c r="C62" t="s">
        <v>329</v>
      </c>
      <c r="D62" s="115" t="s">
        <v>343</v>
      </c>
      <c r="E62" s="103"/>
      <c r="F62" s="103"/>
      <c r="G62">
        <f>energy_data_per_scenario!K17*1000</f>
        <v>5702</v>
      </c>
      <c r="H62">
        <f>Overview!D13</f>
        <v>0.64917135784942404</v>
      </c>
      <c r="I62" s="173">
        <f>G62/G68</f>
        <v>8.0050540502597217E-2</v>
      </c>
      <c r="J62" s="100" t="e">
        <f>Overview!AD13*Overview!$Z13/20*Results_energy_scenarios!$H62+Overview!AD14*Overview!$Z14*Results_energy_scenarios!$G62</f>
        <v>#REF!</v>
      </c>
      <c r="K62" s="99" t="e">
        <f>Overview!AE13*Overview!$Z13/20*Results_energy_scenarios!$H62+Overview!AE14*Overview!$Z14*Results_energy_scenarios!$G62</f>
        <v>#REF!</v>
      </c>
      <c r="L62" s="99" t="e">
        <f>Overview!AF13*Overview!$Z13/20*Results_energy_scenarios!$H62+Overview!AF14*Overview!$Z14*Results_energy_scenarios!$G62</f>
        <v>#REF!</v>
      </c>
      <c r="M62" s="99" t="e">
        <f>Overview!AG13*Overview!$Z13/20*Results_energy_scenarios!$H62+Overview!AG14*Overview!$Z14*Results_energy_scenarios!$G62</f>
        <v>#REF!</v>
      </c>
      <c r="N62" s="99" t="e">
        <f>Overview!AH13*Overview!$Z13/20*Results_energy_scenarios!$H62+Overview!AH14*Overview!$Z14*Results_energy_scenarios!$G62</f>
        <v>#REF!</v>
      </c>
      <c r="O62" s="99" t="e">
        <f>Overview!AI13*Overview!$Z13/20*Results_energy_scenarios!$H62+Overview!AI14*Overview!$Z14*Results_energy_scenarios!$G62</f>
        <v>#REF!</v>
      </c>
      <c r="P62" s="99" t="e">
        <f>Overview!AJ13*Overview!$Z13/20*Results_energy_scenarios!$H62+Overview!AJ14*Overview!$Z14*Results_energy_scenarios!$G62</f>
        <v>#REF!</v>
      </c>
      <c r="Q62" s="99" t="e">
        <f>Overview!AK13*Overview!$Z13/20*Results_energy_scenarios!$H62+Overview!AK14*Overview!$Z14*Results_energy_scenarios!$G62</f>
        <v>#REF!</v>
      </c>
      <c r="R62" s="99" t="e">
        <f>Overview!AL13*Overview!$Z13/20*Results_energy_scenarios!$H62+Overview!AL14*Overview!$Z14*Results_energy_scenarios!$G62</f>
        <v>#REF!</v>
      </c>
      <c r="S62" s="99" t="e">
        <f>Overview!AM13*Overview!$Z13/20*Results_energy_scenarios!$H62+Overview!AM14*Overview!$Z14*Results_energy_scenarios!$G62</f>
        <v>#REF!</v>
      </c>
      <c r="T62" s="99" t="e">
        <f>Overview!AN13*Overview!$Z13/20*Results_energy_scenarios!$H62+Overview!AN14*Overview!$Z14*Results_energy_scenarios!$G62</f>
        <v>#REF!</v>
      </c>
      <c r="U62" s="99" t="e">
        <f>Overview!AO13*Overview!$Z13/20*Results_energy_scenarios!$H62+Overview!AO14*Overview!$Z14*Results_energy_scenarios!$G62</f>
        <v>#REF!</v>
      </c>
      <c r="V62" s="99" t="e">
        <f>Overview!AP13*Overview!$Z13/20*Results_energy_scenarios!$H62+Overview!AP14*Overview!$Z14*Results_energy_scenarios!$G62</f>
        <v>#REF!</v>
      </c>
      <c r="W62" s="99" t="e">
        <f>Overview!AQ13*Overview!$Z13/20*Results_energy_scenarios!$H62+Overview!AQ14*Overview!$Z14*Results_energy_scenarios!$G62</f>
        <v>#REF!</v>
      </c>
      <c r="X62" s="99" t="e">
        <f>Overview!AR13*Overview!$Z13/20*Results_energy_scenarios!$H62+Overview!AR14*Overview!$Z14*Results_energy_scenarios!$G62</f>
        <v>#REF!</v>
      </c>
      <c r="Y62" s="101" t="e">
        <f>Overview!AS13*Overview!$Z13/20*Results_energy_scenarios!$H62+Overview!AS14*Overview!$Z14*Results_energy_scenarios!$G62</f>
        <v>#REF!</v>
      </c>
      <c r="Z62" s="99" t="e">
        <f>Overview!CP13*Overview!$Z13/20*Results_energy_scenarios!$H62+Overview!CP14*Overview!$Z14*Results_energy_scenarios!$G62</f>
        <v>#REF!</v>
      </c>
      <c r="AA62" s="99" t="e">
        <f>Overview!CQ13*Overview!$Z13/20*Results_energy_scenarios!$H62+Overview!CQ14*Overview!$Z14*Results_energy_scenarios!$G62</f>
        <v>#REF!</v>
      </c>
      <c r="AB62" s="99" t="e">
        <f>Overview!CR13*Overview!$Z13/20*Results_energy_scenarios!$H62+Overview!CR14*Overview!$Z14*Results_energy_scenarios!$G62</f>
        <v>#REF!</v>
      </c>
      <c r="AC62" s="99" t="e">
        <f>Overview!CS13*Overview!$Z13/20*Results_energy_scenarios!$H62+Overview!CS14*Overview!$Z14*Results_energy_scenarios!$G62</f>
        <v>#REF!</v>
      </c>
      <c r="AD62" s="99" t="e">
        <f>Overview!CT13*Overview!$Z13/20*Results_energy_scenarios!$H62+Overview!CT14*Overview!$Z14*Results_energy_scenarios!$G62</f>
        <v>#REF!</v>
      </c>
      <c r="AE62" s="99" t="e">
        <f>Overview!CU13*Overview!$Z13/20*Results_energy_scenarios!$H62+Overview!CU14*Overview!$Z14*Results_energy_scenarios!$G62</f>
        <v>#REF!</v>
      </c>
      <c r="AF62" s="99" t="e">
        <f>Overview!CV13*Overview!$Z13/20*Results_energy_scenarios!$H62+Overview!CV14*Overview!$Z14*Results_energy_scenarios!$G62</f>
        <v>#REF!</v>
      </c>
      <c r="AG62" s="99" t="e">
        <f>Overview!CW13*Overview!$Z13/20*Results_energy_scenarios!$H62+Overview!CW14*Overview!$Z14*Results_energy_scenarios!$G62</f>
        <v>#REF!</v>
      </c>
      <c r="AH62" s="99" t="e">
        <f>Overview!CX13*Overview!$Z13/20*Results_energy_scenarios!$H62+Overview!CX14*Overview!$Z14*Results_energy_scenarios!$G62</f>
        <v>#REF!</v>
      </c>
      <c r="AI62" s="99" t="e">
        <f>Overview!CY13*Overview!$Z13/20*Results_energy_scenarios!$H62+Overview!CY14*Overview!$Z14*Results_energy_scenarios!$G62</f>
        <v>#REF!</v>
      </c>
      <c r="AJ62" s="99" t="e">
        <f>Overview!CZ13*Overview!$Z13/20*Results_energy_scenarios!$H62+Overview!CZ14*Overview!$Z14*Results_energy_scenarios!$G62</f>
        <v>#REF!</v>
      </c>
      <c r="AK62" s="99" t="e">
        <f>Overview!DA13*Overview!$Z13/20*Results_energy_scenarios!$H62+Overview!DA14*Overview!$Z14*Results_energy_scenarios!$G62</f>
        <v>#REF!</v>
      </c>
      <c r="AL62" s="99" t="e">
        <f>Overview!DB13*Overview!$Z13/20*Results_energy_scenarios!$H62+Overview!DB14*Overview!$Z14*Results_energy_scenarios!$G62</f>
        <v>#REF!</v>
      </c>
      <c r="AM62" s="99" t="e">
        <f>Overview!DC13*Overview!$Z13/20*Results_energy_scenarios!$H62+Overview!DC14*Overview!$Z14*Results_energy_scenarios!$G62</f>
        <v>#REF!</v>
      </c>
      <c r="AN62" s="99" t="e">
        <f>Overview!DD13*Overview!$Z13/20*Results_energy_scenarios!$H62+Overview!DD14*Overview!$Z14*Results_energy_scenarios!$G62</f>
        <v>#REF!</v>
      </c>
      <c r="AO62" s="101" t="e">
        <f>Overview!DE13*Overview!$Z13/20*Results_energy_scenarios!$H62+Overview!DE14*Overview!$Z14*Results_energy_scenarios!$G62</f>
        <v>#REF!</v>
      </c>
    </row>
    <row r="63" spans="1:41">
      <c r="A63" t="s">
        <v>5</v>
      </c>
      <c r="B63" t="s">
        <v>361</v>
      </c>
      <c r="C63" t="s">
        <v>330</v>
      </c>
      <c r="D63" s="116" t="s">
        <v>347</v>
      </c>
      <c r="E63" s="103"/>
      <c r="F63" s="103"/>
      <c r="G63">
        <f>energy_data_per_scenario!K20*1000</f>
        <v>6050</v>
      </c>
      <c r="H63">
        <f>Overview!D22/(G63+G71)*G63</f>
        <v>0.21193014481950298</v>
      </c>
      <c r="I63" s="173">
        <f>G63/G68</f>
        <v>8.4936122420328511E-2</v>
      </c>
      <c r="J63" s="100" t="e">
        <f>Overview!$Z22/25*Overview!AD22*Results_energy_scenarios!$H63</f>
        <v>#REF!</v>
      </c>
      <c r="K63" s="99" t="e">
        <f>Overview!$Z22/25*Overview!AE22*Results_energy_scenarios!$H63</f>
        <v>#REF!</v>
      </c>
      <c r="L63" s="99" t="e">
        <f>Overview!$Z22/25*Overview!AF22*Results_energy_scenarios!$H63</f>
        <v>#REF!</v>
      </c>
      <c r="M63" s="99" t="e">
        <f>Overview!$Z22/25*Overview!AG22*Results_energy_scenarios!$H63</f>
        <v>#REF!</v>
      </c>
      <c r="N63" s="99" t="e">
        <f>Overview!$Z22/25*Overview!AH22*Results_energy_scenarios!$H63</f>
        <v>#REF!</v>
      </c>
      <c r="O63" s="99" t="e">
        <f>Overview!$Z22/25*Overview!AI22*Results_energy_scenarios!$H63</f>
        <v>#REF!</v>
      </c>
      <c r="P63" s="99" t="e">
        <f>Overview!$Z22/25*Overview!AJ22*Results_energy_scenarios!$H63</f>
        <v>#REF!</v>
      </c>
      <c r="Q63" s="99" t="e">
        <f>Overview!$Z22/25*Overview!AK22*Results_energy_scenarios!$H63</f>
        <v>#REF!</v>
      </c>
      <c r="R63" s="99" t="e">
        <f>Overview!$Z22/25*Overview!AL22*Results_energy_scenarios!$H63</f>
        <v>#REF!</v>
      </c>
      <c r="S63" s="99" t="e">
        <f>Overview!$Z22/25*Overview!AM22*Results_energy_scenarios!$H63</f>
        <v>#REF!</v>
      </c>
      <c r="T63" s="99" t="e">
        <f>Overview!$Z22/25*Overview!AN22*Results_energy_scenarios!$H63</f>
        <v>#REF!</v>
      </c>
      <c r="U63" s="99" t="e">
        <f>Overview!$Z22/25*Overview!AO22*Results_energy_scenarios!$H63</f>
        <v>#REF!</v>
      </c>
      <c r="V63" s="99" t="e">
        <f>Overview!$Z22/25*Overview!AP22*Results_energy_scenarios!$H63</f>
        <v>#REF!</v>
      </c>
      <c r="W63" s="99" t="e">
        <f>Overview!$Z22/25*Overview!AQ22*Results_energy_scenarios!$H63</f>
        <v>#REF!</v>
      </c>
      <c r="X63" s="99" t="e">
        <f>Overview!$Z22/25*Overview!AR22*Results_energy_scenarios!$H63</f>
        <v>#REF!</v>
      </c>
      <c r="Y63" s="101" t="e">
        <f>Overview!$Z22/25*Overview!AS22*Results_energy_scenarios!$H63</f>
        <v>#REF!</v>
      </c>
      <c r="Z63" s="99" t="e">
        <f>Overview!$Z22/25*Overview!CP22*Results_energy_scenarios!$H63</f>
        <v>#REF!</v>
      </c>
      <c r="AA63" s="99" t="e">
        <f>Overview!$Z22/25*Overview!CQ22*Results_energy_scenarios!$H63</f>
        <v>#REF!</v>
      </c>
      <c r="AB63" s="99" t="e">
        <f>Overview!$Z22/25*Overview!CR22*Results_energy_scenarios!$H63</f>
        <v>#REF!</v>
      </c>
      <c r="AC63" s="99" t="e">
        <f>Overview!$Z22/25*Overview!CS22*Results_energy_scenarios!$H63</f>
        <v>#REF!</v>
      </c>
      <c r="AD63" s="99" t="e">
        <f>Overview!$Z22/25*Overview!CT22*Results_energy_scenarios!$H63</f>
        <v>#REF!</v>
      </c>
      <c r="AE63" s="99" t="e">
        <f>Overview!$Z22/25*Overview!CU22*Results_energy_scenarios!$H63</f>
        <v>#REF!</v>
      </c>
      <c r="AF63" s="99" t="e">
        <f>Overview!$Z22/25*Overview!CV22*Results_energy_scenarios!$H63</f>
        <v>#REF!</v>
      </c>
      <c r="AG63" s="99" t="e">
        <f>Overview!$Z22/25*Overview!CW22*Results_energy_scenarios!$H63</f>
        <v>#REF!</v>
      </c>
      <c r="AH63" s="99" t="e">
        <f>Overview!$Z22/25*Overview!CX22*Results_energy_scenarios!$H63</f>
        <v>#REF!</v>
      </c>
      <c r="AI63" s="99" t="e">
        <f>Overview!$Z22/25*Overview!CY22*Results_energy_scenarios!$H63</f>
        <v>#REF!</v>
      </c>
      <c r="AJ63" s="99" t="e">
        <f>Overview!$Z22/25*Overview!CZ22*Results_energy_scenarios!$H63</f>
        <v>#REF!</v>
      </c>
      <c r="AK63" s="99" t="e">
        <f>Overview!$Z22/25*Overview!DA22*Results_energy_scenarios!$H63</f>
        <v>#REF!</v>
      </c>
      <c r="AL63" s="99" t="e">
        <f>Overview!$Z22/25*Overview!DB22*Results_energy_scenarios!$H63</f>
        <v>#REF!</v>
      </c>
      <c r="AM63" s="99" t="e">
        <f>Overview!$Z22/25*Overview!DC22*Results_energy_scenarios!$H63</f>
        <v>#REF!</v>
      </c>
      <c r="AN63" s="99" t="e">
        <f>Overview!$Z22/25*Overview!DD22*Results_energy_scenarios!$H63</f>
        <v>#REF!</v>
      </c>
      <c r="AO63" s="101" t="e">
        <f>Overview!$Z22/25*Overview!DE22*Results_energy_scenarios!$H63</f>
        <v>#REF!</v>
      </c>
    </row>
    <row r="64" spans="1:41">
      <c r="A64" t="s">
        <v>5</v>
      </c>
      <c r="B64" t="s">
        <v>361</v>
      </c>
      <c r="C64" t="s">
        <v>330</v>
      </c>
      <c r="D64" s="113" t="s">
        <v>339</v>
      </c>
      <c r="E64" s="103"/>
      <c r="F64" s="103"/>
      <c r="G64">
        <v>89</v>
      </c>
      <c r="H64" s="103"/>
      <c r="I64" s="173"/>
      <c r="J64" s="100" t="e">
        <f>$G64*Overview!AD5*Overview!$Z5</f>
        <v>#REF!</v>
      </c>
      <c r="K64" s="99" t="e">
        <f>$G64*Overview!AE5*Overview!$Z5</f>
        <v>#REF!</v>
      </c>
      <c r="L64" s="99" t="e">
        <f>$G64*Overview!AF5*Overview!$Z5</f>
        <v>#REF!</v>
      </c>
      <c r="M64" s="99" t="e">
        <f>$G64*Overview!AG5*Overview!$Z5</f>
        <v>#REF!</v>
      </c>
      <c r="N64" s="99" t="e">
        <f>$G64*Overview!AH5*Overview!$Z5</f>
        <v>#REF!</v>
      </c>
      <c r="O64" s="99" t="e">
        <f>$G64*Overview!AI5*Overview!$Z5</f>
        <v>#REF!</v>
      </c>
      <c r="P64" s="99" t="e">
        <f>$G64*Overview!AJ5*Overview!$Z5</f>
        <v>#REF!</v>
      </c>
      <c r="Q64" s="99" t="e">
        <f>$G64*Overview!AK5*Overview!$Z5</f>
        <v>#REF!</v>
      </c>
      <c r="R64" s="99" t="e">
        <f>$G64*Overview!AL5*Overview!$Z5</f>
        <v>#REF!</v>
      </c>
      <c r="S64" s="99" t="e">
        <f>$G64*Overview!AM5*Overview!$Z5</f>
        <v>#REF!</v>
      </c>
      <c r="T64" s="99" t="e">
        <f>$G64*Overview!AN5*Overview!$Z5</f>
        <v>#REF!</v>
      </c>
      <c r="U64" s="99" t="e">
        <f>$G64*Overview!AO5*Overview!$Z5</f>
        <v>#REF!</v>
      </c>
      <c r="V64" s="99" t="e">
        <f>$G64*Overview!AP5*Overview!$Z5</f>
        <v>#REF!</v>
      </c>
      <c r="W64" s="99" t="e">
        <f>$G64*Overview!AQ5*Overview!$Z5</f>
        <v>#REF!</v>
      </c>
      <c r="X64" s="99" t="e">
        <f>$G64*Overview!AR5*Overview!$Z5</f>
        <v>#REF!</v>
      </c>
      <c r="Y64" s="101" t="e">
        <f>$G64*Overview!AS5*Overview!$Z5</f>
        <v>#REF!</v>
      </c>
      <c r="Z64" s="99" t="e">
        <f>$G64*Overview!CP5*Overview!$Z5</f>
        <v>#REF!</v>
      </c>
      <c r="AA64" s="99" t="e">
        <f>$G64*Overview!CQ5*Overview!$Z5</f>
        <v>#REF!</v>
      </c>
      <c r="AB64" s="99" t="e">
        <f>$G64*Overview!CR5*Overview!$Z5</f>
        <v>#REF!</v>
      </c>
      <c r="AC64" s="99" t="e">
        <f>$G64*Overview!CS5*Overview!$Z5</f>
        <v>#REF!</v>
      </c>
      <c r="AD64" s="99" t="e">
        <f>$G64*Overview!CT5*Overview!$Z5</f>
        <v>#REF!</v>
      </c>
      <c r="AE64" s="99" t="e">
        <f>$G64*Overview!CU5*Overview!$Z5</f>
        <v>#REF!</v>
      </c>
      <c r="AF64" s="99" t="e">
        <f>$G64*Overview!CV5*Overview!$Z5</f>
        <v>#REF!</v>
      </c>
      <c r="AG64" s="99" t="e">
        <f>$G64*Overview!CW5*Overview!$Z5</f>
        <v>#REF!</v>
      </c>
      <c r="AH64" s="99" t="e">
        <f>$G64*Overview!CX5*Overview!$Z5</f>
        <v>#REF!</v>
      </c>
      <c r="AI64" s="99" t="e">
        <f>$G64*Overview!CY5*Overview!$Z5</f>
        <v>#REF!</v>
      </c>
      <c r="AJ64" s="99" t="e">
        <f>$G64*Overview!CZ5*Overview!$Z5</f>
        <v>#REF!</v>
      </c>
      <c r="AK64" s="99" t="e">
        <f>$G64*Overview!DA5*Overview!$Z5</f>
        <v>#REF!</v>
      </c>
      <c r="AL64" s="99" t="e">
        <f>$G64*Overview!DB5*Overview!$Z5</f>
        <v>#REF!</v>
      </c>
      <c r="AM64" s="99" t="e">
        <f>$G64*Overview!DC5*Overview!$Z5</f>
        <v>#REF!</v>
      </c>
      <c r="AN64" s="99" t="e">
        <f>$G64*Overview!DD5*Overview!$Z5</f>
        <v>#REF!</v>
      </c>
      <c r="AO64" s="101" t="e">
        <f>$G64*Overview!DE5*Overview!$Z5</f>
        <v>#REF!</v>
      </c>
    </row>
    <row r="65" spans="1:41">
      <c r="A65" t="s">
        <v>5</v>
      </c>
      <c r="B65" t="s">
        <v>361</v>
      </c>
      <c r="C65" t="s">
        <v>330</v>
      </c>
      <c r="D65" s="113" t="s">
        <v>341</v>
      </c>
      <c r="E65" s="103"/>
      <c r="F65" s="103"/>
      <c r="G65">
        <v>77</v>
      </c>
      <c r="H65">
        <f>Overview!D41</f>
        <v>8.7495404026357963E-3</v>
      </c>
      <c r="I65" s="173">
        <f>G65/G68</f>
        <v>1.0810051944405447E-3</v>
      </c>
      <c r="J65" s="100" t="e">
        <f>Overview!AD41*Overview!$Z41/17*Results_energy_scenarios!$H65</f>
        <v>#REF!</v>
      </c>
      <c r="K65" s="99" t="e">
        <f>Overview!AE41*Overview!$Z41/17*Results_energy_scenarios!$H65</f>
        <v>#REF!</v>
      </c>
      <c r="L65" s="99" t="e">
        <f>Overview!AF41*Overview!$Z41/17*Results_energy_scenarios!$H65</f>
        <v>#REF!</v>
      </c>
      <c r="M65" s="99" t="e">
        <f>Overview!AG41*Overview!$Z41/17*Results_energy_scenarios!$H65</f>
        <v>#REF!</v>
      </c>
      <c r="N65" s="99" t="e">
        <f>Overview!AH41*Overview!$Z41/17*Results_energy_scenarios!$H65</f>
        <v>#REF!</v>
      </c>
      <c r="O65" s="99" t="e">
        <f>Overview!AI41*Overview!$Z41/17*Results_energy_scenarios!$H65</f>
        <v>#REF!</v>
      </c>
      <c r="P65" s="99" t="e">
        <f>Overview!AJ41*Overview!$Z41/17*Results_energy_scenarios!$H65</f>
        <v>#REF!</v>
      </c>
      <c r="Q65" s="99" t="e">
        <f>Overview!AK41*Overview!$Z41/17*Results_energy_scenarios!$H65</f>
        <v>#REF!</v>
      </c>
      <c r="R65" s="99" t="e">
        <f>Overview!AL41*Overview!$Z41/17*Results_energy_scenarios!$H65</f>
        <v>#REF!</v>
      </c>
      <c r="S65" s="99" t="e">
        <f>Overview!AM41*Overview!$Z41/17*Results_energy_scenarios!$H65</f>
        <v>#REF!</v>
      </c>
      <c r="T65" s="99" t="e">
        <f>Overview!AN41*Overview!$Z41/17*Results_energy_scenarios!$H65</f>
        <v>#REF!</v>
      </c>
      <c r="U65" s="99" t="e">
        <f>Overview!AO41*Overview!$Z41/17*Results_energy_scenarios!$H65</f>
        <v>#REF!</v>
      </c>
      <c r="V65" s="99" t="e">
        <f>Overview!AP41*Overview!$Z41/17*Results_energy_scenarios!$H65</f>
        <v>#REF!</v>
      </c>
      <c r="W65" s="99" t="e">
        <f>Overview!AQ41*Overview!$Z41/17*Results_energy_scenarios!$H65</f>
        <v>#REF!</v>
      </c>
      <c r="X65" s="99" t="e">
        <f>Overview!AR41*Overview!$Z41/17*Results_energy_scenarios!$H65</f>
        <v>#REF!</v>
      </c>
      <c r="Y65" s="101" t="e">
        <f>Overview!AS41*Overview!$Z41/17*Results_energy_scenarios!$H65</f>
        <v>#REF!</v>
      </c>
      <c r="Z65" s="99" t="e">
        <f>Overview!CP41*Overview!$Z41/17*Results_energy_scenarios!$H65</f>
        <v>#REF!</v>
      </c>
      <c r="AA65" s="99" t="e">
        <f>Overview!CQ41*Overview!$Z41/17*Results_energy_scenarios!$H65</f>
        <v>#REF!</v>
      </c>
      <c r="AB65" s="99" t="e">
        <f>Overview!CR41*Overview!$Z41/17*Results_energy_scenarios!$H65</f>
        <v>#REF!</v>
      </c>
      <c r="AC65" s="99" t="e">
        <f>Overview!CS41*Overview!$Z41/17*Results_energy_scenarios!$H65</f>
        <v>#REF!</v>
      </c>
      <c r="AD65" s="99" t="e">
        <f>Overview!CT41*Overview!$Z41/17*Results_energy_scenarios!$H65</f>
        <v>#REF!</v>
      </c>
      <c r="AE65" s="99" t="e">
        <f>Overview!CU41*Overview!$Z41/17*Results_energy_scenarios!$H65</f>
        <v>#REF!</v>
      </c>
      <c r="AF65" s="99" t="e">
        <f>Overview!CV41*Overview!$Z41/17*Results_energy_scenarios!$H65</f>
        <v>#REF!</v>
      </c>
      <c r="AG65" s="99" t="e">
        <f>Overview!CW41*Overview!$Z41/17*Results_energy_scenarios!$H65</f>
        <v>#REF!</v>
      </c>
      <c r="AH65" s="99" t="e">
        <f>Overview!CX41*Overview!$Z41/17*Results_energy_scenarios!$H65</f>
        <v>#REF!</v>
      </c>
      <c r="AI65" s="99" t="e">
        <f>Overview!CY41*Overview!$Z41/17*Results_energy_scenarios!$H65</f>
        <v>#REF!</v>
      </c>
      <c r="AJ65" s="99" t="e">
        <f>Overview!CZ41*Overview!$Z41/17*Results_energy_scenarios!$H65</f>
        <v>#REF!</v>
      </c>
      <c r="AK65" s="99" t="e">
        <f>Overview!DA41*Overview!$Z41/17*Results_energy_scenarios!$H65</f>
        <v>#REF!</v>
      </c>
      <c r="AL65" s="99" t="e">
        <f>Overview!DB41*Overview!$Z41/17*Results_energy_scenarios!$H65</f>
        <v>#REF!</v>
      </c>
      <c r="AM65" s="99" t="e">
        <f>Overview!DC41*Overview!$Z41/17*Results_energy_scenarios!$H65</f>
        <v>#REF!</v>
      </c>
      <c r="AN65" s="99" t="e">
        <f>Overview!DD41*Overview!$Z41/17*Results_energy_scenarios!$H65</f>
        <v>#REF!</v>
      </c>
      <c r="AO65" s="101" t="e">
        <f>Overview!DE41*Overview!$Z41/17*Results_energy_scenarios!$H65</f>
        <v>#REF!</v>
      </c>
    </row>
    <row r="66" spans="1:41">
      <c r="A66" t="s">
        <v>5</v>
      </c>
      <c r="B66" t="s">
        <v>361</v>
      </c>
      <c r="C66" t="s">
        <v>331</v>
      </c>
      <c r="D66" s="114" t="s">
        <v>378</v>
      </c>
      <c r="E66" s="103"/>
      <c r="F66" s="103"/>
      <c r="G66">
        <f>14981/Overview!H35*Results_energy_scenarios!G67</f>
        <v>1007.2623268347447</v>
      </c>
      <c r="H66" s="103"/>
      <c r="I66" s="173"/>
      <c r="J66" s="100" t="e">
        <f t="shared" ref="J66:AO66" si="56">J$82*$G66</f>
        <v>#REF!</v>
      </c>
      <c r="K66" s="99" t="e">
        <f t="shared" si="56"/>
        <v>#REF!</v>
      </c>
      <c r="L66" s="99" t="e">
        <f t="shared" si="56"/>
        <v>#REF!</v>
      </c>
      <c r="M66" s="99" t="e">
        <f t="shared" si="56"/>
        <v>#REF!</v>
      </c>
      <c r="N66" s="99" t="e">
        <f t="shared" si="56"/>
        <v>#REF!</v>
      </c>
      <c r="O66" s="99" t="e">
        <f t="shared" si="56"/>
        <v>#REF!</v>
      </c>
      <c r="P66" s="99" t="e">
        <f t="shared" si="56"/>
        <v>#REF!</v>
      </c>
      <c r="Q66" s="99" t="e">
        <f t="shared" si="56"/>
        <v>#REF!</v>
      </c>
      <c r="R66" s="99" t="e">
        <f t="shared" si="56"/>
        <v>#REF!</v>
      </c>
      <c r="S66" s="99" t="e">
        <f t="shared" si="56"/>
        <v>#REF!</v>
      </c>
      <c r="T66" s="99" t="e">
        <f t="shared" si="56"/>
        <v>#REF!</v>
      </c>
      <c r="U66" s="99" t="e">
        <f t="shared" si="56"/>
        <v>#REF!</v>
      </c>
      <c r="V66" s="99" t="e">
        <f t="shared" si="56"/>
        <v>#REF!</v>
      </c>
      <c r="W66" s="99" t="e">
        <f t="shared" si="56"/>
        <v>#REF!</v>
      </c>
      <c r="X66" s="99" t="e">
        <f t="shared" si="56"/>
        <v>#REF!</v>
      </c>
      <c r="Y66" s="101" t="e">
        <f t="shared" si="56"/>
        <v>#REF!</v>
      </c>
      <c r="Z66" s="99" t="e">
        <f t="shared" si="56"/>
        <v>#REF!</v>
      </c>
      <c r="AA66" s="99" t="e">
        <f t="shared" si="56"/>
        <v>#REF!</v>
      </c>
      <c r="AB66" s="99" t="e">
        <f t="shared" si="56"/>
        <v>#REF!</v>
      </c>
      <c r="AC66" s="99" t="e">
        <f t="shared" si="56"/>
        <v>#REF!</v>
      </c>
      <c r="AD66" s="99" t="e">
        <f t="shared" si="56"/>
        <v>#REF!</v>
      </c>
      <c r="AE66" s="99" t="e">
        <f t="shared" si="56"/>
        <v>#REF!</v>
      </c>
      <c r="AF66" s="99" t="e">
        <f t="shared" si="56"/>
        <v>#REF!</v>
      </c>
      <c r="AG66" s="99" t="e">
        <f t="shared" si="56"/>
        <v>#REF!</v>
      </c>
      <c r="AH66" s="99" t="e">
        <f t="shared" si="56"/>
        <v>#REF!</v>
      </c>
      <c r="AI66" s="99" t="e">
        <f t="shared" si="56"/>
        <v>#REF!</v>
      </c>
      <c r="AJ66" s="99" t="e">
        <f t="shared" si="56"/>
        <v>#REF!</v>
      </c>
      <c r="AK66" s="99" t="e">
        <f t="shared" si="56"/>
        <v>#REF!</v>
      </c>
      <c r="AL66" s="99" t="e">
        <f t="shared" si="56"/>
        <v>#REF!</v>
      </c>
      <c r="AM66" s="99" t="e">
        <f t="shared" si="56"/>
        <v>#REF!</v>
      </c>
      <c r="AN66" s="99" t="e">
        <f t="shared" si="56"/>
        <v>#REF!</v>
      </c>
      <c r="AO66" s="101" t="e">
        <f t="shared" si="56"/>
        <v>#REF!</v>
      </c>
    </row>
    <row r="67" spans="1:41" ht="16" customHeight="1">
      <c r="A67" t="s">
        <v>5</v>
      </c>
      <c r="B67" t="s">
        <v>361</v>
      </c>
      <c r="C67" t="s">
        <v>331</v>
      </c>
      <c r="D67" s="112" t="s">
        <v>358</v>
      </c>
      <c r="E67" s="103"/>
      <c r="F67" s="103"/>
      <c r="G67">
        <v>4291</v>
      </c>
      <c r="H67">
        <f>Overview!D35/Overview!H35*Results_energy_scenarios!G67</f>
        <v>1.1271070720899168</v>
      </c>
      <c r="I67" s="173">
        <f>G67/G68</f>
        <v>6.024147129018672E-2</v>
      </c>
      <c r="J67" s="100" t="e">
        <f>Overview!AD35*Overview!$Z35/20*Results_energy_scenarios!$H67</f>
        <v>#REF!</v>
      </c>
      <c r="K67" s="99" t="e">
        <f>Overview!AE35*Overview!$Z35/20*Results_energy_scenarios!$H67</f>
        <v>#REF!</v>
      </c>
      <c r="L67" s="99" t="e">
        <f>Overview!AF35*Overview!$Z35/20*Results_energy_scenarios!$H67</f>
        <v>#REF!</v>
      </c>
      <c r="M67" s="99" t="e">
        <f>Overview!AG35*Overview!$Z35/20*Results_energy_scenarios!$H67</f>
        <v>#REF!</v>
      </c>
      <c r="N67" s="99" t="e">
        <f>Overview!AH35*Overview!$Z35/20*Results_energy_scenarios!$H67</f>
        <v>#REF!</v>
      </c>
      <c r="O67" s="99" t="e">
        <f>Overview!AI35*Overview!$Z35/20*Results_energy_scenarios!$H67</f>
        <v>#REF!</v>
      </c>
      <c r="P67" s="99" t="e">
        <f>Overview!AJ35*Overview!$Z35/20*Results_energy_scenarios!$H67</f>
        <v>#REF!</v>
      </c>
      <c r="Q67" s="99" t="e">
        <f>Overview!AK35*Overview!$Z35/20*Results_energy_scenarios!$H67</f>
        <v>#REF!</v>
      </c>
      <c r="R67" s="99" t="e">
        <f>Overview!AL35*Overview!$Z35/20*Results_energy_scenarios!$H67</f>
        <v>#REF!</v>
      </c>
      <c r="S67" s="99" t="e">
        <f>Overview!AM35*Overview!$Z35/20*Results_energy_scenarios!$H67</f>
        <v>#REF!</v>
      </c>
      <c r="T67" s="99" t="e">
        <f>Overview!AN35*Overview!$Z35/20*Results_energy_scenarios!$H67</f>
        <v>#REF!</v>
      </c>
      <c r="U67" s="99" t="e">
        <f>Overview!AO35*Overview!$Z35/20*Results_energy_scenarios!$H67</f>
        <v>#REF!</v>
      </c>
      <c r="V67" s="99" t="e">
        <f>Overview!AP35*Overview!$Z35/20*Results_energy_scenarios!$H67</f>
        <v>#REF!</v>
      </c>
      <c r="W67" s="99" t="e">
        <f>Overview!AQ35*Overview!$Z35/20*Results_energy_scenarios!$H67</f>
        <v>#REF!</v>
      </c>
      <c r="X67" s="99" t="e">
        <f>Overview!AR35*Overview!$Z35/20*Results_energy_scenarios!$H67</f>
        <v>#REF!</v>
      </c>
      <c r="Y67" s="101" t="e">
        <f>Overview!AS35*Overview!$Z35/20*Results_energy_scenarios!$H67</f>
        <v>#REF!</v>
      </c>
      <c r="Z67" s="99" t="e">
        <f>Overview!CP35*Overview!$Z35/20*Results_energy_scenarios!$H67</f>
        <v>#REF!</v>
      </c>
      <c r="AA67" s="99" t="e">
        <f>Overview!CQ35*Overview!$Z35/20*Results_energy_scenarios!$H67</f>
        <v>#REF!</v>
      </c>
      <c r="AB67" s="99" t="e">
        <f>Overview!CR35*Overview!$Z35/20*Results_energy_scenarios!$H67</f>
        <v>#REF!</v>
      </c>
      <c r="AC67" s="99" t="e">
        <f>Overview!CS35*Overview!$Z35/20*Results_energy_scenarios!$H67</f>
        <v>#REF!</v>
      </c>
      <c r="AD67" s="99" t="e">
        <f>Overview!CT35*Overview!$Z35/20*Results_energy_scenarios!$H67</f>
        <v>#REF!</v>
      </c>
      <c r="AE67" s="99" t="e">
        <f>Overview!CU35*Overview!$Z35/20*Results_energy_scenarios!$H67</f>
        <v>#REF!</v>
      </c>
      <c r="AF67" s="99" t="e">
        <f>Overview!CV35*Overview!$Z35/20*Results_energy_scenarios!$H67</f>
        <v>#REF!</v>
      </c>
      <c r="AG67" s="99" t="e">
        <f>Overview!CW35*Overview!$Z35/20*Results_energy_scenarios!$H67</f>
        <v>#REF!</v>
      </c>
      <c r="AH67" s="99" t="e">
        <f>Overview!CX35*Overview!$Z35/20*Results_energy_scenarios!$H67</f>
        <v>#REF!</v>
      </c>
      <c r="AI67" s="99" t="e">
        <f>Overview!CY35*Overview!$Z35/20*Results_energy_scenarios!$H67</f>
        <v>#REF!</v>
      </c>
      <c r="AJ67" s="99" t="e">
        <f>Overview!CZ35*Overview!$Z35/20*Results_energy_scenarios!$H67</f>
        <v>#REF!</v>
      </c>
      <c r="AK67" s="99" t="e">
        <f>Overview!DA35*Overview!$Z35/20*Results_energy_scenarios!$H67</f>
        <v>#REF!</v>
      </c>
      <c r="AL67" s="99" t="e">
        <f>Overview!DB35*Overview!$Z35/20*Results_energy_scenarios!$H67</f>
        <v>#REF!</v>
      </c>
      <c r="AM67" s="99" t="e">
        <f>Overview!DC35*Overview!$Z35/20*Results_energy_scenarios!$H67</f>
        <v>#REF!</v>
      </c>
      <c r="AN67" s="99" t="e">
        <f>Overview!DD35*Overview!$Z35/20*Results_energy_scenarios!$H67</f>
        <v>#REF!</v>
      </c>
      <c r="AO67" s="101" t="e">
        <f>Overview!DE35*Overview!$Z35/20*Results_energy_scenarios!$H67</f>
        <v>#REF!</v>
      </c>
    </row>
    <row r="68" spans="1:41">
      <c r="A68" s="90" t="s">
        <v>5</v>
      </c>
      <c r="B68" s="90" t="s">
        <v>361</v>
      </c>
      <c r="C68" s="90" t="s">
        <v>337</v>
      </c>
      <c r="D68" s="90"/>
      <c r="E68" s="109"/>
      <c r="F68" s="109"/>
      <c r="G68" s="125">
        <f>SUM(G58,G62,G63,G65,G67)</f>
        <v>71230</v>
      </c>
      <c r="H68" s="109"/>
      <c r="I68" s="172">
        <f>SUM(I58:I67)</f>
        <v>1</v>
      </c>
      <c r="J68" s="124" t="e">
        <f>SUM(J58:J67)</f>
        <v>#REF!</v>
      </c>
      <c r="K68" s="125" t="e">
        <f t="shared" ref="K68:AO68" si="57">SUM(K58:K67)</f>
        <v>#REF!</v>
      </c>
      <c r="L68" s="125" t="e">
        <f t="shared" si="57"/>
        <v>#REF!</v>
      </c>
      <c r="M68" s="125" t="e">
        <f t="shared" si="57"/>
        <v>#REF!</v>
      </c>
      <c r="N68" s="125" t="e">
        <f t="shared" si="57"/>
        <v>#REF!</v>
      </c>
      <c r="O68" s="125" t="e">
        <f t="shared" si="57"/>
        <v>#REF!</v>
      </c>
      <c r="P68" s="125" t="e">
        <f t="shared" si="57"/>
        <v>#REF!</v>
      </c>
      <c r="Q68" s="125" t="e">
        <f t="shared" si="57"/>
        <v>#REF!</v>
      </c>
      <c r="R68" s="125" t="e">
        <f t="shared" si="57"/>
        <v>#REF!</v>
      </c>
      <c r="S68" s="125" t="e">
        <f t="shared" si="57"/>
        <v>#REF!</v>
      </c>
      <c r="T68" s="125" t="e">
        <f t="shared" si="57"/>
        <v>#REF!</v>
      </c>
      <c r="U68" s="125" t="e">
        <f t="shared" si="57"/>
        <v>#REF!</v>
      </c>
      <c r="V68" s="125" t="e">
        <f t="shared" si="57"/>
        <v>#REF!</v>
      </c>
      <c r="W68" s="125" t="e">
        <f t="shared" si="57"/>
        <v>#REF!</v>
      </c>
      <c r="X68" s="125" t="e">
        <f t="shared" si="57"/>
        <v>#REF!</v>
      </c>
      <c r="Y68" s="122" t="e">
        <f t="shared" si="57"/>
        <v>#REF!</v>
      </c>
      <c r="Z68" s="124" t="e">
        <f t="shared" si="57"/>
        <v>#REF!</v>
      </c>
      <c r="AA68" s="125" t="e">
        <f t="shared" si="57"/>
        <v>#REF!</v>
      </c>
      <c r="AB68" s="125" t="e">
        <f t="shared" si="57"/>
        <v>#REF!</v>
      </c>
      <c r="AC68" s="125" t="e">
        <f t="shared" si="57"/>
        <v>#REF!</v>
      </c>
      <c r="AD68" s="125" t="e">
        <f t="shared" si="57"/>
        <v>#REF!</v>
      </c>
      <c r="AE68" s="125" t="e">
        <f t="shared" si="57"/>
        <v>#REF!</v>
      </c>
      <c r="AF68" s="125" t="e">
        <f t="shared" si="57"/>
        <v>#REF!</v>
      </c>
      <c r="AG68" s="125" t="e">
        <f t="shared" si="57"/>
        <v>#REF!</v>
      </c>
      <c r="AH68" s="125" t="e">
        <f t="shared" si="57"/>
        <v>#REF!</v>
      </c>
      <c r="AI68" s="125" t="e">
        <f t="shared" si="57"/>
        <v>#REF!</v>
      </c>
      <c r="AJ68" s="125" t="e">
        <f t="shared" si="57"/>
        <v>#REF!</v>
      </c>
      <c r="AK68" s="125" t="e">
        <f t="shared" si="57"/>
        <v>#REF!</v>
      </c>
      <c r="AL68" s="125" t="e">
        <f t="shared" si="57"/>
        <v>#REF!</v>
      </c>
      <c r="AM68" s="125" t="e">
        <f t="shared" si="57"/>
        <v>#REF!</v>
      </c>
      <c r="AN68" s="125" t="e">
        <f t="shared" si="57"/>
        <v>#REF!</v>
      </c>
      <c r="AO68" s="123" t="e">
        <f t="shared" si="57"/>
        <v>#REF!</v>
      </c>
    </row>
    <row r="69" spans="1:41" s="90" customFormat="1">
      <c r="A69" s="104" t="s">
        <v>5</v>
      </c>
      <c r="B69" s="104" t="s">
        <v>361</v>
      </c>
      <c r="C69" s="104" t="s">
        <v>384</v>
      </c>
      <c r="D69" s="104"/>
      <c r="E69" s="105"/>
      <c r="F69" s="105"/>
      <c r="G69" s="107">
        <v>1</v>
      </c>
      <c r="H69" s="105"/>
      <c r="I69" s="104"/>
      <c r="J69" s="106" t="e">
        <f>J68/$G68</f>
        <v>#REF!</v>
      </c>
      <c r="K69" s="107" t="e">
        <f t="shared" ref="K69:AO69" si="58">K68/$G68</f>
        <v>#REF!</v>
      </c>
      <c r="L69" s="107" t="e">
        <f t="shared" si="58"/>
        <v>#REF!</v>
      </c>
      <c r="M69" s="107" t="e">
        <f t="shared" si="58"/>
        <v>#REF!</v>
      </c>
      <c r="N69" s="107" t="e">
        <f t="shared" si="58"/>
        <v>#REF!</v>
      </c>
      <c r="O69" s="107" t="e">
        <f t="shared" si="58"/>
        <v>#REF!</v>
      </c>
      <c r="P69" s="107" t="e">
        <f t="shared" si="58"/>
        <v>#REF!</v>
      </c>
      <c r="Q69" s="107" t="e">
        <f t="shared" si="58"/>
        <v>#REF!</v>
      </c>
      <c r="R69" s="107" t="e">
        <f t="shared" si="58"/>
        <v>#REF!</v>
      </c>
      <c r="S69" s="107" t="e">
        <f t="shared" si="58"/>
        <v>#REF!</v>
      </c>
      <c r="T69" s="107" t="e">
        <f t="shared" si="58"/>
        <v>#REF!</v>
      </c>
      <c r="U69" s="107" t="e">
        <f t="shared" si="58"/>
        <v>#REF!</v>
      </c>
      <c r="V69" s="107" t="e">
        <f t="shared" si="58"/>
        <v>#REF!</v>
      </c>
      <c r="W69" s="107" t="e">
        <f t="shared" si="58"/>
        <v>#REF!</v>
      </c>
      <c r="X69" s="107" t="e">
        <f t="shared" si="58"/>
        <v>#REF!</v>
      </c>
      <c r="Y69" s="107" t="e">
        <f t="shared" si="58"/>
        <v>#REF!</v>
      </c>
      <c r="Z69" s="106" t="e">
        <f t="shared" si="58"/>
        <v>#REF!</v>
      </c>
      <c r="AA69" s="232" t="e">
        <f t="shared" si="58"/>
        <v>#REF!</v>
      </c>
      <c r="AB69" s="107" t="e">
        <f t="shared" si="58"/>
        <v>#REF!</v>
      </c>
      <c r="AC69" s="107" t="e">
        <f t="shared" si="58"/>
        <v>#REF!</v>
      </c>
      <c r="AD69" s="107" t="e">
        <f t="shared" si="58"/>
        <v>#REF!</v>
      </c>
      <c r="AE69" s="107" t="e">
        <f t="shared" si="58"/>
        <v>#REF!</v>
      </c>
      <c r="AF69" s="107" t="e">
        <f t="shared" si="58"/>
        <v>#REF!</v>
      </c>
      <c r="AG69" s="107" t="e">
        <f t="shared" si="58"/>
        <v>#REF!</v>
      </c>
      <c r="AH69" s="107" t="e">
        <f t="shared" si="58"/>
        <v>#REF!</v>
      </c>
      <c r="AI69" s="107" t="e">
        <f t="shared" si="58"/>
        <v>#REF!</v>
      </c>
      <c r="AJ69" s="107" t="e">
        <f t="shared" si="58"/>
        <v>#REF!</v>
      </c>
      <c r="AK69" s="107" t="e">
        <f t="shared" si="58"/>
        <v>#REF!</v>
      </c>
      <c r="AL69" s="107" t="e">
        <f t="shared" si="58"/>
        <v>#REF!</v>
      </c>
      <c r="AM69" s="107" t="e">
        <f t="shared" si="58"/>
        <v>#REF!</v>
      </c>
      <c r="AN69" s="107" t="e">
        <f t="shared" si="58"/>
        <v>#REF!</v>
      </c>
      <c r="AO69" s="108" t="e">
        <f t="shared" si="58"/>
        <v>#REF!</v>
      </c>
    </row>
    <row r="70" spans="1:41">
      <c r="A70" t="s">
        <v>5</v>
      </c>
      <c r="B70" t="s">
        <v>320</v>
      </c>
      <c r="C70" t="s">
        <v>320</v>
      </c>
      <c r="D70" t="s">
        <v>442</v>
      </c>
      <c r="E70" s="103"/>
      <c r="F70" s="103"/>
      <c r="G70" s="148">
        <f>Overview!D4</f>
        <v>9.5158326026356278E-6</v>
      </c>
      <c r="H70" s="103"/>
      <c r="I70" s="170"/>
      <c r="J70" s="118" t="e">
        <f>Overview!AD4*Overview!$Z4/10*Results_energy_scenarios!$G70</f>
        <v>#REF!</v>
      </c>
      <c r="K70" s="148" t="e">
        <f>Overview!AE4*Overview!$Z4/10*Results_energy_scenarios!$G70</f>
        <v>#REF!</v>
      </c>
      <c r="L70" s="148" t="e">
        <f>Overview!AF4*Overview!$Z4/10*Results_energy_scenarios!$G70</f>
        <v>#REF!</v>
      </c>
      <c r="M70" s="148" t="e">
        <f>Overview!AG4*Overview!$Z4/10*Results_energy_scenarios!$G70</f>
        <v>#REF!</v>
      </c>
      <c r="N70" s="148" t="e">
        <f>Overview!AH4*Overview!$Z4/10*Results_energy_scenarios!$G70</f>
        <v>#REF!</v>
      </c>
      <c r="O70" s="148" t="e">
        <f>Overview!AI4*Overview!$Z4/10*Results_energy_scenarios!$G70</f>
        <v>#REF!</v>
      </c>
      <c r="P70" s="148" t="e">
        <f>Overview!AJ4*Overview!$Z4/10*Results_energy_scenarios!$G70</f>
        <v>#REF!</v>
      </c>
      <c r="Q70" s="148" t="e">
        <f>Overview!AK4*Overview!$Z4/10*Results_energy_scenarios!$G70</f>
        <v>#REF!</v>
      </c>
      <c r="R70" s="148" t="e">
        <f>Overview!AL4*Overview!$Z4/10*Results_energy_scenarios!$G70</f>
        <v>#REF!</v>
      </c>
      <c r="S70" s="148" t="e">
        <f>Overview!AM4*Overview!$Z4/10*Results_energy_scenarios!$G70</f>
        <v>#REF!</v>
      </c>
      <c r="T70" s="148" t="e">
        <f>Overview!AN4*Overview!$Z4/10*Results_energy_scenarios!$G70</f>
        <v>#REF!</v>
      </c>
      <c r="U70" s="148" t="e">
        <f>Overview!AO4*Overview!$Z4/10*Results_energy_scenarios!$G70</f>
        <v>#REF!</v>
      </c>
      <c r="V70" s="148" t="e">
        <f>Overview!AP4*Overview!$Z4/10*Results_energy_scenarios!$G70</f>
        <v>#REF!</v>
      </c>
      <c r="W70" s="148" t="e">
        <f>Overview!AQ4*Overview!$Z4/10*Results_energy_scenarios!$G70</f>
        <v>#REF!</v>
      </c>
      <c r="X70" s="148" t="e">
        <f>Overview!AR4*Overview!$Z4/10*Results_energy_scenarios!$G70</f>
        <v>#REF!</v>
      </c>
      <c r="Y70" s="143" t="e">
        <f>Overview!AS4*Overview!$Z4/10*Results_energy_scenarios!$G70</f>
        <v>#REF!</v>
      </c>
      <c r="Z70" s="99" t="e">
        <f>Overview!CP4*Overview!$Z4/10*Results_energy_scenarios!$G70</f>
        <v>#REF!</v>
      </c>
      <c r="AA70" s="148" t="e">
        <f>Overview!CQ4*Overview!$Z4/10*Results_energy_scenarios!$G70</f>
        <v>#REF!</v>
      </c>
      <c r="AB70" s="148" t="e">
        <f>Overview!CR4*Overview!$Z4/10*Results_energy_scenarios!$G70</f>
        <v>#REF!</v>
      </c>
      <c r="AC70" s="148" t="e">
        <f>Overview!CS4*Overview!$Z4/10*Results_energy_scenarios!$G70</f>
        <v>#REF!</v>
      </c>
      <c r="AD70" s="148" t="e">
        <f>Overview!CT4*Overview!$Z4/10*Results_energy_scenarios!$G70</f>
        <v>#REF!</v>
      </c>
      <c r="AE70" s="148" t="e">
        <f>Overview!CU4*Overview!$Z4/10*Results_energy_scenarios!$G70</f>
        <v>#REF!</v>
      </c>
      <c r="AF70" s="148" t="e">
        <f>Overview!CV4*Overview!$Z4/10*Results_energy_scenarios!$G70</f>
        <v>#REF!</v>
      </c>
      <c r="AG70" s="148" t="e">
        <f>Overview!CW4*Overview!$Z4/10*Results_energy_scenarios!$G70</f>
        <v>#REF!</v>
      </c>
      <c r="AH70" s="148" t="e">
        <f>Overview!CX4*Overview!$Z4/10*Results_energy_scenarios!$G70</f>
        <v>#REF!</v>
      </c>
      <c r="AI70" s="148" t="e">
        <f>Overview!CY4*Overview!$Z4/10*Results_energy_scenarios!$G70</f>
        <v>#REF!</v>
      </c>
      <c r="AJ70" s="148" t="e">
        <f>Overview!CZ4*Overview!$Z4/10*Results_energy_scenarios!$G70</f>
        <v>#REF!</v>
      </c>
      <c r="AK70" s="148" t="e">
        <f>Overview!DA4*Overview!$Z4/10*Results_energy_scenarios!$G70</f>
        <v>#REF!</v>
      </c>
      <c r="AL70" s="148" t="e">
        <f>Overview!DB4*Overview!$Z4/10*Results_energy_scenarios!$G70</f>
        <v>#REF!</v>
      </c>
      <c r="AM70" s="148" t="e">
        <f>Overview!DC4*Overview!$Z4/10*Results_energy_scenarios!$G70</f>
        <v>#REF!</v>
      </c>
      <c r="AN70" s="148" t="e">
        <f>Overview!DD4*Overview!$Z4/10*Results_energy_scenarios!$G70</f>
        <v>#REF!</v>
      </c>
      <c r="AO70" s="101" t="e">
        <f>Overview!DE4*Overview!$Z4/10*Results_energy_scenarios!$G70</f>
        <v>#REF!</v>
      </c>
    </row>
    <row r="71" spans="1:41">
      <c r="A71" t="s">
        <v>5</v>
      </c>
      <c r="B71" t="s">
        <v>320</v>
      </c>
      <c r="C71" t="s">
        <v>320</v>
      </c>
      <c r="D71" s="116" t="s">
        <v>347</v>
      </c>
      <c r="E71" s="103"/>
      <c r="F71" s="103"/>
      <c r="G71">
        <f>energy_data_per_scenario!K4*1000</f>
        <v>2689.0001466848698</v>
      </c>
      <c r="H71">
        <f>Overview!D22/(G63+G71)*G71</f>
        <v>9.4195072811006489E-2</v>
      </c>
      <c r="I71" s="174">
        <f>G71/G$81</f>
        <v>2.7196506050140623E-2</v>
      </c>
      <c r="J71" s="99" t="e">
        <f>Overview!AD22*Overview!$Z22/25*$H71</f>
        <v>#REF!</v>
      </c>
      <c r="K71" s="99" t="e">
        <f>Overview!AE22*Overview!$Z22/25*$H71</f>
        <v>#REF!</v>
      </c>
      <c r="L71" s="99" t="e">
        <f>Overview!AF22*Overview!$Z22/25*$H71</f>
        <v>#REF!</v>
      </c>
      <c r="M71" s="99" t="e">
        <f>Overview!AG22*Overview!$Z22/25*$H71</f>
        <v>#REF!</v>
      </c>
      <c r="N71" s="99" t="e">
        <f>Overview!AH22*Overview!$Z22/25*$H71</f>
        <v>#REF!</v>
      </c>
      <c r="O71" s="99" t="e">
        <f>Overview!AI22*Overview!$Z22/25*$H71</f>
        <v>#REF!</v>
      </c>
      <c r="P71" s="99" t="e">
        <f>Overview!AJ22*Overview!$Z22/25*$H71</f>
        <v>#REF!</v>
      </c>
      <c r="Q71" s="99" t="e">
        <f>Overview!AK22*Overview!$Z22/25*$H71</f>
        <v>#REF!</v>
      </c>
      <c r="R71" s="99" t="e">
        <f>Overview!AL22*Overview!$Z22/25*$H71</f>
        <v>#REF!</v>
      </c>
      <c r="S71" s="99" t="e">
        <f>Overview!AM22*Overview!$Z22/25*$H71</f>
        <v>#REF!</v>
      </c>
      <c r="T71" s="99" t="e">
        <f>Overview!AN22*Overview!$Z22/25*$H71</f>
        <v>#REF!</v>
      </c>
      <c r="U71" s="99" t="e">
        <f>Overview!AO22*Overview!$Z22/25*$H71</f>
        <v>#REF!</v>
      </c>
      <c r="V71" s="99" t="e">
        <f>Overview!AP22*Overview!$Z22/25*$H71</f>
        <v>#REF!</v>
      </c>
      <c r="W71" s="99" t="e">
        <f>Overview!AQ22*Overview!$Z22/25*$H71</f>
        <v>#REF!</v>
      </c>
      <c r="X71" s="99" t="e">
        <f>Overview!AR22*Overview!$Z22/25*$H71</f>
        <v>#REF!</v>
      </c>
      <c r="Y71" s="101" t="e">
        <f>Overview!AS22*Overview!$Z22/25*$H71</f>
        <v>#REF!</v>
      </c>
      <c r="Z71" s="99" t="e">
        <f>Overview!CP22*Overview!$Z22/25*$H71</f>
        <v>#REF!</v>
      </c>
      <c r="AA71" s="99" t="e">
        <f>Overview!CQ22*Overview!$Z22/25*$H71</f>
        <v>#REF!</v>
      </c>
      <c r="AB71" s="99" t="e">
        <f>Overview!CR22*Overview!$Z22/25*$H71</f>
        <v>#REF!</v>
      </c>
      <c r="AC71" s="99" t="e">
        <f>Overview!CS22*Overview!$Z22/25*$H71</f>
        <v>#REF!</v>
      </c>
      <c r="AD71" s="99" t="e">
        <f>Overview!CT22*Overview!$Z22/25*$H71</f>
        <v>#REF!</v>
      </c>
      <c r="AE71" s="99" t="e">
        <f>Overview!CU22*Overview!$Z22/25*$H71</f>
        <v>#REF!</v>
      </c>
      <c r="AF71" s="99" t="e">
        <f>Overview!CV22*Overview!$Z22/25*$H71</f>
        <v>#REF!</v>
      </c>
      <c r="AG71" s="99" t="e">
        <f>Overview!CW22*Overview!$Z22/25*$H71</f>
        <v>#REF!</v>
      </c>
      <c r="AH71" s="99" t="e">
        <f>Overview!CX22*Overview!$Z22/25*$H71</f>
        <v>#REF!</v>
      </c>
      <c r="AI71" s="99" t="e">
        <f>Overview!CY22*Overview!$Z22/25*$H71</f>
        <v>#REF!</v>
      </c>
      <c r="AJ71" s="102" t="e">
        <f>Overview!CZ22*Overview!$Z22/25*$H71</f>
        <v>#REF!</v>
      </c>
      <c r="AK71" s="99" t="e">
        <f>Overview!DA22*Overview!$Z22/25*$H71</f>
        <v>#REF!</v>
      </c>
      <c r="AL71" s="99" t="e">
        <f>Overview!DB22*Overview!$Z22/25*$H71</f>
        <v>#REF!</v>
      </c>
      <c r="AM71" s="99" t="e">
        <f>Overview!DC22*Overview!$Z22/25*$H71</f>
        <v>#REF!</v>
      </c>
      <c r="AN71" s="99" t="e">
        <f>Overview!DD22*Overview!$Z22/25*$H71</f>
        <v>#REF!</v>
      </c>
      <c r="AO71" s="101" t="e">
        <f>Overview!DE22*Overview!$Z22/25*$H71</f>
        <v>#REF!</v>
      </c>
    </row>
    <row r="72" spans="1:41">
      <c r="A72" t="s">
        <v>5</v>
      </c>
      <c r="B72" t="s">
        <v>320</v>
      </c>
      <c r="C72" t="s">
        <v>320</v>
      </c>
      <c r="D72" s="142" t="s">
        <v>393</v>
      </c>
      <c r="E72" s="103"/>
      <c r="F72" s="103"/>
      <c r="G72">
        <f>Overview!H37</f>
        <v>26916.736341578238</v>
      </c>
      <c r="H72" s="103"/>
      <c r="I72" s="174"/>
      <c r="J72" s="99" t="e">
        <f>Overview!AD37*Overview!$Z37*Results_energy_scenarios!$G72</f>
        <v>#REF!</v>
      </c>
      <c r="K72" s="99" t="e">
        <f>Overview!AE37*Overview!$Z37*Results_energy_scenarios!$G72</f>
        <v>#REF!</v>
      </c>
      <c r="L72" s="99" t="e">
        <f>Overview!AF37*Overview!$Z37*Results_energy_scenarios!$G72</f>
        <v>#REF!</v>
      </c>
      <c r="M72" s="102" t="e">
        <f>Overview!AG37*Overview!$Z37*Results_energy_scenarios!$G72</f>
        <v>#REF!</v>
      </c>
      <c r="N72" s="99" t="e">
        <f>Overview!AH37*Overview!$Z37*Results_energy_scenarios!$G72</f>
        <v>#REF!</v>
      </c>
      <c r="O72" s="99" t="e">
        <f>Overview!AI37*Overview!$Z37*Results_energy_scenarios!$G72</f>
        <v>#REF!</v>
      </c>
      <c r="P72" s="99" t="e">
        <f>Overview!AJ37*Overview!$Z37*Results_energy_scenarios!$G72</f>
        <v>#REF!</v>
      </c>
      <c r="Q72" s="99" t="e">
        <f>Overview!AK37*Overview!$Z37*Results_energy_scenarios!$G72</f>
        <v>#REF!</v>
      </c>
      <c r="R72" s="99" t="e">
        <f>Overview!AL37*Overview!$Z37*Results_energy_scenarios!$G72</f>
        <v>#REF!</v>
      </c>
      <c r="S72" s="102" t="e">
        <f>Overview!AM37*Overview!$Z37*Results_energy_scenarios!$G72</f>
        <v>#REF!</v>
      </c>
      <c r="T72" s="102" t="e">
        <f>Overview!AN37*Overview!$Z37*Results_energy_scenarios!$G72</f>
        <v>#REF!</v>
      </c>
      <c r="U72" s="99" t="e">
        <f>Overview!AO37*Overview!$Z37*Results_energy_scenarios!$G72</f>
        <v>#REF!</v>
      </c>
      <c r="V72" s="99" t="e">
        <f>Overview!AP37*Overview!$Z37*Results_energy_scenarios!$G72</f>
        <v>#REF!</v>
      </c>
      <c r="W72" s="99" t="e">
        <f>Overview!AQ37*Overview!$Z37*Results_energy_scenarios!$G72</f>
        <v>#REF!</v>
      </c>
      <c r="X72" s="99" t="e">
        <f>Overview!AR37*Overview!$Z37*Results_energy_scenarios!$G72</f>
        <v>#REF!</v>
      </c>
      <c r="Y72" s="101" t="e">
        <f>Overview!AS37*Overview!$Z37*Results_energy_scenarios!$G72</f>
        <v>#REF!</v>
      </c>
      <c r="Z72" s="99" t="e">
        <f>Overview!CP37*Overview!$Z37*Results_energy_scenarios!$G72</f>
        <v>#REF!</v>
      </c>
      <c r="AA72" s="99" t="e">
        <f>Overview!CQ37*Overview!$Z37*Results_energy_scenarios!$G72</f>
        <v>#REF!</v>
      </c>
      <c r="AB72" s="99" t="e">
        <f>Overview!CR37*Overview!$Z37*Results_energy_scenarios!$G72</f>
        <v>#REF!</v>
      </c>
      <c r="AC72" s="99" t="e">
        <f>Overview!CS37*Overview!$Z37*Results_energy_scenarios!$G72</f>
        <v>#REF!</v>
      </c>
      <c r="AD72" s="99" t="e">
        <f>Overview!CT37*Overview!$Z37*Results_energy_scenarios!$G72</f>
        <v>#REF!</v>
      </c>
      <c r="AE72" s="99" t="e">
        <f>Overview!CU37*Overview!$Z37*Results_energy_scenarios!$G72</f>
        <v>#REF!</v>
      </c>
      <c r="AF72" s="99" t="e">
        <f>Overview!CV37*Overview!$Z37*Results_energy_scenarios!$G72</f>
        <v>#REF!</v>
      </c>
      <c r="AG72" s="99" t="e">
        <f>Overview!CW37*Overview!$Z37*Results_energy_scenarios!$G72</f>
        <v>#REF!</v>
      </c>
      <c r="AH72" s="99" t="e">
        <f>Overview!CX37*Overview!$Z37*Results_energy_scenarios!$G72</f>
        <v>#REF!</v>
      </c>
      <c r="AI72" s="99" t="e">
        <f>Overview!CY37*Overview!$Z37*Results_energy_scenarios!$G72</f>
        <v>#REF!</v>
      </c>
      <c r="AJ72" s="102" t="e">
        <f>Overview!CZ37*Overview!$Z37*Results_energy_scenarios!$G72</f>
        <v>#REF!</v>
      </c>
      <c r="AK72" s="99" t="e">
        <f>Overview!DA37*Overview!$Z37*Results_energy_scenarios!$G72</f>
        <v>#REF!</v>
      </c>
      <c r="AL72" s="99" t="e">
        <f>Overview!DB37*Overview!$Z37*Results_energy_scenarios!$G72</f>
        <v>#REF!</v>
      </c>
      <c r="AM72" s="99" t="e">
        <f>Overview!DC37*Overview!$Z37*Results_energy_scenarios!$G72</f>
        <v>#REF!</v>
      </c>
      <c r="AN72" s="99" t="e">
        <f>Overview!DD37*Overview!$Z37*Results_energy_scenarios!$G72</f>
        <v>#REF!</v>
      </c>
      <c r="AO72" s="101" t="e">
        <f>Overview!DE37*Overview!$Z37*Results_energy_scenarios!$G72</f>
        <v>#REF!</v>
      </c>
    </row>
    <row r="73" spans="1:41">
      <c r="A73" t="s">
        <v>5</v>
      </c>
      <c r="B73" t="s">
        <v>320</v>
      </c>
      <c r="C73" t="s">
        <v>320</v>
      </c>
      <c r="D73" s="142" t="s">
        <v>394</v>
      </c>
      <c r="E73" s="103"/>
      <c r="F73" s="103"/>
      <c r="G73">
        <f>energy_data_per_scenario!K12*1000</f>
        <v>12650</v>
      </c>
      <c r="H73">
        <f>Overview!D19</f>
        <v>3.3998486697868122</v>
      </c>
      <c r="I73" s="174">
        <f t="shared" ref="I73:I80" si="59">G73/G$81</f>
        <v>0.12794190508260958</v>
      </c>
      <c r="J73" s="99" t="e">
        <f>Overview!AD19*Overview!$Z19/25*Results_energy_scenarios!$H73+Overview!AD18*Overview!$Z18*Results_energy_scenarios!$G73</f>
        <v>#REF!</v>
      </c>
      <c r="K73" s="99" t="e">
        <f>Overview!AE19*Overview!$Z19/25*Results_energy_scenarios!$H73+Overview!AE18*Overview!$Z18*Results_energy_scenarios!$G73</f>
        <v>#REF!</v>
      </c>
      <c r="L73" s="99" t="e">
        <f>Overview!AF19*Overview!$Z19/25*Results_energy_scenarios!$H73+Overview!AF18*Overview!$Z18*Results_energy_scenarios!$G73</f>
        <v>#REF!</v>
      </c>
      <c r="M73" s="102" t="e">
        <f>Overview!AG19*Overview!$Z19/25*Results_energy_scenarios!$H73+Overview!AG18*Overview!$Z18*Results_energy_scenarios!$G73</f>
        <v>#REF!</v>
      </c>
      <c r="N73" s="99" t="e">
        <f>Overview!AH19*Overview!$Z19/25*Results_energy_scenarios!$H73+Overview!AH18*Overview!$Z18*Results_energy_scenarios!$G73</f>
        <v>#REF!</v>
      </c>
      <c r="O73" s="99" t="e">
        <f>Overview!AI19*Overview!$Z19/25*Results_energy_scenarios!$H73+Overview!AI18*Overview!$Z18*Results_energy_scenarios!$G73</f>
        <v>#REF!</v>
      </c>
      <c r="P73" s="99" t="e">
        <f>Overview!AJ19*Overview!$Z19/25*Results_energy_scenarios!$H73+Overview!AJ18*Overview!$Z18*Results_energy_scenarios!$G73</f>
        <v>#REF!</v>
      </c>
      <c r="Q73" s="99" t="e">
        <f>Overview!AK19*Overview!$Z19/25*Results_energy_scenarios!$H73+Overview!AK18*Overview!$Z18*Results_energy_scenarios!$G73</f>
        <v>#REF!</v>
      </c>
      <c r="R73" s="99" t="e">
        <f>Overview!AL19*Overview!$Z19/25*Results_energy_scenarios!$H73+Overview!AL18*Overview!$Z18*Results_energy_scenarios!$G73</f>
        <v>#REF!</v>
      </c>
      <c r="S73" s="102" t="e">
        <f>Overview!AM19*Overview!$Z19/25*Results_energy_scenarios!$H73+Overview!AM18*Overview!$Z18*Results_energy_scenarios!$G73</f>
        <v>#REF!</v>
      </c>
      <c r="T73" s="102" t="e">
        <f>Overview!AN19*Overview!$Z19/25*Results_energy_scenarios!$H73+Overview!AN18*Overview!$Z18*Results_energy_scenarios!$G73</f>
        <v>#REF!</v>
      </c>
      <c r="U73" s="99" t="e">
        <f>Overview!AO19*Overview!$Z19/25*Results_energy_scenarios!$H73+Overview!AO18*Overview!$Z18*Results_energy_scenarios!$G73</f>
        <v>#REF!</v>
      </c>
      <c r="V73" s="99" t="e">
        <f>Overview!AP19*Overview!$Z19/25*Results_energy_scenarios!$H73+Overview!AP18*Overview!$Z18*Results_energy_scenarios!$G73</f>
        <v>#REF!</v>
      </c>
      <c r="W73" s="99" t="e">
        <f>Overview!AQ19*Overview!$Z19/25*Results_energy_scenarios!$H73+Overview!AQ18*Overview!$Z18*Results_energy_scenarios!$G73</f>
        <v>#REF!</v>
      </c>
      <c r="X73" s="99" t="e">
        <f>Overview!AR19*Overview!$Z19/25*Results_energy_scenarios!$H73+Overview!AR18*Overview!$Z18*Results_energy_scenarios!$G73</f>
        <v>#REF!</v>
      </c>
      <c r="Y73" s="101" t="e">
        <f>Overview!AS19*Overview!$Z19/25*Results_energy_scenarios!$H73+Overview!AS18*Overview!$Z18*Results_energy_scenarios!$G73</f>
        <v>#REF!</v>
      </c>
      <c r="Z73" s="99" t="e">
        <f>Overview!CP19*Overview!$Z19/25*Results_energy_scenarios!$H73+Overview!CP18*Overview!$Z18*Results_energy_scenarios!$G73</f>
        <v>#REF!</v>
      </c>
      <c r="AA73" s="99" t="e">
        <f>Overview!CQ19*Overview!$Z19/25*Results_energy_scenarios!$H73+Overview!CQ18*Overview!$Z18*Results_energy_scenarios!$G73</f>
        <v>#REF!</v>
      </c>
      <c r="AB73" s="99" t="e">
        <f>Overview!CR19*Overview!$Z19/25*Results_energy_scenarios!$H73+Overview!CR18*Overview!$Z18*Results_energy_scenarios!$G73</f>
        <v>#REF!</v>
      </c>
      <c r="AC73" s="99" t="e">
        <f>Overview!CS19*Overview!$Z19/25*Results_energy_scenarios!$H73+Overview!CS18*Overview!$Z18*Results_energy_scenarios!$G73</f>
        <v>#REF!</v>
      </c>
      <c r="AD73" s="99" t="e">
        <f>Overview!CT19*Overview!$Z19/25*Results_energy_scenarios!$H73+Overview!CT18*Overview!$Z18*Results_energy_scenarios!$G73</f>
        <v>#REF!</v>
      </c>
      <c r="AE73" s="99" t="e">
        <f>Overview!CU19*Overview!$Z19/25*Results_energy_scenarios!$H73+Overview!CU18*Overview!$Z18*Results_energy_scenarios!$G73</f>
        <v>#REF!</v>
      </c>
      <c r="AF73" s="99" t="e">
        <f>Overview!CV19*Overview!$Z19/25*Results_energy_scenarios!$H73+Overview!CV18*Overview!$Z18*Results_energy_scenarios!$G73</f>
        <v>#REF!</v>
      </c>
      <c r="AG73" s="99" t="e">
        <f>Overview!CW19*Overview!$Z19/25*Results_energy_scenarios!$H73+Overview!CW18*Overview!$Z18*Results_energy_scenarios!$G73</f>
        <v>#REF!</v>
      </c>
      <c r="AH73" s="99" t="e">
        <f>Overview!CX19*Overview!$Z19/25*Results_energy_scenarios!$H73+Overview!CX18*Overview!$Z18*Results_energy_scenarios!$G73</f>
        <v>#REF!</v>
      </c>
      <c r="AI73" s="99" t="e">
        <f>Overview!CY19*Overview!$Z19/25*Results_energy_scenarios!$H73+Overview!CY18*Overview!$Z18*Results_energy_scenarios!$G73</f>
        <v>#REF!</v>
      </c>
      <c r="AJ73" s="99" t="e">
        <f>Overview!CZ19*Overview!$Z19/25*Results_energy_scenarios!$H73+Overview!CZ18*Overview!$Z18*Results_energy_scenarios!$G73</f>
        <v>#REF!</v>
      </c>
      <c r="AK73" s="99" t="e">
        <f>Overview!DA19*Overview!$Z19/25*Results_energy_scenarios!$H73+Overview!DA18*Overview!$Z18*Results_energy_scenarios!$G73</f>
        <v>#REF!</v>
      </c>
      <c r="AL73" s="99" t="e">
        <f>Overview!DB19*Overview!$Z19/25*Results_energy_scenarios!$H73+Overview!DB18*Overview!$Z18*Results_energy_scenarios!$G73</f>
        <v>#REF!</v>
      </c>
      <c r="AM73" s="99" t="e">
        <f>Overview!DC19*Overview!$Z19/25*Results_energy_scenarios!$H73+Overview!DC18*Overview!$Z18*Results_energy_scenarios!$G73</f>
        <v>#REF!</v>
      </c>
      <c r="AN73" s="99" t="e">
        <f>Overview!DD19*Overview!$Z19/25*Results_energy_scenarios!$H73+Overview!DD18*Overview!$Z18*Results_energy_scenarios!$G73</f>
        <v>#REF!</v>
      </c>
      <c r="AO73" s="101" t="e">
        <f>Overview!DE19*Overview!$Z19/25*Results_energy_scenarios!$H73+Overview!DE18*Overview!$Z18*Results_energy_scenarios!$G73</f>
        <v>#REF!</v>
      </c>
    </row>
    <row r="74" spans="1:41">
      <c r="A74" t="s">
        <v>5</v>
      </c>
      <c r="B74" t="s">
        <v>320</v>
      </c>
      <c r="C74" t="s">
        <v>320</v>
      </c>
      <c r="D74" s="117" t="s">
        <v>87</v>
      </c>
      <c r="E74" s="103"/>
      <c r="F74" s="149">
        <f>Overview!H24</f>
        <v>2266282.5067671221</v>
      </c>
      <c r="G74" s="103"/>
      <c r="H74" s="103"/>
      <c r="I74" s="174"/>
      <c r="J74" s="148" t="e">
        <f>Overview!AD24*Overview!$AB24*Results_energy_scenarios!$F74</f>
        <v>#REF!</v>
      </c>
      <c r="K74" s="148" t="e">
        <f>Overview!AE24*Overview!$AB24*Results_energy_scenarios!$F74</f>
        <v>#REF!</v>
      </c>
      <c r="L74" s="148" t="e">
        <f>Overview!AF24*Overview!$AB24*Results_energy_scenarios!$F74</f>
        <v>#REF!</v>
      </c>
      <c r="M74" s="148" t="e">
        <f>Overview!AG24*Overview!$AB24*Results_energy_scenarios!$F74</f>
        <v>#REF!</v>
      </c>
      <c r="N74" s="148" t="e">
        <f>Overview!AH24*Overview!$AB24*Results_energy_scenarios!$F74</f>
        <v>#REF!</v>
      </c>
      <c r="O74" s="148" t="e">
        <f>Overview!AI24*Overview!$AB24*Results_energy_scenarios!$F74</f>
        <v>#REF!</v>
      </c>
      <c r="P74" s="148" t="e">
        <f>Overview!AJ24*Overview!$AB24*Results_energy_scenarios!$F74</f>
        <v>#REF!</v>
      </c>
      <c r="Q74" s="148" t="e">
        <f>Overview!AK24*Overview!$AB24*Results_energy_scenarios!$F74</f>
        <v>#REF!</v>
      </c>
      <c r="R74" s="148" t="e">
        <f>Overview!AL24*Overview!$AB24*Results_energy_scenarios!$F74</f>
        <v>#REF!</v>
      </c>
      <c r="S74" s="148" t="e">
        <f>Overview!AM24*Overview!$AB24*Results_energy_scenarios!$F74</f>
        <v>#REF!</v>
      </c>
      <c r="T74" s="148" t="e">
        <f>Overview!AN24*Overview!$AB24*Results_energy_scenarios!$F74</f>
        <v>#REF!</v>
      </c>
      <c r="U74" s="148" t="e">
        <f>Overview!AO24*Overview!$AB24*Results_energy_scenarios!$F74</f>
        <v>#REF!</v>
      </c>
      <c r="V74" s="148" t="e">
        <f>Overview!AP24*Overview!$AB24*Results_energy_scenarios!$F74</f>
        <v>#REF!</v>
      </c>
      <c r="W74" s="148" t="e">
        <f>Overview!AQ24*Overview!$AB24*Results_energy_scenarios!$F74</f>
        <v>#REF!</v>
      </c>
      <c r="X74" s="148" t="e">
        <f>Overview!AR24*Overview!$AB24*Results_energy_scenarios!$F74</f>
        <v>#REF!</v>
      </c>
      <c r="Y74" s="146" t="e">
        <f>Overview!AS24*Overview!$AB24*Results_energy_scenarios!$F74</f>
        <v>#REF!</v>
      </c>
      <c r="Z74" s="148" t="e">
        <f>Overview!CP24*Overview!$AB24*Results_energy_scenarios!$F74</f>
        <v>#REF!</v>
      </c>
      <c r="AA74" s="148" t="e">
        <f>Overview!CQ24*Overview!$AB24*Results_energy_scenarios!$F74</f>
        <v>#REF!</v>
      </c>
      <c r="AB74" s="148" t="e">
        <f>Overview!CR24*Overview!$AB24*Results_energy_scenarios!$F74</f>
        <v>#REF!</v>
      </c>
      <c r="AC74" s="148" t="e">
        <f>Overview!CS24*Overview!$AB24*Results_energy_scenarios!$F74</f>
        <v>#REF!</v>
      </c>
      <c r="AD74" s="148" t="e">
        <f>Overview!CT24*Overview!$AB24*Results_energy_scenarios!$F74</f>
        <v>#REF!</v>
      </c>
      <c r="AE74" s="148" t="e">
        <f>Overview!CU24*Overview!$AB24*Results_energy_scenarios!$F74</f>
        <v>#REF!</v>
      </c>
      <c r="AF74" s="148" t="e">
        <f>Overview!CV24*Overview!$AB24*Results_energy_scenarios!$F74</f>
        <v>#REF!</v>
      </c>
      <c r="AG74" s="148" t="e">
        <f>Overview!CW24*Overview!$AB24*Results_energy_scenarios!$F74</f>
        <v>#REF!</v>
      </c>
      <c r="AH74" s="148" t="e">
        <f>Overview!CX24*Overview!$AB24*Results_energy_scenarios!$F74</f>
        <v>#REF!</v>
      </c>
      <c r="AI74" s="148" t="e">
        <f>Overview!CY24*Overview!$AB24*Results_energy_scenarios!$F74</f>
        <v>#REF!</v>
      </c>
      <c r="AJ74" s="148" t="e">
        <f>Overview!CZ24*Overview!$AB24*Results_energy_scenarios!$F74</f>
        <v>#REF!</v>
      </c>
      <c r="AK74" s="148" t="e">
        <f>Overview!DA24*Overview!$AB24*Results_energy_scenarios!$F74</f>
        <v>#REF!</v>
      </c>
      <c r="AL74" s="148" t="e">
        <f>Overview!DB24*Overview!$AB24*Results_energy_scenarios!$F74</f>
        <v>#REF!</v>
      </c>
      <c r="AM74" s="148" t="e">
        <f>Overview!DC24*Overview!$AB24*Results_energy_scenarios!$F74</f>
        <v>#REF!</v>
      </c>
      <c r="AN74" s="148" t="e">
        <f>Overview!DD24*Overview!$AB24*Results_energy_scenarios!$F74</f>
        <v>#REF!</v>
      </c>
      <c r="AO74" s="146" t="e">
        <f>Overview!DE24*Overview!$AB24*Results_energy_scenarios!$F74</f>
        <v>#REF!</v>
      </c>
    </row>
    <row r="75" spans="1:41">
      <c r="A75" t="s">
        <v>5</v>
      </c>
      <c r="B75" t="s">
        <v>320</v>
      </c>
      <c r="C75" t="s">
        <v>320</v>
      </c>
      <c r="D75" s="112" t="s">
        <v>397</v>
      </c>
      <c r="E75" s="103"/>
      <c r="F75" s="103"/>
      <c r="G75" s="149">
        <v>3399</v>
      </c>
      <c r="H75" s="157">
        <f>Overview!D35/Overview!H35*Results_energy_scenarios!G75</f>
        <v>0.89280748963729362</v>
      </c>
      <c r="I75" s="174"/>
      <c r="J75" s="102" t="e">
        <f>Overview!AD35*Overview!$Z35/20*Results_energy_scenarios!$H75</f>
        <v>#REF!</v>
      </c>
      <c r="K75" s="148" t="e">
        <f>Overview!AE35*Overview!$Z35/20*Results_energy_scenarios!$H75</f>
        <v>#REF!</v>
      </c>
      <c r="L75" s="148" t="e">
        <f>Overview!AF35*Overview!$Z35/20*Results_energy_scenarios!$H75</f>
        <v>#REF!</v>
      </c>
      <c r="M75" s="148" t="e">
        <f>Overview!AG35*Overview!$Z35/20*Results_energy_scenarios!$H75</f>
        <v>#REF!</v>
      </c>
      <c r="N75" s="148" t="e">
        <f>Overview!AH35*Overview!$Z35/20*Results_energy_scenarios!$H75</f>
        <v>#REF!</v>
      </c>
      <c r="O75" s="148" t="e">
        <f>Overview!AI35*Overview!$Z35/20*Results_energy_scenarios!$H75</f>
        <v>#REF!</v>
      </c>
      <c r="P75" s="148" t="e">
        <f>Overview!AJ35*Overview!$Z35/20*Results_energy_scenarios!$H75</f>
        <v>#REF!</v>
      </c>
      <c r="Q75" s="148" t="e">
        <f>Overview!AK35*Overview!$Z35/20*Results_energy_scenarios!$H75</f>
        <v>#REF!</v>
      </c>
      <c r="R75" s="148" t="e">
        <f>Overview!AL35*Overview!$Z35/20*Results_energy_scenarios!$H75</f>
        <v>#REF!</v>
      </c>
      <c r="S75" s="148" t="e">
        <f>Overview!AM35*Overview!$Z35/20*Results_energy_scenarios!$H75</f>
        <v>#REF!</v>
      </c>
      <c r="T75" s="148" t="e">
        <f>Overview!AN35*Overview!$Z35/20*Results_energy_scenarios!$H75</f>
        <v>#REF!</v>
      </c>
      <c r="U75" s="148" t="e">
        <f>Overview!AO35*Overview!$Z35/20*Results_energy_scenarios!$H75</f>
        <v>#REF!</v>
      </c>
      <c r="V75" s="148" t="e">
        <f>Overview!AP35*Overview!$Z35/20*Results_energy_scenarios!$H75</f>
        <v>#REF!</v>
      </c>
      <c r="W75" s="148" t="e">
        <f>Overview!AQ35*Overview!$Z35/20*Results_energy_scenarios!$H75</f>
        <v>#REF!</v>
      </c>
      <c r="X75" s="148" t="e">
        <f>Overview!AR35*Overview!$Z35/20*Results_energy_scenarios!$H75</f>
        <v>#REF!</v>
      </c>
      <c r="Y75" s="146" t="e">
        <f>Overview!AS35*Overview!$Z35/20*Results_energy_scenarios!$H75</f>
        <v>#REF!</v>
      </c>
      <c r="Z75" s="148" t="e">
        <f>Overview!CP35*Overview!$Z35/20*Results_energy_scenarios!$H75</f>
        <v>#REF!</v>
      </c>
      <c r="AA75" s="148" t="e">
        <f>Overview!CQ35*Overview!$Z35/20*Results_energy_scenarios!$H75</f>
        <v>#REF!</v>
      </c>
      <c r="AB75" s="148" t="e">
        <f>Overview!CR35*Overview!$Z35/20*Results_energy_scenarios!$H75</f>
        <v>#REF!</v>
      </c>
      <c r="AC75" s="148" t="e">
        <f>Overview!CS35*Overview!$Z35/20*Results_energy_scenarios!$H75</f>
        <v>#REF!</v>
      </c>
      <c r="AD75" s="148" t="e">
        <f>Overview!CT35*Overview!$Z35/20*Results_energy_scenarios!$H75</f>
        <v>#REF!</v>
      </c>
      <c r="AE75" s="148" t="e">
        <f>Overview!CU35*Overview!$Z35/20*Results_energy_scenarios!$H75</f>
        <v>#REF!</v>
      </c>
      <c r="AF75" s="148" t="e">
        <f>Overview!CV35*Overview!$Z35/20*Results_energy_scenarios!$H75</f>
        <v>#REF!</v>
      </c>
      <c r="AG75" s="148" t="e">
        <f>Overview!CW35*Overview!$Z35/20*Results_energy_scenarios!$H75</f>
        <v>#REF!</v>
      </c>
      <c r="AH75" s="148" t="e">
        <f>Overview!CX35*Overview!$Z35/20*Results_energy_scenarios!$H75</f>
        <v>#REF!</v>
      </c>
      <c r="AI75" s="148" t="e">
        <f>Overview!CY35*Overview!$Z35/20*Results_energy_scenarios!$H75</f>
        <v>#REF!</v>
      </c>
      <c r="AJ75" s="148" t="e">
        <f>Overview!CZ35*Overview!$Z35/20*Results_energy_scenarios!$H75</f>
        <v>#REF!</v>
      </c>
      <c r="AK75" s="148" t="e">
        <f>Overview!DA35*Overview!$Z35/20*Results_energy_scenarios!$H75</f>
        <v>#REF!</v>
      </c>
      <c r="AL75" s="148" t="e">
        <f>Overview!DB35*Overview!$Z35/20*Results_energy_scenarios!$H75</f>
        <v>#REF!</v>
      </c>
      <c r="AM75" s="148" t="e">
        <f>Overview!DC35*Overview!$Z35/20*Results_energy_scenarios!$H75</f>
        <v>#REF!</v>
      </c>
      <c r="AN75" s="148" t="e">
        <f>Overview!DD35*Overview!$Z35/20*Results_energy_scenarios!$H75</f>
        <v>#REF!</v>
      </c>
      <c r="AO75" s="146" t="e">
        <f>Overview!DE35*Overview!$Z35/20*Results_energy_scenarios!$H75</f>
        <v>#REF!</v>
      </c>
    </row>
    <row r="76" spans="1:41">
      <c r="A76" t="s">
        <v>5</v>
      </c>
      <c r="B76" t="s">
        <v>320</v>
      </c>
      <c r="C76" t="s">
        <v>320</v>
      </c>
      <c r="D76" s="129" t="s">
        <v>161</v>
      </c>
      <c r="E76" s="103"/>
      <c r="F76" s="103"/>
      <c r="G76">
        <f>energy_data_per_scenario!K9*1000</f>
        <v>30220</v>
      </c>
      <c r="H76">
        <f>Overview!D47</f>
        <v>33.760485645676667</v>
      </c>
      <c r="I76" s="174">
        <f t="shared" si="59"/>
        <v>0.30564461435545154</v>
      </c>
      <c r="J76" s="99" t="e">
        <f>Overview!AD47*Overview!$Z47/30*Results_energy_scenarios!$H76</f>
        <v>#REF!</v>
      </c>
      <c r="K76" s="99" t="e">
        <f>Overview!AE47*Overview!$Z47/30*Results_energy_scenarios!$H76</f>
        <v>#REF!</v>
      </c>
      <c r="L76" s="99" t="e">
        <f>Overview!AF47*Overview!$Z47/30*Results_energy_scenarios!$H76</f>
        <v>#REF!</v>
      </c>
      <c r="M76" s="99" t="e">
        <f>Overview!AG47*Overview!$Z47/30*Results_energy_scenarios!$H76</f>
        <v>#REF!</v>
      </c>
      <c r="N76" s="99" t="e">
        <f>Overview!AH47*Overview!$Z47/30*Results_energy_scenarios!$H76</f>
        <v>#REF!</v>
      </c>
      <c r="O76" s="99" t="e">
        <f>Overview!AI47*Overview!$Z47/30*Results_energy_scenarios!$H76</f>
        <v>#REF!</v>
      </c>
      <c r="P76" s="99" t="e">
        <f>Overview!AJ47*Overview!$Z47/30*Results_energy_scenarios!$H76</f>
        <v>#REF!</v>
      </c>
      <c r="Q76" s="99" t="e">
        <f>Overview!AK47*Overview!$Z47/30*Results_energy_scenarios!$H76</f>
        <v>#REF!</v>
      </c>
      <c r="R76" s="99" t="e">
        <f>Overview!AL47*Overview!$Z47/30*Results_energy_scenarios!$H76</f>
        <v>#REF!</v>
      </c>
      <c r="S76" s="99" t="e">
        <f>Overview!AM47*Overview!$Z47/30*Results_energy_scenarios!$H76</f>
        <v>#REF!</v>
      </c>
      <c r="T76" s="99" t="e">
        <f>Overview!AN47*Overview!$Z47/30*Results_energy_scenarios!$H76</f>
        <v>#REF!</v>
      </c>
      <c r="U76" s="99" t="e">
        <f>Overview!AO47*Overview!$Z47/30*Results_energy_scenarios!$H76</f>
        <v>#REF!</v>
      </c>
      <c r="V76" s="99" t="e">
        <f>Overview!AP47*Overview!$Z47/30*Results_energy_scenarios!$H76</f>
        <v>#REF!</v>
      </c>
      <c r="W76" s="99" t="e">
        <f>Overview!AQ47*Overview!$Z47/30*Results_energy_scenarios!$H76</f>
        <v>#REF!</v>
      </c>
      <c r="X76" s="99" t="e">
        <f>Overview!AR47*Overview!$Z47/30*Results_energy_scenarios!$H76</f>
        <v>#REF!</v>
      </c>
      <c r="Y76" s="101" t="e">
        <f>Overview!AS47*Overview!$Z47/30*Results_energy_scenarios!$H76</f>
        <v>#REF!</v>
      </c>
      <c r="Z76" s="99" t="e">
        <f>Overview!CP47*Overview!$Z47/30*Results_energy_scenarios!$H76</f>
        <v>#REF!</v>
      </c>
      <c r="AA76" s="99" t="e">
        <f>Overview!CQ47*Overview!$Z47/30*Results_energy_scenarios!$H76</f>
        <v>#REF!</v>
      </c>
      <c r="AB76" s="99" t="e">
        <f>Overview!CR47*Overview!$Z47/30*Results_energy_scenarios!$H76</f>
        <v>#REF!</v>
      </c>
      <c r="AC76" s="99" t="e">
        <f>Overview!CS47*Overview!$Z47/30*Results_energy_scenarios!$H76</f>
        <v>#REF!</v>
      </c>
      <c r="AD76" s="99" t="e">
        <f>Overview!CT47*Overview!$Z47/30*Results_energy_scenarios!$H76</f>
        <v>#REF!</v>
      </c>
      <c r="AE76" s="99" t="e">
        <f>Overview!CU47*Overview!$Z47/30*Results_energy_scenarios!$H76</f>
        <v>#REF!</v>
      </c>
      <c r="AF76" s="99" t="e">
        <f>Overview!CV47*Overview!$Z47/30*Results_energy_scenarios!$H76</f>
        <v>#REF!</v>
      </c>
      <c r="AG76" s="99" t="e">
        <f>Overview!CW47*Overview!$Z47/30*Results_energy_scenarios!$H76</f>
        <v>#REF!</v>
      </c>
      <c r="AH76" s="99" t="e">
        <f>Overview!CX47*Overview!$Z47/30*Results_energy_scenarios!$H76</f>
        <v>#REF!</v>
      </c>
      <c r="AI76" s="99" t="e">
        <f>Overview!CY47*Overview!$Z47/30*Results_energy_scenarios!$H76</f>
        <v>#REF!</v>
      </c>
      <c r="AJ76" s="99" t="e">
        <f>Overview!CZ47*Overview!$Z47/30*Results_energy_scenarios!$H76</f>
        <v>#REF!</v>
      </c>
      <c r="AK76" s="99" t="e">
        <f>Overview!DA47*Overview!$Z47/30*Results_energy_scenarios!$H76</f>
        <v>#REF!</v>
      </c>
      <c r="AL76" s="99" t="e">
        <f>Overview!DB47*Overview!$Z47/30*Results_energy_scenarios!$H76</f>
        <v>#REF!</v>
      </c>
      <c r="AM76" s="99" t="e">
        <f>Overview!DC47*Overview!$Z47/30*Results_energy_scenarios!$H76</f>
        <v>#REF!</v>
      </c>
      <c r="AN76" s="99" t="e">
        <f>Overview!DD47*Overview!$Z47/30*Results_energy_scenarios!$H76</f>
        <v>#REF!</v>
      </c>
      <c r="AO76" s="101" t="e">
        <f>Overview!DE47*Overview!$Z47/30*Results_energy_scenarios!$H76</f>
        <v>#REF!</v>
      </c>
    </row>
    <row r="77" spans="1:41">
      <c r="A77" t="s">
        <v>5</v>
      </c>
      <c r="B77" t="s">
        <v>320</v>
      </c>
      <c r="C77" t="s">
        <v>320</v>
      </c>
      <c r="D77" s="130" t="s">
        <v>190</v>
      </c>
      <c r="E77" s="103"/>
      <c r="F77" s="103"/>
      <c r="G77">
        <f>energy_data_per_scenario!K6*1000</f>
        <v>17370</v>
      </c>
      <c r="H77">
        <f>Overview!D55</f>
        <v>8.9763100000000016</v>
      </c>
      <c r="I77" s="174">
        <f t="shared" si="59"/>
        <v>0.17567991235453981</v>
      </c>
      <c r="J77" s="99" t="e">
        <f>Overview!AD55*Overview!$Z55*Results_energy_scenarios!$G77</f>
        <v>#REF!</v>
      </c>
      <c r="K77" s="99" t="e">
        <f>Overview!AE55*Overview!$Z55*Results_energy_scenarios!$G77</f>
        <v>#REF!</v>
      </c>
      <c r="L77" s="99" t="e">
        <f>Overview!AF55*Overview!$Z55*Results_energy_scenarios!$G77</f>
        <v>#REF!</v>
      </c>
      <c r="M77" s="99" t="e">
        <f>Overview!AG55*Overview!$Z55*Results_energy_scenarios!$G77</f>
        <v>#REF!</v>
      </c>
      <c r="N77" s="99" t="e">
        <f>Overview!AH55*Overview!$Z55*Results_energy_scenarios!$G77</f>
        <v>#REF!</v>
      </c>
      <c r="O77" s="99" t="e">
        <f>Overview!AI55*Overview!$Z55*Results_energy_scenarios!$G77</f>
        <v>#REF!</v>
      </c>
      <c r="P77" s="99" t="e">
        <f>Overview!AJ55*Overview!$Z55*Results_energy_scenarios!$G77</f>
        <v>#REF!</v>
      </c>
      <c r="Q77" s="99" t="e">
        <f>Overview!AK55*Overview!$Z55*Results_energy_scenarios!$G77</f>
        <v>#REF!</v>
      </c>
      <c r="R77" s="99" t="e">
        <f>Overview!AL55*Overview!$Z55*Results_energy_scenarios!$G77</f>
        <v>#REF!</v>
      </c>
      <c r="S77" s="99" t="e">
        <f>Overview!AM55*Overview!$Z55*Results_energy_scenarios!$G77</f>
        <v>#REF!</v>
      </c>
      <c r="T77" s="99" t="e">
        <f>Overview!AN55*Overview!$Z55*Results_energy_scenarios!$G77</f>
        <v>#REF!</v>
      </c>
      <c r="U77" s="99" t="e">
        <f>Overview!AO55*Overview!$Z55*Results_energy_scenarios!$G77</f>
        <v>#REF!</v>
      </c>
      <c r="V77" s="99" t="e">
        <f>Overview!AP55*Overview!$Z55*Results_energy_scenarios!$G77</f>
        <v>#REF!</v>
      </c>
      <c r="W77" s="99" t="e">
        <f>Overview!AQ55*Overview!$Z55*Results_energy_scenarios!$G77</f>
        <v>#REF!</v>
      </c>
      <c r="X77" s="99" t="e">
        <f>Overview!AR55*Overview!$Z55*Results_energy_scenarios!$G77</f>
        <v>#REF!</v>
      </c>
      <c r="Y77" s="101" t="e">
        <f>Overview!AS55*Overview!$Z55*Results_energy_scenarios!$G77</f>
        <v>#REF!</v>
      </c>
      <c r="Z77" s="99" t="e">
        <f>Overview!CP55*Overview!$Z55*Results_energy_scenarios!$G77</f>
        <v>#REF!</v>
      </c>
      <c r="AA77" s="99" t="e">
        <f>Overview!CQ55*Overview!$Z55*Results_energy_scenarios!$G77</f>
        <v>#REF!</v>
      </c>
      <c r="AB77" s="99" t="e">
        <f>Overview!CR55*Overview!$Z55*Results_energy_scenarios!$G77</f>
        <v>#REF!</v>
      </c>
      <c r="AC77" s="99" t="e">
        <f>Overview!CS55*Overview!$Z55*Results_energy_scenarios!$G77</f>
        <v>#REF!</v>
      </c>
      <c r="AD77" s="99" t="e">
        <f>Overview!CT55*Overview!$Z55*Results_energy_scenarios!$G77</f>
        <v>#REF!</v>
      </c>
      <c r="AE77" s="99" t="e">
        <f>Overview!CU55*Overview!$Z55*Results_energy_scenarios!$G77</f>
        <v>#REF!</v>
      </c>
      <c r="AF77" s="99" t="e">
        <f>Overview!CV55*Overview!$Z55*Results_energy_scenarios!$G77</f>
        <v>#REF!</v>
      </c>
      <c r="AG77" s="99" t="e">
        <f>Overview!CW55*Overview!$Z55*Results_energy_scenarios!$G77</f>
        <v>#REF!</v>
      </c>
      <c r="AH77" s="99" t="e">
        <f>Overview!CX55*Overview!$Z55*Results_energy_scenarios!$G77</f>
        <v>#REF!</v>
      </c>
      <c r="AI77" s="99" t="e">
        <f>Overview!CY55*Overview!$Z55*Results_energy_scenarios!$G77</f>
        <v>#REF!</v>
      </c>
      <c r="AJ77" s="99" t="e">
        <f>Overview!CZ55*Overview!$Z55*Results_energy_scenarios!$G77</f>
        <v>#REF!</v>
      </c>
      <c r="AK77" s="99" t="e">
        <f>Overview!DA55*Overview!$Z55*Results_energy_scenarios!$G77</f>
        <v>#REF!</v>
      </c>
      <c r="AL77" s="99" t="e">
        <f>Overview!DB55*Overview!$Z55*Results_energy_scenarios!$G77</f>
        <v>#REF!</v>
      </c>
      <c r="AM77" s="99" t="e">
        <f>Overview!DC55*Overview!$Z55*Results_energy_scenarios!$G77</f>
        <v>#REF!</v>
      </c>
      <c r="AN77" s="99" t="e">
        <f>Overview!DD55*Overview!$Z55*Results_energy_scenarios!$G77</f>
        <v>#REF!</v>
      </c>
      <c r="AO77" s="101" t="e">
        <f>Overview!DE55*Overview!$Z55*Results_energy_scenarios!$G77</f>
        <v>#REF!</v>
      </c>
    </row>
    <row r="78" spans="1:41">
      <c r="A78" t="s">
        <v>5</v>
      </c>
      <c r="B78" t="s">
        <v>320</v>
      </c>
      <c r="C78" t="s">
        <v>320</v>
      </c>
      <c r="D78" s="131" t="s">
        <v>372</v>
      </c>
      <c r="E78" s="103"/>
      <c r="F78" s="103"/>
      <c r="G78">
        <f>energy_data_per_scenario!K7*1000</f>
        <v>15490</v>
      </c>
      <c r="H78">
        <f>Overview!D54</f>
        <v>4.0666798000000002</v>
      </c>
      <c r="I78" s="174">
        <f t="shared" si="59"/>
        <v>0.15666562132249981</v>
      </c>
      <c r="J78" s="99" t="e">
        <f>Overview!AD54*Overview!$Z54*Results_energy_scenarios!$G78</f>
        <v>#REF!</v>
      </c>
      <c r="K78" s="99" t="e">
        <f>Overview!AE54*Overview!$Z54*Results_energy_scenarios!$G78</f>
        <v>#REF!</v>
      </c>
      <c r="L78" s="99" t="e">
        <f>Overview!AF54*Overview!$Z54*Results_energy_scenarios!$G78</f>
        <v>#REF!</v>
      </c>
      <c r="M78" s="99" t="e">
        <f>Overview!AG54*Overview!$Z54*Results_energy_scenarios!$G78</f>
        <v>#REF!</v>
      </c>
      <c r="N78" s="99" t="e">
        <f>Overview!AH54*Overview!$Z54*Results_energy_scenarios!$G78</f>
        <v>#REF!</v>
      </c>
      <c r="O78" s="99" t="e">
        <f>Overview!AI54*Overview!$Z54*Results_energy_scenarios!$G78</f>
        <v>#REF!</v>
      </c>
      <c r="P78" s="99" t="e">
        <f>Overview!AJ54*Overview!$Z54*Results_energy_scenarios!$G78</f>
        <v>#REF!</v>
      </c>
      <c r="Q78" s="99" t="e">
        <f>Overview!AK54*Overview!$Z54*Results_energy_scenarios!$G78</f>
        <v>#REF!</v>
      </c>
      <c r="R78" s="99" t="e">
        <f>Overview!AL54*Overview!$Z54*Results_energy_scenarios!$G78</f>
        <v>#REF!</v>
      </c>
      <c r="S78" s="99" t="e">
        <f>Overview!AM54*Overview!$Z54*Results_energy_scenarios!$G78</f>
        <v>#REF!</v>
      </c>
      <c r="T78" s="99" t="e">
        <f>Overview!AN54*Overview!$Z54*Results_energy_scenarios!$G78</f>
        <v>#REF!</v>
      </c>
      <c r="U78" s="99" t="e">
        <f>Overview!AO54*Overview!$Z54*Results_energy_scenarios!$G78</f>
        <v>#REF!</v>
      </c>
      <c r="V78" s="99" t="e">
        <f>Overview!AP54*Overview!$Z54*Results_energy_scenarios!$G78</f>
        <v>#REF!</v>
      </c>
      <c r="W78" s="99" t="e">
        <f>Overview!AQ54*Overview!$Z54*Results_energy_scenarios!$G78</f>
        <v>#REF!</v>
      </c>
      <c r="X78" s="99" t="e">
        <f>Overview!AR54*Overview!$Z54*Results_energy_scenarios!$G78</f>
        <v>#REF!</v>
      </c>
      <c r="Y78" s="101" t="e">
        <f>Overview!AS54*Overview!$Z54*Results_energy_scenarios!$G78</f>
        <v>#REF!</v>
      </c>
      <c r="Z78" s="99" t="e">
        <f>Overview!CP54*Overview!$Z54*Results_energy_scenarios!$G78</f>
        <v>#REF!</v>
      </c>
      <c r="AA78" s="99" t="e">
        <f>Overview!CQ54*Overview!$Z54*Results_energy_scenarios!$G78</f>
        <v>#REF!</v>
      </c>
      <c r="AB78" s="99" t="e">
        <f>Overview!CR54*Overview!$Z54*Results_energy_scenarios!$G78</f>
        <v>#REF!</v>
      </c>
      <c r="AC78" s="99" t="e">
        <f>Overview!CS54*Overview!$Z54*Results_energy_scenarios!$G78</f>
        <v>#REF!</v>
      </c>
      <c r="AD78" s="99" t="e">
        <f>Overview!CT54*Overview!$Z54*Results_energy_scenarios!$G78</f>
        <v>#REF!</v>
      </c>
      <c r="AE78" s="99" t="e">
        <f>Overview!CU54*Overview!$Z54*Results_energy_scenarios!$G78</f>
        <v>#REF!</v>
      </c>
      <c r="AF78" s="99" t="e">
        <f>Overview!CV54*Overview!$Z54*Results_energy_scenarios!$G78</f>
        <v>#REF!</v>
      </c>
      <c r="AG78" s="99" t="e">
        <f>Overview!CW54*Overview!$Z54*Results_energy_scenarios!$G78</f>
        <v>#REF!</v>
      </c>
      <c r="AH78" s="99" t="e">
        <f>Overview!CX54*Overview!$Z54*Results_energy_scenarios!$G78</f>
        <v>#REF!</v>
      </c>
      <c r="AI78" s="99" t="e">
        <f>Overview!CY54*Overview!$Z54*Results_energy_scenarios!$G78</f>
        <v>#REF!</v>
      </c>
      <c r="AJ78" s="99" t="e">
        <f>Overview!CZ54*Overview!$Z54*Results_energy_scenarios!$G78</f>
        <v>#REF!</v>
      </c>
      <c r="AK78" s="99" t="e">
        <f>Overview!DA54*Overview!$Z54*Results_energy_scenarios!$G78</f>
        <v>#REF!</v>
      </c>
      <c r="AL78" s="99" t="e">
        <f>Overview!DB54*Overview!$Z54*Results_energy_scenarios!$G78</f>
        <v>#REF!</v>
      </c>
      <c r="AM78" s="99" t="e">
        <f>Overview!DC54*Overview!$Z54*Results_energy_scenarios!$G78</f>
        <v>#REF!</v>
      </c>
      <c r="AN78" s="99" t="e">
        <f>Overview!DD54*Overview!$Z54*Results_energy_scenarios!$G78</f>
        <v>#REF!</v>
      </c>
      <c r="AO78" s="101" t="e">
        <f>Overview!DE54*Overview!$Z54*Results_energy_scenarios!$G78</f>
        <v>#REF!</v>
      </c>
    </row>
    <row r="79" spans="1:41">
      <c r="A79" t="s">
        <v>5</v>
      </c>
      <c r="B79" t="s">
        <v>320</v>
      </c>
      <c r="C79" t="s">
        <v>320</v>
      </c>
      <c r="D79" s="132" t="s">
        <v>310</v>
      </c>
      <c r="E79" s="103"/>
      <c r="F79" s="103"/>
      <c r="G79">
        <f>energy_data_per_scenario!K11*1000</f>
        <v>7320</v>
      </c>
      <c r="H79" s="102">
        <f>Overview!D50</f>
        <v>3.668161168747555</v>
      </c>
      <c r="I79" s="174">
        <f t="shared" si="59"/>
        <v>7.4034367209857871E-2</v>
      </c>
      <c r="J79" s="99" t="e">
        <f>Overview!AD50*Overview!$Z50*Results_energy_scenarios!$G79</f>
        <v>#REF!</v>
      </c>
      <c r="K79" s="99" t="e">
        <f>Overview!AE50*Overview!$Z50*Results_energy_scenarios!$G79</f>
        <v>#REF!</v>
      </c>
      <c r="L79" s="99" t="e">
        <f>Overview!AF50*Overview!$Z50*Results_energy_scenarios!$G79</f>
        <v>#REF!</v>
      </c>
      <c r="M79" s="99" t="e">
        <f>Overview!AG50*Overview!$Z50*Results_energy_scenarios!$G79</f>
        <v>#REF!</v>
      </c>
      <c r="N79" s="99" t="e">
        <f>Overview!AH50*Overview!$Z50*Results_energy_scenarios!$G79</f>
        <v>#REF!</v>
      </c>
      <c r="O79" s="99" t="e">
        <f>Overview!AI50*Overview!$Z50*Results_energy_scenarios!$G79</f>
        <v>#REF!</v>
      </c>
      <c r="P79" s="99" t="e">
        <f>Overview!AJ50*Overview!$Z50*Results_energy_scenarios!$G79</f>
        <v>#REF!</v>
      </c>
      <c r="Q79" s="99" t="e">
        <f>Overview!AK50*Overview!$Z50*Results_energy_scenarios!$G79</f>
        <v>#REF!</v>
      </c>
      <c r="R79" s="99" t="e">
        <f>Overview!AL50*Overview!$Z50*Results_energy_scenarios!$G79</f>
        <v>#REF!</v>
      </c>
      <c r="S79" s="99" t="e">
        <f>Overview!AM50*Overview!$Z50*Results_energy_scenarios!$G79</f>
        <v>#REF!</v>
      </c>
      <c r="T79" s="99" t="e">
        <f>Overview!AN50*Overview!$Z50*Results_energy_scenarios!$G79</f>
        <v>#REF!</v>
      </c>
      <c r="U79" s="99" t="e">
        <f>Overview!AO50*Overview!$Z50*Results_energy_scenarios!$G79</f>
        <v>#REF!</v>
      </c>
      <c r="V79" s="99" t="e">
        <f>Overview!AP50*Overview!$Z50*Results_energy_scenarios!$G79</f>
        <v>#REF!</v>
      </c>
      <c r="W79" s="99" t="e">
        <f>Overview!AQ50*Overview!$Z50*Results_energy_scenarios!$G79</f>
        <v>#REF!</v>
      </c>
      <c r="X79" s="99" t="e">
        <f>Overview!AR50*Overview!$Z50*Results_energy_scenarios!$G79</f>
        <v>#REF!</v>
      </c>
      <c r="Y79" s="101" t="e">
        <f>Overview!AS50*Overview!$Z50*Results_energy_scenarios!$G79</f>
        <v>#REF!</v>
      </c>
      <c r="Z79" s="99" t="e">
        <f>Overview!CP50*Overview!$Z50*Results_energy_scenarios!$G79</f>
        <v>#REF!</v>
      </c>
      <c r="AA79" s="99" t="e">
        <f>Overview!CQ50*Overview!$Z50*Results_energy_scenarios!$G79</f>
        <v>#REF!</v>
      </c>
      <c r="AB79" s="99" t="e">
        <f>Overview!CR50*Overview!$Z50*Results_energy_scenarios!$G79</f>
        <v>#REF!</v>
      </c>
      <c r="AC79" s="99" t="e">
        <f>Overview!CS50*Overview!$Z50*Results_energy_scenarios!$G79</f>
        <v>#REF!</v>
      </c>
      <c r="AD79" s="99" t="e">
        <f>Overview!CT50*Overview!$Z50*Results_energy_scenarios!$G79</f>
        <v>#REF!</v>
      </c>
      <c r="AE79" s="99" t="e">
        <f>Overview!CU50*Overview!$Z50*Results_energy_scenarios!$G79</f>
        <v>#REF!</v>
      </c>
      <c r="AF79" s="99" t="e">
        <f>Overview!CV50*Overview!$Z50*Results_energy_scenarios!$G79</f>
        <v>#REF!</v>
      </c>
      <c r="AG79" s="99" t="e">
        <f>Overview!CW50*Overview!$Z50*Results_energy_scenarios!$G79</f>
        <v>#REF!</v>
      </c>
      <c r="AH79" s="99" t="e">
        <f>Overview!CX50*Overview!$Z50*Results_energy_scenarios!$G79</f>
        <v>#REF!</v>
      </c>
      <c r="AI79" s="99" t="e">
        <f>Overview!CY50*Overview!$Z50*Results_energy_scenarios!$G79</f>
        <v>#REF!</v>
      </c>
      <c r="AJ79" s="99" t="e">
        <f>Overview!CZ50*Overview!$Z50*Results_energy_scenarios!$G79</f>
        <v>#REF!</v>
      </c>
      <c r="AK79" s="99" t="e">
        <f>Overview!DA50*Overview!$Z50*Results_energy_scenarios!$G79</f>
        <v>#REF!</v>
      </c>
      <c r="AL79" s="99" t="e">
        <f>Overview!DB50*Overview!$Z50*Results_energy_scenarios!$G79</f>
        <v>#REF!</v>
      </c>
      <c r="AM79" s="99" t="e">
        <f>Overview!DC50*Overview!$Z50*Results_energy_scenarios!$G79</f>
        <v>#REF!</v>
      </c>
      <c r="AN79" s="99" t="e">
        <f>Overview!DD50*Overview!$Z50*Results_energy_scenarios!$G79</f>
        <v>#REF!</v>
      </c>
      <c r="AO79" s="101" t="e">
        <f>Overview!DE50*Overview!$Z50*Results_energy_scenarios!$G79</f>
        <v>#REF!</v>
      </c>
    </row>
    <row r="80" spans="1:41">
      <c r="A80" t="s">
        <v>5</v>
      </c>
      <c r="B80" t="s">
        <v>320</v>
      </c>
      <c r="C80" t="s">
        <v>320</v>
      </c>
      <c r="D80" s="133" t="s">
        <v>380</v>
      </c>
      <c r="E80" s="103"/>
      <c r="F80" s="103"/>
      <c r="G80">
        <f>Overview!H36</f>
        <v>13134</v>
      </c>
      <c r="H80" s="166"/>
      <c r="I80" s="174">
        <f t="shared" si="59"/>
        <v>0.13283707362490074</v>
      </c>
      <c r="J80" s="99" t="e">
        <f>Overview!AD36*Overview!$Z36*Results_energy_scenarios!$G80</f>
        <v>#REF!</v>
      </c>
      <c r="K80" s="99" t="e">
        <f>Overview!AE36*Overview!$Z36*Results_energy_scenarios!$G80</f>
        <v>#REF!</v>
      </c>
      <c r="L80" s="99" t="e">
        <f>Overview!AF36*Overview!$Z36*Results_energy_scenarios!$G80</f>
        <v>#REF!</v>
      </c>
      <c r="M80" s="99" t="e">
        <f>Overview!AG36*Overview!$Z36*Results_energy_scenarios!$G80</f>
        <v>#REF!</v>
      </c>
      <c r="N80" s="99" t="e">
        <f>Overview!AH36*Overview!$Z36*Results_energy_scenarios!$G80</f>
        <v>#REF!</v>
      </c>
      <c r="O80" s="99" t="e">
        <f>Overview!AI36*Overview!$Z36*Results_energy_scenarios!$G80</f>
        <v>#REF!</v>
      </c>
      <c r="P80" s="99" t="e">
        <f>Overview!AJ36*Overview!$Z36*Results_energy_scenarios!$G80</f>
        <v>#REF!</v>
      </c>
      <c r="Q80" s="99" t="e">
        <f>Overview!AK36*Overview!$Z36*Results_energy_scenarios!$G80</f>
        <v>#REF!</v>
      </c>
      <c r="R80" s="99" t="e">
        <f>Overview!AL36*Overview!$Z36*Results_energy_scenarios!$G80</f>
        <v>#REF!</v>
      </c>
      <c r="S80" s="99" t="e">
        <f>Overview!AM36*Overview!$Z36*Results_energy_scenarios!$G80</f>
        <v>#REF!</v>
      </c>
      <c r="T80" s="99" t="e">
        <f>Overview!AN36*Overview!$Z36*Results_energy_scenarios!$G80</f>
        <v>#REF!</v>
      </c>
      <c r="U80" s="99" t="e">
        <f>Overview!AO36*Overview!$Z36*Results_energy_scenarios!$G80</f>
        <v>#REF!</v>
      </c>
      <c r="V80" s="99" t="e">
        <f>Overview!AP36*Overview!$Z36*Results_energy_scenarios!$G80</f>
        <v>#REF!</v>
      </c>
      <c r="W80" s="99" t="e">
        <f>Overview!AQ36*Overview!$Z36*Results_energy_scenarios!$G80</f>
        <v>#REF!</v>
      </c>
      <c r="X80" s="99" t="e">
        <f>Overview!AR36*Overview!$Z36*Results_energy_scenarios!$G80</f>
        <v>#REF!</v>
      </c>
      <c r="Y80" s="101" t="e">
        <f>Overview!AS36*Overview!$Z36*Results_energy_scenarios!$G80</f>
        <v>#REF!</v>
      </c>
      <c r="Z80" s="99" t="e">
        <f>Overview!CP36*Overview!$Z36*Results_energy_scenarios!$G80</f>
        <v>#REF!</v>
      </c>
      <c r="AA80" s="99" t="e">
        <f>Overview!CQ36*Overview!$Z36*Results_energy_scenarios!$G80</f>
        <v>#REF!</v>
      </c>
      <c r="AB80" s="99" t="e">
        <f>Overview!CR36*Overview!$Z36*Results_energy_scenarios!$G80</f>
        <v>#REF!</v>
      </c>
      <c r="AC80" s="99" t="e">
        <f>Overview!CS36*Overview!$Z36*Results_energy_scenarios!$G80</f>
        <v>#REF!</v>
      </c>
      <c r="AD80" s="99" t="e">
        <f>Overview!CT36*Overview!$Z36*Results_energy_scenarios!$G80</f>
        <v>#REF!</v>
      </c>
      <c r="AE80" s="99" t="e">
        <f>Overview!CU36*Overview!$Z36*Results_energy_scenarios!$G80</f>
        <v>#REF!</v>
      </c>
      <c r="AF80" s="99" t="e">
        <f>Overview!CV36*Overview!$Z36*Results_energy_scenarios!$G80</f>
        <v>#REF!</v>
      </c>
      <c r="AG80" s="99" t="e">
        <f>Overview!CW36*Overview!$Z36*Results_energy_scenarios!$G80</f>
        <v>#REF!</v>
      </c>
      <c r="AH80" s="99" t="e">
        <f>Overview!CX36*Overview!$Z36*Results_energy_scenarios!$G80</f>
        <v>#REF!</v>
      </c>
      <c r="AI80" s="99" t="e">
        <f>Overview!CY36*Overview!$Z36*Results_energy_scenarios!$G80</f>
        <v>#REF!</v>
      </c>
      <c r="AJ80" s="99" t="e">
        <f>Overview!CZ36*Overview!$Z36*Results_energy_scenarios!$G80</f>
        <v>#REF!</v>
      </c>
      <c r="AK80" s="99" t="e">
        <f>Overview!DA36*Overview!$Z36*Results_energy_scenarios!$G80</f>
        <v>#REF!</v>
      </c>
      <c r="AL80" s="99" t="e">
        <f>Overview!DB36*Overview!$Z36*Results_energy_scenarios!$G80</f>
        <v>#REF!</v>
      </c>
      <c r="AM80" s="99" t="e">
        <f>Overview!DC36*Overview!$Z36*Results_energy_scenarios!$G80</f>
        <v>#REF!</v>
      </c>
      <c r="AN80" s="99" t="e">
        <f>Overview!DD36*Overview!$Z36*Results_energy_scenarios!$G80</f>
        <v>#REF!</v>
      </c>
      <c r="AO80" s="101" t="e">
        <f>Overview!DE36*Overview!$Z36*Results_energy_scenarios!$G80</f>
        <v>#REF!</v>
      </c>
    </row>
    <row r="81" spans="1:41" s="90" customFormat="1">
      <c r="A81" s="90" t="s">
        <v>5</v>
      </c>
      <c r="B81" s="90" t="s">
        <v>320</v>
      </c>
      <c r="C81" s="90" t="s">
        <v>337</v>
      </c>
      <c r="E81" s="109"/>
      <c r="F81" s="109"/>
      <c r="G81" s="147">
        <f>SUM(G71,G73,G76:G80)</f>
        <v>98873.000146684877</v>
      </c>
      <c r="H81" s="109"/>
      <c r="I81" s="175">
        <f>SUM(I71:I80)</f>
        <v>1</v>
      </c>
      <c r="J81" s="125" t="e">
        <f>SUM(J70:J80)</f>
        <v>#REF!</v>
      </c>
      <c r="K81" s="125" t="e">
        <f t="shared" ref="K81:AO81" si="60">SUM(K70:K80)</f>
        <v>#REF!</v>
      </c>
      <c r="L81" s="125" t="e">
        <f t="shared" si="60"/>
        <v>#REF!</v>
      </c>
      <c r="M81" s="125" t="e">
        <f t="shared" si="60"/>
        <v>#REF!</v>
      </c>
      <c r="N81" s="125" t="e">
        <f t="shared" si="60"/>
        <v>#REF!</v>
      </c>
      <c r="O81" s="125" t="e">
        <f t="shared" si="60"/>
        <v>#REF!</v>
      </c>
      <c r="P81" s="125" t="e">
        <f t="shared" si="60"/>
        <v>#REF!</v>
      </c>
      <c r="Q81" s="125" t="e">
        <f t="shared" si="60"/>
        <v>#REF!</v>
      </c>
      <c r="R81" s="125" t="e">
        <f t="shared" si="60"/>
        <v>#REF!</v>
      </c>
      <c r="S81" s="125" t="e">
        <f t="shared" si="60"/>
        <v>#REF!</v>
      </c>
      <c r="T81" s="125" t="e">
        <f t="shared" si="60"/>
        <v>#REF!</v>
      </c>
      <c r="U81" s="125" t="e">
        <f t="shared" si="60"/>
        <v>#REF!</v>
      </c>
      <c r="V81" s="125" t="e">
        <f t="shared" si="60"/>
        <v>#REF!</v>
      </c>
      <c r="W81" s="125" t="e">
        <f t="shared" si="60"/>
        <v>#REF!</v>
      </c>
      <c r="X81" s="125" t="e">
        <f t="shared" si="60"/>
        <v>#REF!</v>
      </c>
      <c r="Y81" s="123" t="e">
        <f t="shared" si="60"/>
        <v>#REF!</v>
      </c>
      <c r="Z81" s="125" t="e">
        <f t="shared" si="60"/>
        <v>#REF!</v>
      </c>
      <c r="AA81" s="125" t="e">
        <f t="shared" si="60"/>
        <v>#REF!</v>
      </c>
      <c r="AB81" s="125" t="e">
        <f t="shared" si="60"/>
        <v>#REF!</v>
      </c>
      <c r="AC81" s="125" t="e">
        <f t="shared" si="60"/>
        <v>#REF!</v>
      </c>
      <c r="AD81" s="125" t="e">
        <f t="shared" si="60"/>
        <v>#REF!</v>
      </c>
      <c r="AE81" s="125" t="e">
        <f t="shared" si="60"/>
        <v>#REF!</v>
      </c>
      <c r="AF81" s="125" t="e">
        <f t="shared" si="60"/>
        <v>#REF!</v>
      </c>
      <c r="AG81" s="125" t="e">
        <f t="shared" si="60"/>
        <v>#REF!</v>
      </c>
      <c r="AH81" s="125" t="e">
        <f t="shared" si="60"/>
        <v>#REF!</v>
      </c>
      <c r="AI81" s="125" t="e">
        <f t="shared" si="60"/>
        <v>#REF!</v>
      </c>
      <c r="AJ81" s="125" t="e">
        <f t="shared" si="60"/>
        <v>#REF!</v>
      </c>
      <c r="AK81" s="125" t="e">
        <f t="shared" si="60"/>
        <v>#REF!</v>
      </c>
      <c r="AL81" s="125" t="e">
        <f t="shared" si="60"/>
        <v>#REF!</v>
      </c>
      <c r="AM81" s="125" t="e">
        <f t="shared" si="60"/>
        <v>#REF!</v>
      </c>
      <c r="AN81" s="125" t="e">
        <f t="shared" si="60"/>
        <v>#REF!</v>
      </c>
      <c r="AO81" s="123" t="e">
        <f t="shared" si="60"/>
        <v>#REF!</v>
      </c>
    </row>
    <row r="82" spans="1:41">
      <c r="A82" s="104" t="s">
        <v>5</v>
      </c>
      <c r="B82" s="104" t="s">
        <v>320</v>
      </c>
      <c r="C82" s="104" t="s">
        <v>384</v>
      </c>
      <c r="D82" s="104"/>
      <c r="E82" s="105"/>
      <c r="F82" s="105"/>
      <c r="G82" s="104">
        <v>1</v>
      </c>
      <c r="H82" s="105"/>
      <c r="I82" s="167"/>
      <c r="J82" s="144" t="e">
        <f>J81/$G81</f>
        <v>#REF!</v>
      </c>
      <c r="K82" s="144" t="e">
        <f t="shared" ref="K82:Y82" si="61">K81/$G81</f>
        <v>#REF!</v>
      </c>
      <c r="L82" s="144" t="e">
        <f t="shared" si="61"/>
        <v>#REF!</v>
      </c>
      <c r="M82" s="144" t="e">
        <f t="shared" si="61"/>
        <v>#REF!</v>
      </c>
      <c r="N82" s="144" t="e">
        <f t="shared" si="61"/>
        <v>#REF!</v>
      </c>
      <c r="O82" s="144" t="e">
        <f t="shared" si="61"/>
        <v>#REF!</v>
      </c>
      <c r="P82" s="144" t="e">
        <f t="shared" si="61"/>
        <v>#REF!</v>
      </c>
      <c r="Q82" s="144" t="e">
        <f t="shared" si="61"/>
        <v>#REF!</v>
      </c>
      <c r="R82" s="144" t="e">
        <f t="shared" si="61"/>
        <v>#REF!</v>
      </c>
      <c r="S82" s="144" t="e">
        <f t="shared" si="61"/>
        <v>#REF!</v>
      </c>
      <c r="T82" s="144" t="e">
        <f t="shared" si="61"/>
        <v>#REF!</v>
      </c>
      <c r="U82" s="144" t="e">
        <f t="shared" si="61"/>
        <v>#REF!</v>
      </c>
      <c r="V82" s="144" t="e">
        <f t="shared" si="61"/>
        <v>#REF!</v>
      </c>
      <c r="W82" s="144" t="e">
        <f t="shared" si="61"/>
        <v>#REF!</v>
      </c>
      <c r="X82" s="144" t="e">
        <f t="shared" si="61"/>
        <v>#REF!</v>
      </c>
      <c r="Y82" s="145" t="e">
        <f t="shared" si="61"/>
        <v>#REF!</v>
      </c>
      <c r="Z82" s="144" t="e">
        <f>Z81/$G81</f>
        <v>#REF!</v>
      </c>
      <c r="AA82" s="233" t="e">
        <f t="shared" ref="AA82" si="62">AA81/$G81</f>
        <v>#REF!</v>
      </c>
      <c r="AB82" s="144" t="e">
        <f t="shared" ref="AB82" si="63">AB81/$G81</f>
        <v>#REF!</v>
      </c>
      <c r="AC82" s="144" t="e">
        <f t="shared" ref="AC82" si="64">AC81/$G81</f>
        <v>#REF!</v>
      </c>
      <c r="AD82" s="144" t="e">
        <f t="shared" ref="AD82" si="65">AD81/$G81</f>
        <v>#REF!</v>
      </c>
      <c r="AE82" s="144" t="e">
        <f t="shared" ref="AE82" si="66">AE81/$G81</f>
        <v>#REF!</v>
      </c>
      <c r="AF82" s="144" t="e">
        <f t="shared" ref="AF82" si="67">AF81/$G81</f>
        <v>#REF!</v>
      </c>
      <c r="AG82" s="144" t="e">
        <f t="shared" ref="AG82" si="68">AG81/$G81</f>
        <v>#REF!</v>
      </c>
      <c r="AH82" s="144" t="e">
        <f t="shared" ref="AH82" si="69">AH81/$G81</f>
        <v>#REF!</v>
      </c>
      <c r="AI82" s="144" t="e">
        <f t="shared" ref="AI82" si="70">AI81/$G81</f>
        <v>#REF!</v>
      </c>
      <c r="AJ82" s="144" t="e">
        <f t="shared" ref="AJ82" si="71">AJ81/$G81</f>
        <v>#REF!</v>
      </c>
      <c r="AK82" s="144" t="e">
        <f t="shared" ref="AK82" si="72">AK81/$G81</f>
        <v>#REF!</v>
      </c>
      <c r="AL82" s="144" t="e">
        <f t="shared" ref="AL82" si="73">AL81/$G81</f>
        <v>#REF!</v>
      </c>
      <c r="AM82" s="144" t="e">
        <f t="shared" ref="AM82" si="74">AM81/$G81</f>
        <v>#REF!</v>
      </c>
      <c r="AN82" s="144" t="e">
        <f t="shared" ref="AN82" si="75">AN81/$G81</f>
        <v>#REF!</v>
      </c>
      <c r="AO82" s="145" t="e">
        <f t="shared" ref="AO82" si="76">AO81/$G81</f>
        <v>#REF!</v>
      </c>
    </row>
    <row r="83" spans="1:41">
      <c r="A83" t="s">
        <v>5</v>
      </c>
      <c r="B83" t="s">
        <v>376</v>
      </c>
      <c r="C83" t="s">
        <v>328</v>
      </c>
      <c r="D83" s="140" t="s">
        <v>377</v>
      </c>
      <c r="E83">
        <f>energy_data_per_scenario!K24*1000</f>
        <v>74790</v>
      </c>
      <c r="F83" s="103"/>
      <c r="G83" s="103"/>
      <c r="H83" s="103"/>
      <c r="I83" s="176">
        <f>E83/E91</f>
        <v>0.95896909860238488</v>
      </c>
      <c r="J83" s="99" t="e">
        <f>Overview!AD42*Overview!$AA42*Results_energy_scenarios!$E83</f>
        <v>#REF!</v>
      </c>
      <c r="K83" s="99" t="e">
        <f>Overview!AE42*Overview!$AA42*Results_energy_scenarios!$E83</f>
        <v>#REF!</v>
      </c>
      <c r="L83" s="99" t="e">
        <f>Overview!AF42*Overview!$AA42*Results_energy_scenarios!$E83</f>
        <v>#REF!</v>
      </c>
      <c r="M83" s="99" t="e">
        <f>Overview!AG42*Overview!$AA42*Results_energy_scenarios!$E83</f>
        <v>#REF!</v>
      </c>
      <c r="N83" s="99" t="e">
        <f>Overview!AH42*Overview!$AA42*Results_energy_scenarios!$E83</f>
        <v>#REF!</v>
      </c>
      <c r="O83" s="99" t="e">
        <f>Overview!AI42*Overview!$AA42*Results_energy_scenarios!$E83</f>
        <v>#REF!</v>
      </c>
      <c r="P83" s="99" t="e">
        <f>Overview!AJ42*Overview!$AA42*Results_energy_scenarios!$E83</f>
        <v>#REF!</v>
      </c>
      <c r="Q83" s="99" t="e">
        <f>Overview!AK42*Overview!$AA42*Results_energy_scenarios!$E83</f>
        <v>#REF!</v>
      </c>
      <c r="R83" s="99" t="e">
        <f>Overview!AL42*Overview!$AA42*Results_energy_scenarios!$E83</f>
        <v>#REF!</v>
      </c>
      <c r="S83" s="99" t="e">
        <f>Overview!AM42*Overview!$AA42*Results_energy_scenarios!$E83</f>
        <v>#REF!</v>
      </c>
      <c r="T83" s="99" t="e">
        <f>Overview!AN42*Overview!$AA42*Results_energy_scenarios!$E83</f>
        <v>#REF!</v>
      </c>
      <c r="U83" s="99" t="e">
        <f>Overview!AO42*Overview!$AA42*Results_energy_scenarios!$E83</f>
        <v>#REF!</v>
      </c>
      <c r="V83" s="99" t="e">
        <f>Overview!AP42*Overview!$AA42*Results_energy_scenarios!$E83</f>
        <v>#REF!</v>
      </c>
      <c r="W83" s="99" t="e">
        <f>Overview!AQ42*Overview!$AA42*Results_energy_scenarios!$E83</f>
        <v>#REF!</v>
      </c>
      <c r="X83" s="99" t="e">
        <f>Overview!AR42*Overview!$AA42*Results_energy_scenarios!$E83</f>
        <v>#REF!</v>
      </c>
      <c r="Y83" s="101" t="e">
        <f>Overview!AS42*Overview!$AA42*Results_energy_scenarios!$E83</f>
        <v>#REF!</v>
      </c>
      <c r="Z83" s="99" t="e">
        <f>Overview!CP42*Overview!$AA42*Results_energy_scenarios!$E83</f>
        <v>#REF!</v>
      </c>
      <c r="AA83" s="99" t="e">
        <f>Overview!CQ42*Overview!$AA42*Results_energy_scenarios!$E83</f>
        <v>#REF!</v>
      </c>
      <c r="AB83" s="99" t="e">
        <f>Overview!CR42*Overview!$AA42*Results_energy_scenarios!$E83</f>
        <v>#REF!</v>
      </c>
      <c r="AC83" s="99" t="e">
        <f>Overview!CS42*Overview!$AA42*Results_energy_scenarios!$E83</f>
        <v>#REF!</v>
      </c>
      <c r="AD83" s="99" t="e">
        <f>Overview!CT42*Overview!$AA42*Results_energy_scenarios!$E83</f>
        <v>#REF!</v>
      </c>
      <c r="AE83" s="99" t="e">
        <f>Overview!CU42*Overview!$AA42*Results_energy_scenarios!$E83</f>
        <v>#REF!</v>
      </c>
      <c r="AF83" s="99" t="e">
        <f>Overview!CV42*Overview!$AA42*Results_energy_scenarios!$E83</f>
        <v>#REF!</v>
      </c>
      <c r="AG83" s="99" t="e">
        <f>Overview!CW42*Overview!$AA42*Results_energy_scenarios!$E83</f>
        <v>#REF!</v>
      </c>
      <c r="AH83" s="99" t="e">
        <f>Overview!CX42*Overview!$AA42*Results_energy_scenarios!$E83</f>
        <v>#REF!</v>
      </c>
      <c r="AI83" s="99" t="e">
        <f>Overview!CY42*Overview!$AA42*Results_energy_scenarios!$E83</f>
        <v>#REF!</v>
      </c>
      <c r="AJ83" s="99" t="e">
        <f>Overview!CZ42*Overview!$AA42*Results_energy_scenarios!$E83</f>
        <v>#REF!</v>
      </c>
      <c r="AK83" s="99" t="e">
        <f>Overview!DA42*Overview!$AA42*Results_energy_scenarios!$E83</f>
        <v>#REF!</v>
      </c>
      <c r="AL83" s="99" t="e">
        <f>Overview!DB42*Overview!$AA42*Results_energy_scenarios!$E83</f>
        <v>#REF!</v>
      </c>
      <c r="AM83" s="99" t="e">
        <f>Overview!DC42*Overview!$AA42*Results_energy_scenarios!$E83</f>
        <v>#REF!</v>
      </c>
      <c r="AN83" s="99" t="e">
        <f>Overview!DD42*Overview!$AA42*Results_energy_scenarios!$E83</f>
        <v>#REF!</v>
      </c>
      <c r="AO83" s="101" t="e">
        <f>Overview!DE42*Overview!$AA42*Results_energy_scenarios!$E83</f>
        <v>#REF!</v>
      </c>
    </row>
    <row r="84" spans="1:41">
      <c r="A84" t="s">
        <v>5</v>
      </c>
      <c r="B84" t="s">
        <v>376</v>
      </c>
      <c r="C84" t="s">
        <v>328</v>
      </c>
      <c r="D84" s="114" t="s">
        <v>389</v>
      </c>
      <c r="E84" s="103"/>
      <c r="F84" s="103"/>
      <c r="G84">
        <v>12774</v>
      </c>
      <c r="H84" s="103"/>
      <c r="I84" s="174"/>
      <c r="J84" s="99" t="e">
        <f>$G84*J82</f>
        <v>#REF!</v>
      </c>
      <c r="K84" s="99" t="e">
        <f t="shared" ref="K84:AO84" si="77">$G84*K82</f>
        <v>#REF!</v>
      </c>
      <c r="L84" s="99" t="e">
        <f t="shared" si="77"/>
        <v>#REF!</v>
      </c>
      <c r="M84" s="99" t="e">
        <f t="shared" si="77"/>
        <v>#REF!</v>
      </c>
      <c r="N84" s="99" t="e">
        <f t="shared" si="77"/>
        <v>#REF!</v>
      </c>
      <c r="O84" s="99" t="e">
        <f t="shared" si="77"/>
        <v>#REF!</v>
      </c>
      <c r="P84" s="99" t="e">
        <f t="shared" si="77"/>
        <v>#REF!</v>
      </c>
      <c r="Q84" s="99" t="e">
        <f t="shared" si="77"/>
        <v>#REF!</v>
      </c>
      <c r="R84" s="99" t="e">
        <f t="shared" si="77"/>
        <v>#REF!</v>
      </c>
      <c r="S84" s="99" t="e">
        <f t="shared" si="77"/>
        <v>#REF!</v>
      </c>
      <c r="T84" s="99" t="e">
        <f t="shared" si="77"/>
        <v>#REF!</v>
      </c>
      <c r="U84" s="99" t="e">
        <f t="shared" si="77"/>
        <v>#REF!</v>
      </c>
      <c r="V84" s="99" t="e">
        <f t="shared" si="77"/>
        <v>#REF!</v>
      </c>
      <c r="W84" s="99" t="e">
        <f t="shared" si="77"/>
        <v>#REF!</v>
      </c>
      <c r="X84" s="99" t="e">
        <f t="shared" si="77"/>
        <v>#REF!</v>
      </c>
      <c r="Y84" s="101" t="e">
        <f t="shared" si="77"/>
        <v>#REF!</v>
      </c>
      <c r="Z84" s="99" t="e">
        <f t="shared" si="77"/>
        <v>#REF!</v>
      </c>
      <c r="AA84" s="99" t="e">
        <f t="shared" si="77"/>
        <v>#REF!</v>
      </c>
      <c r="AB84" s="99" t="e">
        <f t="shared" si="77"/>
        <v>#REF!</v>
      </c>
      <c r="AC84" s="99" t="e">
        <f t="shared" si="77"/>
        <v>#REF!</v>
      </c>
      <c r="AD84" s="99" t="e">
        <f t="shared" si="77"/>
        <v>#REF!</v>
      </c>
      <c r="AE84" s="99" t="e">
        <f t="shared" si="77"/>
        <v>#REF!</v>
      </c>
      <c r="AF84" s="99" t="e">
        <f t="shared" si="77"/>
        <v>#REF!</v>
      </c>
      <c r="AG84" s="99" t="e">
        <f t="shared" si="77"/>
        <v>#REF!</v>
      </c>
      <c r="AH84" s="99" t="e">
        <f t="shared" si="77"/>
        <v>#REF!</v>
      </c>
      <c r="AI84" s="99" t="e">
        <f t="shared" si="77"/>
        <v>#REF!</v>
      </c>
      <c r="AJ84" s="99" t="e">
        <f t="shared" si="77"/>
        <v>#REF!</v>
      </c>
      <c r="AK84" s="99" t="e">
        <f t="shared" si="77"/>
        <v>#REF!</v>
      </c>
      <c r="AL84" s="99" t="e">
        <f t="shared" si="77"/>
        <v>#REF!</v>
      </c>
      <c r="AM84" s="99" t="e">
        <f t="shared" si="77"/>
        <v>#REF!</v>
      </c>
      <c r="AN84" s="99" t="e">
        <f t="shared" si="77"/>
        <v>#REF!</v>
      </c>
      <c r="AO84" s="101" t="e">
        <f t="shared" si="77"/>
        <v>#REF!</v>
      </c>
    </row>
    <row r="85" spans="1:41">
      <c r="A85" t="s">
        <v>5</v>
      </c>
      <c r="B85" t="s">
        <v>376</v>
      </c>
      <c r="C85" t="s">
        <v>328</v>
      </c>
      <c r="D85" s="140" t="s">
        <v>415</v>
      </c>
      <c r="F85" s="103"/>
      <c r="G85" s="103"/>
      <c r="H85" s="103"/>
      <c r="I85" s="174">
        <f>E85/E91</f>
        <v>0</v>
      </c>
      <c r="J85" s="99" t="e">
        <f>Overview!AD43*Overview!$AA43*Results_energy_scenarios!$E85</f>
        <v>#REF!</v>
      </c>
      <c r="K85" s="99" t="e">
        <f>Overview!AE43*Overview!$AA43*Results_energy_scenarios!$E85</f>
        <v>#REF!</v>
      </c>
      <c r="L85" s="99" t="e">
        <f>Overview!AF43*Overview!$AA43*Results_energy_scenarios!$E85</f>
        <v>#REF!</v>
      </c>
      <c r="M85" s="99" t="e">
        <f>Overview!AG43*Overview!$AA43*Results_energy_scenarios!$E85</f>
        <v>#REF!</v>
      </c>
      <c r="N85" s="99" t="e">
        <f>Overview!AH43*Overview!$AA43*Results_energy_scenarios!$E85</f>
        <v>#REF!</v>
      </c>
      <c r="O85" s="99" t="e">
        <f>Overview!AI43*Overview!$AA43*Results_energy_scenarios!$E85</f>
        <v>#REF!</v>
      </c>
      <c r="P85" s="99" t="e">
        <f>Overview!AJ43*Overview!$AA43*Results_energy_scenarios!$E85</f>
        <v>#REF!</v>
      </c>
      <c r="Q85" s="99" t="e">
        <f>Overview!AK43*Overview!$AA43*Results_energy_scenarios!$E85</f>
        <v>#REF!</v>
      </c>
      <c r="R85" s="99" t="e">
        <f>Overview!AL43*Overview!$AA43*Results_energy_scenarios!$E85</f>
        <v>#REF!</v>
      </c>
      <c r="S85" s="99" t="e">
        <f>Overview!AM43*Overview!$AA43*Results_energy_scenarios!$E85</f>
        <v>#REF!</v>
      </c>
      <c r="T85" s="99" t="e">
        <f>Overview!AN43*Overview!$AA43*Results_energy_scenarios!$E85</f>
        <v>#REF!</v>
      </c>
      <c r="U85" s="99" t="e">
        <f>Overview!AO43*Overview!$AA43*Results_energy_scenarios!$E85</f>
        <v>#REF!</v>
      </c>
      <c r="V85" s="99" t="e">
        <f>Overview!AP43*Overview!$AA43*Results_energy_scenarios!$E85</f>
        <v>#REF!</v>
      </c>
      <c r="W85" s="99" t="e">
        <f>Overview!AQ43*Overview!$AA43*Results_energy_scenarios!$E85</f>
        <v>#REF!</v>
      </c>
      <c r="X85" s="99" t="e">
        <f>Overview!AR43*Overview!$AA43*Results_energy_scenarios!$E85</f>
        <v>#REF!</v>
      </c>
      <c r="Y85" s="101" t="e">
        <f>Overview!AS43*Overview!$AA43*Results_energy_scenarios!$E85</f>
        <v>#REF!</v>
      </c>
      <c r="Z85" s="99" t="e">
        <f>Overview!CP43*Overview!$AA43*Results_energy_scenarios!$E85</f>
        <v>#REF!</v>
      </c>
      <c r="AA85" s="99" t="e">
        <f>Overview!CQ43*Overview!$AA43*Results_energy_scenarios!$E85</f>
        <v>#REF!</v>
      </c>
      <c r="AB85" s="99" t="e">
        <f>Overview!CR43*Overview!$AA43*Results_energy_scenarios!$E85</f>
        <v>#REF!</v>
      </c>
      <c r="AC85" s="99" t="e">
        <f>Overview!CS43*Overview!$AA43*Results_energy_scenarios!$E85</f>
        <v>#REF!</v>
      </c>
      <c r="AD85" s="99" t="e">
        <f>Overview!CT43*Overview!$AA43*Results_energy_scenarios!$E85</f>
        <v>#REF!</v>
      </c>
      <c r="AE85" s="99" t="e">
        <f>Overview!CU43*Overview!$AA43*Results_energy_scenarios!$E85</f>
        <v>#REF!</v>
      </c>
      <c r="AF85" s="99" t="e">
        <f>Overview!CV43*Overview!$AA43*Results_energy_scenarios!$E85</f>
        <v>#REF!</v>
      </c>
      <c r="AG85" s="99" t="e">
        <f>Overview!CW43*Overview!$AA43*Results_energy_scenarios!$E85</f>
        <v>#REF!</v>
      </c>
      <c r="AH85" s="99" t="e">
        <f>Overview!CX43*Overview!$AA43*Results_energy_scenarios!$E85</f>
        <v>#REF!</v>
      </c>
      <c r="AI85" s="99" t="e">
        <f>Overview!CY43*Overview!$AA43*Results_energy_scenarios!$E85</f>
        <v>#REF!</v>
      </c>
      <c r="AJ85" s="99" t="e">
        <f>Overview!CZ43*Overview!$AA43*Results_energy_scenarios!$E85</f>
        <v>#REF!</v>
      </c>
      <c r="AK85" s="99" t="e">
        <f>Overview!DA43*Overview!$AA43*Results_energy_scenarios!$E85</f>
        <v>#REF!</v>
      </c>
      <c r="AL85" s="99" t="e">
        <f>Overview!DB43*Overview!$AA43*Results_energy_scenarios!$E85</f>
        <v>#REF!</v>
      </c>
      <c r="AM85" s="99" t="e">
        <f>Overview!DC43*Overview!$AA43*Results_energy_scenarios!$E85</f>
        <v>#REF!</v>
      </c>
      <c r="AN85" s="99" t="e">
        <f>Overview!DD43*Overview!$AA43*Results_energy_scenarios!$E85</f>
        <v>#REF!</v>
      </c>
      <c r="AO85" s="101" t="e">
        <f>Overview!DE43*Overview!$AA43*Results_energy_scenarios!$E85</f>
        <v>#REF!</v>
      </c>
    </row>
    <row r="86" spans="1:41">
      <c r="A86" t="s">
        <v>5</v>
      </c>
      <c r="B86" t="s">
        <v>376</v>
      </c>
      <c r="C86" t="s">
        <v>328</v>
      </c>
      <c r="D86" s="140" t="s">
        <v>417</v>
      </c>
      <c r="E86" s="103"/>
      <c r="F86" s="103"/>
      <c r="G86">
        <f>Overview!H30</f>
        <v>0</v>
      </c>
      <c r="H86" s="103"/>
      <c r="I86" s="174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101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101"/>
    </row>
    <row r="87" spans="1:41">
      <c r="A87" t="s">
        <v>5</v>
      </c>
      <c r="B87" t="s">
        <v>376</v>
      </c>
      <c r="C87" t="s">
        <v>328</v>
      </c>
      <c r="D87" s="140" t="s">
        <v>416</v>
      </c>
      <c r="F87" s="103"/>
      <c r="G87" s="103"/>
      <c r="H87" s="103"/>
      <c r="I87" s="174">
        <f>E87/E91</f>
        <v>0</v>
      </c>
      <c r="J87" s="99" t="e">
        <f>Overview!AD44*Overview!$AA44*Results_energy_scenarios!$E87</f>
        <v>#REF!</v>
      </c>
      <c r="K87" s="99" t="e">
        <f>Overview!AE44*Overview!$AA44*Results_energy_scenarios!$E87</f>
        <v>#REF!</v>
      </c>
      <c r="L87" s="99" t="e">
        <f>Overview!AF44*Overview!$AA44*Results_energy_scenarios!$E87</f>
        <v>#REF!</v>
      </c>
      <c r="M87" s="99" t="e">
        <f>Overview!AG44*Overview!$AA44*Results_energy_scenarios!$E87</f>
        <v>#REF!</v>
      </c>
      <c r="N87" s="99" t="e">
        <f>Overview!AH44*Overview!$AA44*Results_energy_scenarios!$E87</f>
        <v>#REF!</v>
      </c>
      <c r="O87" s="99" t="e">
        <f>Overview!AI44*Overview!$AA44*Results_energy_scenarios!$E87</f>
        <v>#REF!</v>
      </c>
      <c r="P87" s="99" t="e">
        <f>Overview!AJ44*Overview!$AA44*Results_energy_scenarios!$E87</f>
        <v>#REF!</v>
      </c>
      <c r="Q87" s="99" t="e">
        <f>Overview!AK44*Overview!$AA44*Results_energy_scenarios!$E87</f>
        <v>#REF!</v>
      </c>
      <c r="R87" s="99" t="e">
        <f>Overview!AL44*Overview!$AA44*Results_energy_scenarios!$E87</f>
        <v>#REF!</v>
      </c>
      <c r="S87" s="99" t="e">
        <f>Overview!AM44*Overview!$AA44*Results_energy_scenarios!$E87</f>
        <v>#REF!</v>
      </c>
      <c r="T87" s="99" t="e">
        <f>Overview!AN44*Overview!$AA44*Results_energy_scenarios!$E87</f>
        <v>#REF!</v>
      </c>
      <c r="U87" s="99" t="e">
        <f>Overview!AO44*Overview!$AA44*Results_energy_scenarios!$E87</f>
        <v>#REF!</v>
      </c>
      <c r="V87" s="99" t="e">
        <f>Overview!AP44*Overview!$AA44*Results_energy_scenarios!$E87</f>
        <v>#REF!</v>
      </c>
      <c r="W87" s="99" t="e">
        <f>Overview!AQ44*Overview!$AA44*Results_energy_scenarios!$E87</f>
        <v>#REF!</v>
      </c>
      <c r="X87" s="99" t="e">
        <f>Overview!AR44*Overview!$AA44*Results_energy_scenarios!$E87</f>
        <v>#REF!</v>
      </c>
      <c r="Y87" s="101" t="e">
        <f>Overview!AS44*Overview!$AA44*Results_energy_scenarios!$E87</f>
        <v>#REF!</v>
      </c>
      <c r="Z87" s="99" t="e">
        <f>Overview!CP44*Overview!$AA44*Results_energy_scenarios!$E87</f>
        <v>#REF!</v>
      </c>
      <c r="AA87" s="99" t="e">
        <f>Overview!CQ44*Overview!$AA44*Results_energy_scenarios!$E87</f>
        <v>#REF!</v>
      </c>
      <c r="AB87" s="99" t="e">
        <f>Overview!CR44*Overview!$AA44*Results_energy_scenarios!$E87</f>
        <v>#REF!</v>
      </c>
      <c r="AC87" s="99" t="e">
        <f>Overview!CS44*Overview!$AA44*Results_energy_scenarios!$E87</f>
        <v>#REF!</v>
      </c>
      <c r="AD87" s="99" t="e">
        <f>Overview!CT44*Overview!$AA44*Results_energy_scenarios!$E87</f>
        <v>#REF!</v>
      </c>
      <c r="AE87" s="99" t="e">
        <f>Overview!CU44*Overview!$AA44*Results_energy_scenarios!$E87</f>
        <v>#REF!</v>
      </c>
      <c r="AF87" s="99" t="e">
        <f>Overview!CV44*Overview!$AA44*Results_energy_scenarios!$E87</f>
        <v>#REF!</v>
      </c>
      <c r="AG87" s="99" t="e">
        <f>Overview!CW44*Overview!$AA44*Results_energy_scenarios!$E87</f>
        <v>#REF!</v>
      </c>
      <c r="AH87" s="99" t="e">
        <f>Overview!CX44*Overview!$AA44*Results_energy_scenarios!$E87</f>
        <v>#REF!</v>
      </c>
      <c r="AI87" s="99" t="e">
        <f>Overview!CY44*Overview!$AA44*Results_energy_scenarios!$E87</f>
        <v>#REF!</v>
      </c>
      <c r="AJ87" s="99" t="e">
        <f>Overview!CZ44*Overview!$AA44*Results_energy_scenarios!$E87</f>
        <v>#REF!</v>
      </c>
      <c r="AK87" s="99" t="e">
        <f>Overview!DA44*Overview!$AA44*Results_energy_scenarios!$E87</f>
        <v>#REF!</v>
      </c>
      <c r="AL87" s="99" t="e">
        <f>Overview!DB44*Overview!$AA44*Results_energy_scenarios!$E87</f>
        <v>#REF!</v>
      </c>
      <c r="AM87" s="99" t="e">
        <f>Overview!DC44*Overview!$AA44*Results_energy_scenarios!$E87</f>
        <v>#REF!</v>
      </c>
      <c r="AN87" s="99" t="e">
        <f>Overview!DD44*Overview!$AA44*Results_energy_scenarios!$E87</f>
        <v>#REF!</v>
      </c>
      <c r="AO87" s="101" t="e">
        <f>Overview!DE44*Overview!$AA44*Results_energy_scenarios!$E87</f>
        <v>#REF!</v>
      </c>
    </row>
    <row r="88" spans="1:41">
      <c r="A88" t="s">
        <v>5</v>
      </c>
      <c r="B88" t="s">
        <v>376</v>
      </c>
      <c r="C88" t="s">
        <v>328</v>
      </c>
      <c r="D88" s="140" t="s">
        <v>418</v>
      </c>
      <c r="E88" s="103"/>
      <c r="F88" s="103"/>
      <c r="G88">
        <f>Overview!H8</f>
        <v>0</v>
      </c>
      <c r="H88" s="103"/>
      <c r="I88" s="174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101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101"/>
    </row>
    <row r="89" spans="1:41">
      <c r="A89" t="s">
        <v>5</v>
      </c>
      <c r="B89" t="s">
        <v>376</v>
      </c>
      <c r="C89" t="s">
        <v>327</v>
      </c>
      <c r="D89" s="140" t="s">
        <v>377</v>
      </c>
      <c r="E89">
        <f>energy_data_per_scenario!K15*1000</f>
        <v>3200</v>
      </c>
      <c r="F89" s="103"/>
      <c r="G89" s="103"/>
      <c r="H89" s="103"/>
      <c r="I89" s="174">
        <f>E89/E91</f>
        <v>4.1030901397615081E-2</v>
      </c>
      <c r="J89" s="99" t="e">
        <f>Overview!AD32*Overview!$AA32*Results_energy_scenarios!$E89</f>
        <v>#REF!</v>
      </c>
      <c r="K89" s="99" t="e">
        <f>Overview!AE32*Overview!$AA32*Results_energy_scenarios!$E89</f>
        <v>#REF!</v>
      </c>
      <c r="L89" s="99" t="e">
        <f>Overview!AF32*Overview!$AA32*Results_energy_scenarios!$E89</f>
        <v>#REF!</v>
      </c>
      <c r="M89" s="99" t="e">
        <f>Overview!AG32*Overview!$AA32*Results_energy_scenarios!$E89</f>
        <v>#REF!</v>
      </c>
      <c r="N89" s="99" t="e">
        <f>Overview!AH32*Overview!$AA32*Results_energy_scenarios!$E89</f>
        <v>#REF!</v>
      </c>
      <c r="O89" s="99" t="e">
        <f>Overview!AI32*Overview!$AA32*Results_energy_scenarios!$E89</f>
        <v>#REF!</v>
      </c>
      <c r="P89" s="99" t="e">
        <f>Overview!AJ32*Overview!$AA32*Results_energy_scenarios!$E89</f>
        <v>#REF!</v>
      </c>
      <c r="Q89" s="99" t="e">
        <f>Overview!AK32*Overview!$AA32*Results_energy_scenarios!$E89</f>
        <v>#REF!</v>
      </c>
      <c r="R89" s="99" t="e">
        <f>Overview!AL32*Overview!$AA32*Results_energy_scenarios!$E89</f>
        <v>#REF!</v>
      </c>
      <c r="S89" s="99" t="e">
        <f>Overview!AM32*Overview!$AA32*Results_energy_scenarios!$E89</f>
        <v>#REF!</v>
      </c>
      <c r="T89" s="99" t="e">
        <f>Overview!AN32*Overview!$AA32*Results_energy_scenarios!$E89</f>
        <v>#REF!</v>
      </c>
      <c r="U89" s="99" t="e">
        <f>Overview!AO32*Overview!$AA32*Results_energy_scenarios!$E89</f>
        <v>#REF!</v>
      </c>
      <c r="V89" s="99" t="e">
        <f>Overview!AP32*Overview!$AA32*Results_energy_scenarios!$E89</f>
        <v>#REF!</v>
      </c>
      <c r="W89" s="99" t="e">
        <f>Overview!AQ32*Overview!$AA32*Results_energy_scenarios!$E89</f>
        <v>#REF!</v>
      </c>
      <c r="X89" s="99" t="e">
        <f>Overview!AR32*Overview!$AA32*Results_energy_scenarios!$E89</f>
        <v>#REF!</v>
      </c>
      <c r="Y89" s="101" t="e">
        <f>Overview!AS32*Overview!$AA32*Results_energy_scenarios!$E89</f>
        <v>#REF!</v>
      </c>
      <c r="Z89" s="99" t="e">
        <f>Overview!CP32*Overview!$AA32*Results_energy_scenarios!$E89</f>
        <v>#REF!</v>
      </c>
      <c r="AA89" s="99" t="e">
        <f>Overview!CQ32*Overview!$AA32*Results_energy_scenarios!$E89</f>
        <v>#REF!</v>
      </c>
      <c r="AB89" s="99" t="e">
        <f>Overview!CR32*Overview!$AA32*Results_energy_scenarios!$E89</f>
        <v>#REF!</v>
      </c>
      <c r="AC89" s="99" t="e">
        <f>Overview!CS32*Overview!$AA32*Results_energy_scenarios!$E89</f>
        <v>#REF!</v>
      </c>
      <c r="AD89" s="99" t="e">
        <f>Overview!CT32*Overview!$AA32*Results_energy_scenarios!$E89</f>
        <v>#REF!</v>
      </c>
      <c r="AE89" s="99" t="e">
        <f>Overview!CU32*Overview!$AA32*Results_energy_scenarios!$E89</f>
        <v>#REF!</v>
      </c>
      <c r="AF89" s="99" t="e">
        <f>Overview!CV32*Overview!$AA32*Results_energy_scenarios!$E89</f>
        <v>#REF!</v>
      </c>
      <c r="AG89" s="99" t="e">
        <f>Overview!CW32*Overview!$AA32*Results_energy_scenarios!$E89</f>
        <v>#REF!</v>
      </c>
      <c r="AH89" s="99" t="e">
        <f>Overview!CX32*Overview!$AA32*Results_energy_scenarios!$E89</f>
        <v>#REF!</v>
      </c>
      <c r="AI89" s="99" t="e">
        <f>Overview!CY32*Overview!$AA32*Results_energy_scenarios!$E89</f>
        <v>#REF!</v>
      </c>
      <c r="AJ89" s="99" t="e">
        <f>Overview!CZ32*Overview!$AA32*Results_energy_scenarios!$E89</f>
        <v>#REF!</v>
      </c>
      <c r="AK89" s="99" t="e">
        <f>Overview!DA32*Overview!$AA32*Results_energy_scenarios!$E89</f>
        <v>#REF!</v>
      </c>
      <c r="AL89" s="99" t="e">
        <f>Overview!DB32*Overview!$AA32*Results_energy_scenarios!$E89</f>
        <v>#REF!</v>
      </c>
      <c r="AM89" s="99" t="e">
        <f>Overview!DC32*Overview!$AA32*Results_energy_scenarios!$E89</f>
        <v>#REF!</v>
      </c>
      <c r="AN89" s="99" t="e">
        <f>Overview!DD32*Overview!$AA32*Results_energy_scenarios!$E89</f>
        <v>#REF!</v>
      </c>
      <c r="AO89" s="101" t="e">
        <f>Overview!DE32*Overview!$AA32*Results_energy_scenarios!$E89</f>
        <v>#REF!</v>
      </c>
    </row>
    <row r="90" spans="1:41">
      <c r="A90" t="s">
        <v>5</v>
      </c>
      <c r="B90" t="s">
        <v>376</v>
      </c>
      <c r="C90" t="s">
        <v>327</v>
      </c>
      <c r="D90" s="114" t="s">
        <v>390</v>
      </c>
      <c r="E90" s="103"/>
      <c r="F90" s="103"/>
      <c r="G90">
        <v>3201</v>
      </c>
      <c r="H90" s="103"/>
      <c r="I90" s="174"/>
      <c r="J90" s="99" t="e">
        <f>J82*$G90</f>
        <v>#REF!</v>
      </c>
      <c r="K90" s="99" t="e">
        <f t="shared" ref="K90:AO90" si="78">K82*$G90</f>
        <v>#REF!</v>
      </c>
      <c r="L90" s="99" t="e">
        <f t="shared" si="78"/>
        <v>#REF!</v>
      </c>
      <c r="M90" s="99" t="e">
        <f t="shared" si="78"/>
        <v>#REF!</v>
      </c>
      <c r="N90" s="99" t="e">
        <f t="shared" si="78"/>
        <v>#REF!</v>
      </c>
      <c r="O90" s="99" t="e">
        <f t="shared" si="78"/>
        <v>#REF!</v>
      </c>
      <c r="P90" s="99" t="e">
        <f t="shared" si="78"/>
        <v>#REF!</v>
      </c>
      <c r="Q90" s="99" t="e">
        <f t="shared" si="78"/>
        <v>#REF!</v>
      </c>
      <c r="R90" s="99" t="e">
        <f t="shared" si="78"/>
        <v>#REF!</v>
      </c>
      <c r="S90" s="99" t="e">
        <f t="shared" si="78"/>
        <v>#REF!</v>
      </c>
      <c r="T90" s="99" t="e">
        <f t="shared" si="78"/>
        <v>#REF!</v>
      </c>
      <c r="U90" s="99" t="e">
        <f t="shared" si="78"/>
        <v>#REF!</v>
      </c>
      <c r="V90" s="99" t="e">
        <f t="shared" si="78"/>
        <v>#REF!</v>
      </c>
      <c r="W90" s="99" t="e">
        <f t="shared" si="78"/>
        <v>#REF!</v>
      </c>
      <c r="X90" s="99" t="e">
        <f t="shared" si="78"/>
        <v>#REF!</v>
      </c>
      <c r="Y90" s="101" t="e">
        <f t="shared" si="78"/>
        <v>#REF!</v>
      </c>
      <c r="Z90" s="99" t="e">
        <f t="shared" si="78"/>
        <v>#REF!</v>
      </c>
      <c r="AA90" s="99" t="e">
        <f t="shared" si="78"/>
        <v>#REF!</v>
      </c>
      <c r="AB90" s="99" t="e">
        <f t="shared" si="78"/>
        <v>#REF!</v>
      </c>
      <c r="AC90" s="99" t="e">
        <f t="shared" si="78"/>
        <v>#REF!</v>
      </c>
      <c r="AD90" s="99" t="e">
        <f t="shared" si="78"/>
        <v>#REF!</v>
      </c>
      <c r="AE90" s="99" t="e">
        <f t="shared" si="78"/>
        <v>#REF!</v>
      </c>
      <c r="AF90" s="99" t="e">
        <f t="shared" si="78"/>
        <v>#REF!</v>
      </c>
      <c r="AG90" s="99" t="e">
        <f t="shared" si="78"/>
        <v>#REF!</v>
      </c>
      <c r="AH90" s="99" t="e">
        <f t="shared" si="78"/>
        <v>#REF!</v>
      </c>
      <c r="AI90" s="99" t="e">
        <f t="shared" si="78"/>
        <v>#REF!</v>
      </c>
      <c r="AJ90" s="99" t="e">
        <f t="shared" si="78"/>
        <v>#REF!</v>
      </c>
      <c r="AK90" s="99" t="e">
        <f t="shared" si="78"/>
        <v>#REF!</v>
      </c>
      <c r="AL90" s="99" t="e">
        <f t="shared" si="78"/>
        <v>#REF!</v>
      </c>
      <c r="AM90" s="99" t="e">
        <f t="shared" si="78"/>
        <v>#REF!</v>
      </c>
      <c r="AN90" s="99" t="e">
        <f t="shared" si="78"/>
        <v>#REF!</v>
      </c>
      <c r="AO90" s="101" t="e">
        <f t="shared" si="78"/>
        <v>#REF!</v>
      </c>
    </row>
    <row r="91" spans="1:41" s="90" customFormat="1">
      <c r="A91" s="90" t="s">
        <v>5</v>
      </c>
      <c r="B91" s="90" t="s">
        <v>376</v>
      </c>
      <c r="C91" s="90" t="s">
        <v>337</v>
      </c>
      <c r="E91" s="90">
        <f>SUM(E83:E90)</f>
        <v>77990</v>
      </c>
      <c r="F91" s="109"/>
      <c r="G91" s="109"/>
      <c r="H91" s="103"/>
      <c r="I91" s="174">
        <f>SUM(I83:I90)</f>
        <v>1</v>
      </c>
      <c r="J91" s="125" t="e">
        <f t="shared" ref="J91:AO91" si="79">SUM(J83:J90)</f>
        <v>#REF!</v>
      </c>
      <c r="K91" s="125" t="e">
        <f t="shared" si="79"/>
        <v>#REF!</v>
      </c>
      <c r="L91" s="125" t="e">
        <f t="shared" si="79"/>
        <v>#REF!</v>
      </c>
      <c r="M91" s="125" t="e">
        <f t="shared" si="79"/>
        <v>#REF!</v>
      </c>
      <c r="N91" s="125" t="e">
        <f t="shared" si="79"/>
        <v>#REF!</v>
      </c>
      <c r="O91" s="125" t="e">
        <f t="shared" si="79"/>
        <v>#REF!</v>
      </c>
      <c r="P91" s="125" t="e">
        <f t="shared" si="79"/>
        <v>#REF!</v>
      </c>
      <c r="Q91" s="125" t="e">
        <f t="shared" si="79"/>
        <v>#REF!</v>
      </c>
      <c r="R91" s="125" t="e">
        <f t="shared" si="79"/>
        <v>#REF!</v>
      </c>
      <c r="S91" s="125" t="e">
        <f t="shared" si="79"/>
        <v>#REF!</v>
      </c>
      <c r="T91" s="125" t="e">
        <f t="shared" si="79"/>
        <v>#REF!</v>
      </c>
      <c r="U91" s="125" t="e">
        <f t="shared" si="79"/>
        <v>#REF!</v>
      </c>
      <c r="V91" s="125" t="e">
        <f t="shared" si="79"/>
        <v>#REF!</v>
      </c>
      <c r="W91" s="125" t="e">
        <f t="shared" si="79"/>
        <v>#REF!</v>
      </c>
      <c r="X91" s="125" t="e">
        <f t="shared" si="79"/>
        <v>#REF!</v>
      </c>
      <c r="Y91" s="123" t="e">
        <f t="shared" si="79"/>
        <v>#REF!</v>
      </c>
      <c r="Z91" s="125" t="e">
        <f t="shared" si="79"/>
        <v>#REF!</v>
      </c>
      <c r="AA91" s="125" t="e">
        <f t="shared" si="79"/>
        <v>#REF!</v>
      </c>
      <c r="AB91" s="125" t="e">
        <f t="shared" si="79"/>
        <v>#REF!</v>
      </c>
      <c r="AC91" s="125" t="e">
        <f t="shared" si="79"/>
        <v>#REF!</v>
      </c>
      <c r="AD91" s="125" t="e">
        <f t="shared" si="79"/>
        <v>#REF!</v>
      </c>
      <c r="AE91" s="125" t="e">
        <f t="shared" si="79"/>
        <v>#REF!</v>
      </c>
      <c r="AF91" s="125" t="e">
        <f t="shared" si="79"/>
        <v>#REF!</v>
      </c>
      <c r="AG91" s="125" t="e">
        <f t="shared" si="79"/>
        <v>#REF!</v>
      </c>
      <c r="AH91" s="125" t="e">
        <f t="shared" si="79"/>
        <v>#REF!</v>
      </c>
      <c r="AI91" s="125" t="e">
        <f t="shared" si="79"/>
        <v>#REF!</v>
      </c>
      <c r="AJ91" s="125" t="e">
        <f t="shared" si="79"/>
        <v>#REF!</v>
      </c>
      <c r="AK91" s="125" t="e">
        <f t="shared" si="79"/>
        <v>#REF!</v>
      </c>
      <c r="AL91" s="125" t="e">
        <f t="shared" si="79"/>
        <v>#REF!</v>
      </c>
      <c r="AM91" s="125" t="e">
        <f t="shared" si="79"/>
        <v>#REF!</v>
      </c>
      <c r="AN91" s="125" t="e">
        <f t="shared" si="79"/>
        <v>#REF!</v>
      </c>
      <c r="AO91" s="123" t="e">
        <f t="shared" si="79"/>
        <v>#REF!</v>
      </c>
    </row>
    <row r="92" spans="1:41" s="90" customFormat="1" ht="15" thickBot="1">
      <c r="A92" s="134" t="s">
        <v>5</v>
      </c>
      <c r="B92" s="134" t="s">
        <v>376</v>
      </c>
      <c r="C92" s="134" t="s">
        <v>391</v>
      </c>
      <c r="D92" s="134"/>
      <c r="E92" s="134">
        <v>1</v>
      </c>
      <c r="F92" s="135"/>
      <c r="G92" s="135"/>
      <c r="H92" s="135"/>
      <c r="I92" s="168"/>
      <c r="J92" s="137" t="e">
        <f>J91/$E91</f>
        <v>#REF!</v>
      </c>
      <c r="K92" s="137" t="e">
        <f t="shared" ref="K92:AO92" si="80">K91/$E91</f>
        <v>#REF!</v>
      </c>
      <c r="L92" s="137" t="e">
        <f t="shared" si="80"/>
        <v>#REF!</v>
      </c>
      <c r="M92" s="137" t="e">
        <f t="shared" si="80"/>
        <v>#REF!</v>
      </c>
      <c r="N92" s="137" t="e">
        <f t="shared" si="80"/>
        <v>#REF!</v>
      </c>
      <c r="O92" s="137" t="e">
        <f t="shared" si="80"/>
        <v>#REF!</v>
      </c>
      <c r="P92" s="137" t="e">
        <f t="shared" si="80"/>
        <v>#REF!</v>
      </c>
      <c r="Q92" s="137" t="e">
        <f t="shared" si="80"/>
        <v>#REF!</v>
      </c>
      <c r="R92" s="137" t="e">
        <f t="shared" si="80"/>
        <v>#REF!</v>
      </c>
      <c r="S92" s="137" t="e">
        <f t="shared" si="80"/>
        <v>#REF!</v>
      </c>
      <c r="T92" s="137" t="e">
        <f t="shared" si="80"/>
        <v>#REF!</v>
      </c>
      <c r="U92" s="137" t="e">
        <f t="shared" si="80"/>
        <v>#REF!</v>
      </c>
      <c r="V92" s="137" t="e">
        <f t="shared" si="80"/>
        <v>#REF!</v>
      </c>
      <c r="W92" s="137" t="e">
        <f t="shared" si="80"/>
        <v>#REF!</v>
      </c>
      <c r="X92" s="137" t="e">
        <f t="shared" si="80"/>
        <v>#REF!</v>
      </c>
      <c r="Y92" s="138" t="e">
        <f t="shared" si="80"/>
        <v>#REF!</v>
      </c>
      <c r="Z92" s="137" t="e">
        <f t="shared" si="80"/>
        <v>#REF!</v>
      </c>
      <c r="AA92" s="137" t="e">
        <f t="shared" si="80"/>
        <v>#REF!</v>
      </c>
      <c r="AB92" s="137" t="e">
        <f t="shared" si="80"/>
        <v>#REF!</v>
      </c>
      <c r="AC92" s="137" t="e">
        <f t="shared" si="80"/>
        <v>#REF!</v>
      </c>
      <c r="AD92" s="137" t="e">
        <f t="shared" si="80"/>
        <v>#REF!</v>
      </c>
      <c r="AE92" s="137" t="e">
        <f t="shared" si="80"/>
        <v>#REF!</v>
      </c>
      <c r="AF92" s="137" t="e">
        <f t="shared" si="80"/>
        <v>#REF!</v>
      </c>
      <c r="AG92" s="137" t="e">
        <f t="shared" si="80"/>
        <v>#REF!</v>
      </c>
      <c r="AH92" s="137" t="e">
        <f t="shared" si="80"/>
        <v>#REF!</v>
      </c>
      <c r="AI92" s="137" t="e">
        <f t="shared" si="80"/>
        <v>#REF!</v>
      </c>
      <c r="AJ92" s="137" t="e">
        <f t="shared" si="80"/>
        <v>#REF!</v>
      </c>
      <c r="AK92" s="137" t="e">
        <f t="shared" si="80"/>
        <v>#REF!</v>
      </c>
      <c r="AL92" s="137" t="e">
        <f t="shared" si="80"/>
        <v>#REF!</v>
      </c>
      <c r="AM92" s="137" t="e">
        <f t="shared" si="80"/>
        <v>#REF!</v>
      </c>
      <c r="AN92" s="137" t="e">
        <f t="shared" si="80"/>
        <v>#REF!</v>
      </c>
      <c r="AO92" s="138" t="e">
        <f t="shared" si="80"/>
        <v>#REF!</v>
      </c>
    </row>
    <row r="93" spans="1:41" ht="16" customHeight="1">
      <c r="A93" t="s">
        <v>6</v>
      </c>
      <c r="D93" s="115" t="s">
        <v>322</v>
      </c>
      <c r="E93" s="103"/>
      <c r="F93" s="103"/>
      <c r="G93">
        <v>14226</v>
      </c>
      <c r="H93" s="103"/>
      <c r="J93" s="100" t="e">
        <f t="shared" ref="J93:AO93" si="81">SUM(J95:J101)</f>
        <v>#REF!</v>
      </c>
      <c r="K93" s="99" t="e">
        <f t="shared" si="81"/>
        <v>#REF!</v>
      </c>
      <c r="L93" s="99" t="e">
        <f t="shared" si="81"/>
        <v>#REF!</v>
      </c>
      <c r="M93" s="99" t="e">
        <f t="shared" si="81"/>
        <v>#REF!</v>
      </c>
      <c r="N93" s="99" t="e">
        <f t="shared" si="81"/>
        <v>#REF!</v>
      </c>
      <c r="O93" s="99" t="e">
        <f t="shared" si="81"/>
        <v>#REF!</v>
      </c>
      <c r="P93" s="99" t="e">
        <f t="shared" si="81"/>
        <v>#REF!</v>
      </c>
      <c r="Q93" s="99" t="e">
        <f t="shared" si="81"/>
        <v>#REF!</v>
      </c>
      <c r="R93" s="99" t="e">
        <f t="shared" si="81"/>
        <v>#REF!</v>
      </c>
      <c r="S93" s="99" t="e">
        <f t="shared" si="81"/>
        <v>#REF!</v>
      </c>
      <c r="T93" s="99" t="e">
        <f t="shared" si="81"/>
        <v>#REF!</v>
      </c>
      <c r="U93" s="99" t="e">
        <f t="shared" si="81"/>
        <v>#REF!</v>
      </c>
      <c r="V93" s="99" t="e">
        <f t="shared" si="81"/>
        <v>#REF!</v>
      </c>
      <c r="W93" s="99" t="e">
        <f t="shared" si="81"/>
        <v>#REF!</v>
      </c>
      <c r="X93" s="99" t="e">
        <f t="shared" si="81"/>
        <v>#REF!</v>
      </c>
      <c r="Y93" s="99" t="e">
        <f t="shared" si="81"/>
        <v>#REF!</v>
      </c>
      <c r="Z93" s="100" t="e">
        <f t="shared" si="81"/>
        <v>#REF!</v>
      </c>
      <c r="AA93" s="99" t="e">
        <f t="shared" si="81"/>
        <v>#REF!</v>
      </c>
      <c r="AB93" s="99" t="e">
        <f t="shared" si="81"/>
        <v>#REF!</v>
      </c>
      <c r="AC93" s="99" t="e">
        <f t="shared" si="81"/>
        <v>#REF!</v>
      </c>
      <c r="AD93" s="99" t="e">
        <f t="shared" si="81"/>
        <v>#REF!</v>
      </c>
      <c r="AE93" s="99" t="e">
        <f t="shared" si="81"/>
        <v>#REF!</v>
      </c>
      <c r="AF93" s="99" t="e">
        <f t="shared" si="81"/>
        <v>#REF!</v>
      </c>
      <c r="AG93" s="99" t="e">
        <f t="shared" si="81"/>
        <v>#REF!</v>
      </c>
      <c r="AH93" s="99" t="e">
        <f t="shared" si="81"/>
        <v>#REF!</v>
      </c>
      <c r="AI93" s="99" t="e">
        <f t="shared" si="81"/>
        <v>#REF!</v>
      </c>
      <c r="AJ93" s="99" t="e">
        <f t="shared" si="81"/>
        <v>#REF!</v>
      </c>
      <c r="AK93" s="99" t="e">
        <f t="shared" si="81"/>
        <v>#REF!</v>
      </c>
      <c r="AL93" s="99" t="e">
        <f t="shared" si="81"/>
        <v>#REF!</v>
      </c>
      <c r="AM93" s="99" t="e">
        <f t="shared" si="81"/>
        <v>#REF!</v>
      </c>
      <c r="AN93" s="99" t="e">
        <f t="shared" si="81"/>
        <v>#REF!</v>
      </c>
      <c r="AO93" s="101" t="e">
        <f t="shared" si="81"/>
        <v>#REF!</v>
      </c>
    </row>
    <row r="94" spans="1:41" ht="16" customHeight="1">
      <c r="A94" t="s">
        <v>6</v>
      </c>
      <c r="D94" s="115" t="s">
        <v>406</v>
      </c>
      <c r="E94" s="103"/>
      <c r="F94" s="103"/>
      <c r="G94">
        <v>14226</v>
      </c>
      <c r="H94" s="103"/>
      <c r="J94" s="100" t="e">
        <f t="shared" ref="J94:AO94" si="82">SUM(J95:J97,J100)</f>
        <v>#REF!</v>
      </c>
      <c r="K94" s="99" t="e">
        <f t="shared" si="82"/>
        <v>#REF!</v>
      </c>
      <c r="L94" s="99" t="e">
        <f t="shared" si="82"/>
        <v>#REF!</v>
      </c>
      <c r="M94" s="99" t="e">
        <f t="shared" si="82"/>
        <v>#REF!</v>
      </c>
      <c r="N94" s="99" t="e">
        <f t="shared" si="82"/>
        <v>#REF!</v>
      </c>
      <c r="O94" s="99" t="e">
        <f t="shared" si="82"/>
        <v>#REF!</v>
      </c>
      <c r="P94" s="99" t="e">
        <f t="shared" si="82"/>
        <v>#REF!</v>
      </c>
      <c r="Q94" s="99" t="e">
        <f t="shared" si="82"/>
        <v>#REF!</v>
      </c>
      <c r="R94" s="99" t="e">
        <f t="shared" si="82"/>
        <v>#REF!</v>
      </c>
      <c r="S94" s="99" t="e">
        <f t="shared" si="82"/>
        <v>#REF!</v>
      </c>
      <c r="T94" s="99" t="e">
        <f t="shared" si="82"/>
        <v>#REF!</v>
      </c>
      <c r="U94" s="99" t="e">
        <f t="shared" si="82"/>
        <v>#REF!</v>
      </c>
      <c r="V94" s="99" t="e">
        <f t="shared" si="82"/>
        <v>#REF!</v>
      </c>
      <c r="W94" s="99" t="e">
        <f t="shared" si="82"/>
        <v>#REF!</v>
      </c>
      <c r="X94" s="99" t="e">
        <f t="shared" si="82"/>
        <v>#REF!</v>
      </c>
      <c r="Y94" s="99" t="e">
        <f t="shared" si="82"/>
        <v>#REF!</v>
      </c>
      <c r="Z94" s="100" t="e">
        <f t="shared" si="82"/>
        <v>#REF!</v>
      </c>
      <c r="AA94" s="99" t="e">
        <f t="shared" si="82"/>
        <v>#REF!</v>
      </c>
      <c r="AB94" s="99" t="e">
        <f t="shared" si="82"/>
        <v>#REF!</v>
      </c>
      <c r="AC94" s="99" t="e">
        <f t="shared" si="82"/>
        <v>#REF!</v>
      </c>
      <c r="AD94" s="99" t="e">
        <f t="shared" si="82"/>
        <v>#REF!</v>
      </c>
      <c r="AE94" s="99" t="e">
        <f t="shared" si="82"/>
        <v>#REF!</v>
      </c>
      <c r="AF94" s="99" t="e">
        <f t="shared" si="82"/>
        <v>#REF!</v>
      </c>
      <c r="AG94" s="99" t="e">
        <f t="shared" si="82"/>
        <v>#REF!</v>
      </c>
      <c r="AH94" s="99" t="e">
        <f t="shared" si="82"/>
        <v>#REF!</v>
      </c>
      <c r="AI94" s="99" t="e">
        <f t="shared" si="82"/>
        <v>#REF!</v>
      </c>
      <c r="AJ94" s="99" t="e">
        <f t="shared" si="82"/>
        <v>#REF!</v>
      </c>
      <c r="AK94" s="99" t="e">
        <f t="shared" si="82"/>
        <v>#REF!</v>
      </c>
      <c r="AL94" s="99" t="e">
        <f t="shared" si="82"/>
        <v>#REF!</v>
      </c>
      <c r="AM94" s="99" t="e">
        <f t="shared" si="82"/>
        <v>#REF!</v>
      </c>
      <c r="AN94" s="99" t="e">
        <f t="shared" si="82"/>
        <v>#REF!</v>
      </c>
      <c r="AO94" s="101" t="e">
        <f t="shared" si="82"/>
        <v>#REF!</v>
      </c>
    </row>
    <row r="95" spans="1:41" ht="16" customHeight="1">
      <c r="A95" t="s">
        <v>6</v>
      </c>
      <c r="D95" s="113" t="s">
        <v>387</v>
      </c>
      <c r="E95" s="103"/>
      <c r="F95" s="103"/>
      <c r="G95">
        <f>Overview!I9</f>
        <v>13579.55095917299</v>
      </c>
      <c r="H95">
        <f>Overview!E9</f>
        <v>1.5459477104146919</v>
      </c>
      <c r="J95" s="118" t="e">
        <f>Overview!AD9*Overview!$Z9/20*Results_energy_scenarios!$G95</f>
        <v>#REF!</v>
      </c>
      <c r="K95" s="119" t="e">
        <f>Overview!AE9*Overview!$Z9/20*Results_energy_scenarios!$G95</f>
        <v>#REF!</v>
      </c>
      <c r="L95" s="119" t="e">
        <f>Overview!AF9*Overview!$Z9/20*Results_energy_scenarios!$G95</f>
        <v>#REF!</v>
      </c>
      <c r="M95" s="119" t="e">
        <f>Overview!AG9*Overview!$Z9/20*Results_energy_scenarios!$G95</f>
        <v>#REF!</v>
      </c>
      <c r="N95" s="119" t="e">
        <f>Overview!AH9*Overview!$Z9/20*Results_energy_scenarios!$G95</f>
        <v>#REF!</v>
      </c>
      <c r="O95" s="119" t="e">
        <f>Overview!AI9*Overview!$Z9/20*Results_energy_scenarios!$G95</f>
        <v>#REF!</v>
      </c>
      <c r="P95" s="119" t="e">
        <f>Overview!AJ9*Overview!$Z9/20*Results_energy_scenarios!$G95</f>
        <v>#REF!</v>
      </c>
      <c r="Q95" s="119" t="e">
        <f>Overview!AK9*Overview!$Z9/20*Results_energy_scenarios!$G95</f>
        <v>#REF!</v>
      </c>
      <c r="R95" s="119" t="e">
        <f>Overview!AL9*Overview!$Z9/20*Results_energy_scenarios!$G95</f>
        <v>#REF!</v>
      </c>
      <c r="S95" s="119" t="e">
        <f>Overview!AM9*Overview!$Z9/20*Results_energy_scenarios!$G95</f>
        <v>#REF!</v>
      </c>
      <c r="T95" s="119" t="e">
        <f>Overview!AN9*Overview!$Z9/20*Results_energy_scenarios!$G95</f>
        <v>#REF!</v>
      </c>
      <c r="U95" s="119" t="e">
        <f>Overview!AO9*Overview!$Z9/20*Results_energy_scenarios!$G95</f>
        <v>#REF!</v>
      </c>
      <c r="V95" s="119" t="e">
        <f>Overview!AP9*Overview!$Z9/20*Results_energy_scenarios!$G95</f>
        <v>#REF!</v>
      </c>
      <c r="W95" s="119" t="e">
        <f>Overview!AQ9*Overview!$Z9/20*Results_energy_scenarios!$G95</f>
        <v>#REF!</v>
      </c>
      <c r="X95" s="119" t="e">
        <f>Overview!AR9*Overview!$Z9/20*Results_energy_scenarios!$G95</f>
        <v>#REF!</v>
      </c>
      <c r="Y95" s="119" t="e">
        <f>Overview!AS9*Overview!$Z9/20*Results_energy_scenarios!$G95</f>
        <v>#REF!</v>
      </c>
      <c r="Z95" s="118" t="e">
        <f>Overview!CP9*Overview!$Z9/20*Results_energy_scenarios!$G95</f>
        <v>#REF!</v>
      </c>
      <c r="AA95" s="119" t="e">
        <f>Overview!CQ9*Overview!$Z9/20*Results_energy_scenarios!$G95</f>
        <v>#REF!</v>
      </c>
      <c r="AB95" s="119" t="e">
        <f>Overview!CR9*Overview!$Z9/20*Results_energy_scenarios!$G95</f>
        <v>#REF!</v>
      </c>
      <c r="AC95" s="119" t="e">
        <f>Overview!CS9*Overview!$Z9/20*Results_energy_scenarios!$G95</f>
        <v>#REF!</v>
      </c>
      <c r="AD95" s="119" t="e">
        <f>Overview!CT9*Overview!$Z9/20*Results_energy_scenarios!$G95</f>
        <v>#REF!</v>
      </c>
      <c r="AE95" s="119" t="e">
        <f>Overview!CU9*Overview!$Z9/20*Results_energy_scenarios!$G95</f>
        <v>#REF!</v>
      </c>
      <c r="AF95" s="119" t="e">
        <f>Overview!CV9*Overview!$Z9/20*Results_energy_scenarios!$G95</f>
        <v>#REF!</v>
      </c>
      <c r="AG95" s="119" t="e">
        <f>Overview!CW9*Overview!$Z9/20*Results_energy_scenarios!$G95</f>
        <v>#REF!</v>
      </c>
      <c r="AH95" s="119" t="e">
        <f>Overview!CX9*Overview!$Z9/20*Results_energy_scenarios!$G95</f>
        <v>#REF!</v>
      </c>
      <c r="AI95" s="119" t="e">
        <f>Overview!CY9*Overview!$Z9/20*Results_energy_scenarios!$G95</f>
        <v>#REF!</v>
      </c>
      <c r="AJ95" s="119" t="e">
        <f>Overview!CZ9*Overview!$Z9/20*Results_energy_scenarios!$G95</f>
        <v>#REF!</v>
      </c>
      <c r="AK95" s="119" t="e">
        <f>Overview!DA9*Overview!$Z9/20*Results_energy_scenarios!$G95</f>
        <v>#REF!</v>
      </c>
      <c r="AL95" s="119" t="e">
        <f>Overview!DB9*Overview!$Z9/20*Results_energy_scenarios!$G95</f>
        <v>#REF!</v>
      </c>
      <c r="AM95" s="119" t="e">
        <f>Overview!DC9*Overview!$Z9/20*Results_energy_scenarios!$G95</f>
        <v>#REF!</v>
      </c>
      <c r="AN95" s="119" t="e">
        <f>Overview!DD9*Overview!$Z9/20*Results_energy_scenarios!$G95</f>
        <v>#REF!</v>
      </c>
      <c r="AO95" s="121" t="e">
        <f>Overview!DE9*Overview!$Z9/20*Results_energy_scenarios!$G95</f>
        <v>#REF!</v>
      </c>
    </row>
    <row r="96" spans="1:41">
      <c r="A96" t="s">
        <v>6</v>
      </c>
      <c r="D96" s="117" t="s">
        <v>81</v>
      </c>
      <c r="E96" s="103"/>
      <c r="F96">
        <f>Overview!I23</f>
        <v>71476.791967814177</v>
      </c>
      <c r="G96" s="103"/>
      <c r="H96" s="103"/>
      <c r="I96" s="94"/>
      <c r="J96" s="99" t="e">
        <f>Overview!AD23*Overview!$AB23*Results_energy_scenarios!$F96</f>
        <v>#REF!</v>
      </c>
      <c r="K96" s="99" t="e">
        <f>Overview!AE23*Overview!$AB23*Results_energy_scenarios!$F96</f>
        <v>#REF!</v>
      </c>
      <c r="L96" s="99" t="e">
        <f>Overview!AF23*Overview!$AB23*Results_energy_scenarios!$F96</f>
        <v>#REF!</v>
      </c>
      <c r="M96" s="99" t="e">
        <f>Overview!AG23*Overview!$AB23*Results_energy_scenarios!$F96</f>
        <v>#REF!</v>
      </c>
      <c r="N96" s="99" t="e">
        <f>Overview!AH23*Overview!$AB23*Results_energy_scenarios!$F96</f>
        <v>#REF!</v>
      </c>
      <c r="O96" s="99" t="e">
        <f>Overview!AI23*Overview!$AB23*Results_energy_scenarios!$F96</f>
        <v>#REF!</v>
      </c>
      <c r="P96" s="99" t="e">
        <f>Overview!AJ23*Overview!$AB23*Results_energy_scenarios!$F96</f>
        <v>#REF!</v>
      </c>
      <c r="Q96" s="99" t="e">
        <f>Overview!AK23*Overview!$AB23*Results_energy_scenarios!$F96</f>
        <v>#REF!</v>
      </c>
      <c r="R96" s="99" t="e">
        <f>Overview!AL23*Overview!$AB23*Results_energy_scenarios!$F96</f>
        <v>#REF!</v>
      </c>
      <c r="S96" s="99" t="e">
        <f>Overview!AM23*Overview!$AB23*Results_energy_scenarios!$F96</f>
        <v>#REF!</v>
      </c>
      <c r="T96" s="99" t="e">
        <f>Overview!AN23*Overview!$AB23*Results_energy_scenarios!$F96</f>
        <v>#REF!</v>
      </c>
      <c r="U96" s="99" t="e">
        <f>Overview!AO23*Overview!$AB23*Results_energy_scenarios!$F96</f>
        <v>#REF!</v>
      </c>
      <c r="V96" s="99" t="e">
        <f>Overview!AP23*Overview!$AB23*Results_energy_scenarios!$F96</f>
        <v>#REF!</v>
      </c>
      <c r="W96" s="99" t="e">
        <f>Overview!AQ23*Overview!$AB23*Results_energy_scenarios!$F96</f>
        <v>#REF!</v>
      </c>
      <c r="X96" s="99" t="e">
        <f>Overview!AR23*Overview!$AB23*Results_energy_scenarios!$F96</f>
        <v>#REF!</v>
      </c>
      <c r="Y96" s="101" t="e">
        <f>Overview!AS23*Overview!$AB23*Results_energy_scenarios!$F96</f>
        <v>#REF!</v>
      </c>
      <c r="Z96" s="99" t="e">
        <f>Overview!CP23*Overview!$AB23*Results_energy_scenarios!$F96</f>
        <v>#REF!</v>
      </c>
      <c r="AA96" s="99" t="e">
        <f>Overview!CQ23*Overview!$AB23*Results_energy_scenarios!$F96</f>
        <v>#REF!</v>
      </c>
      <c r="AB96" s="99" t="e">
        <f>Overview!CR23*Overview!$AB23*Results_energy_scenarios!$F96</f>
        <v>#REF!</v>
      </c>
      <c r="AC96" s="99" t="e">
        <f>Overview!CS23*Overview!$AB23*Results_energy_scenarios!$F96</f>
        <v>#REF!</v>
      </c>
      <c r="AD96" s="99" t="e">
        <f>Overview!CT23*Overview!$AB23*Results_energy_scenarios!$F96</f>
        <v>#REF!</v>
      </c>
      <c r="AE96" s="99" t="e">
        <f>Overview!CU23*Overview!$AB23*Results_energy_scenarios!$F96</f>
        <v>#REF!</v>
      </c>
      <c r="AF96" s="99" t="e">
        <f>Overview!CV23*Overview!$AB23*Results_energy_scenarios!$F96</f>
        <v>#REF!</v>
      </c>
      <c r="AG96" s="99" t="e">
        <f>Overview!CW23*Overview!$AB23*Results_energy_scenarios!$F96</f>
        <v>#REF!</v>
      </c>
      <c r="AH96" s="99" t="e">
        <f>Overview!CX23*Overview!$AB23*Results_energy_scenarios!$F96</f>
        <v>#REF!</v>
      </c>
      <c r="AI96" s="99" t="e">
        <f>Overview!CY23*Overview!$AB23*Results_energy_scenarios!$F96</f>
        <v>#REF!</v>
      </c>
      <c r="AJ96" s="99" t="e">
        <f>Overview!CZ23*Overview!$AB23*Results_energy_scenarios!$F96</f>
        <v>#REF!</v>
      </c>
      <c r="AK96" s="99" t="e">
        <f>Overview!DA23*Overview!$AB23*Results_energy_scenarios!$F96</f>
        <v>#REF!</v>
      </c>
      <c r="AL96" s="99" t="e">
        <f>Overview!DB23*Overview!$AB23*Results_energy_scenarios!$F96</f>
        <v>#REF!</v>
      </c>
      <c r="AM96" s="99" t="e">
        <f>Overview!DC23*Overview!$AB23*Results_energy_scenarios!$F96</f>
        <v>#REF!</v>
      </c>
      <c r="AN96" s="99" t="e">
        <f>Overview!DD23*Overview!$AB23*Results_energy_scenarios!$F96</f>
        <v>#REF!</v>
      </c>
      <c r="AO96" s="101" t="e">
        <f>Overview!DE23*Overview!$AB23*Results_energy_scenarios!$F96</f>
        <v>#REF!</v>
      </c>
    </row>
    <row r="97" spans="1:41">
      <c r="A97" t="s">
        <v>6</v>
      </c>
      <c r="D97" s="117" t="s">
        <v>338</v>
      </c>
      <c r="E97" s="103"/>
      <c r="F97" s="103"/>
      <c r="G97">
        <f>Overview!I26</f>
        <v>533.93813749292747</v>
      </c>
      <c r="H97">
        <f>Overview!E26</f>
        <v>0.12476500485866621</v>
      </c>
      <c r="I97" s="94"/>
      <c r="J97" s="99" t="e">
        <f>Overview!AD26*Overview!$Z26/7*Results_energy_scenarios!$H97</f>
        <v>#REF!</v>
      </c>
      <c r="K97" s="99" t="e">
        <f>Overview!AE26*Overview!$Z26/7*Results_energy_scenarios!$H97</f>
        <v>#REF!</v>
      </c>
      <c r="L97" s="99" t="e">
        <f>Overview!AF26*Overview!$Z26/7*Results_energy_scenarios!$H97</f>
        <v>#REF!</v>
      </c>
      <c r="M97" s="99" t="e">
        <f>Overview!AG26*Overview!$Z26/7*Results_energy_scenarios!$H97</f>
        <v>#REF!</v>
      </c>
      <c r="N97" s="99" t="e">
        <f>Overview!AH26*Overview!$Z26/7*Results_energy_scenarios!$H97</f>
        <v>#REF!</v>
      </c>
      <c r="O97" s="99" t="e">
        <f>Overview!AI26*Overview!$Z26/7*Results_energy_scenarios!$H97</f>
        <v>#REF!</v>
      </c>
      <c r="P97" s="99" t="e">
        <f>Overview!AJ26*Overview!$Z26/7*Results_energy_scenarios!$H97</f>
        <v>#REF!</v>
      </c>
      <c r="Q97" s="99" t="e">
        <f>Overview!AK26*Overview!$Z26/7*Results_energy_scenarios!$H97</f>
        <v>#REF!</v>
      </c>
      <c r="R97" s="99" t="e">
        <f>Overview!AL26*Overview!$Z26/7*Results_energy_scenarios!$H97</f>
        <v>#REF!</v>
      </c>
      <c r="S97" s="99" t="e">
        <f>Overview!AM26*Overview!$Z26/7*Results_energy_scenarios!$H97</f>
        <v>#REF!</v>
      </c>
      <c r="T97" s="99" t="e">
        <f>Overview!AN26*Overview!$Z26/7*Results_energy_scenarios!$H97</f>
        <v>#REF!</v>
      </c>
      <c r="U97" s="99" t="e">
        <f>Overview!AO26*Overview!$Z26/7*Results_energy_scenarios!$H97</f>
        <v>#REF!</v>
      </c>
      <c r="V97" s="99" t="e">
        <f>Overview!AP26*Overview!$Z26/7*Results_energy_scenarios!$H97</f>
        <v>#REF!</v>
      </c>
      <c r="W97" s="99" t="e">
        <f>Overview!AQ26*Overview!$Z26/7*Results_energy_scenarios!$H97</f>
        <v>#REF!</v>
      </c>
      <c r="X97" s="99" t="e">
        <f>Overview!AR26*Overview!$Z26/7*Results_energy_scenarios!$H97</f>
        <v>#REF!</v>
      </c>
      <c r="Y97" s="101" t="e">
        <f>Overview!AS26*Overview!$Z26/7*Results_energy_scenarios!$H97</f>
        <v>#REF!</v>
      </c>
      <c r="Z97" s="99" t="e">
        <f>Overview!CP26*Overview!$Z26/7*Results_energy_scenarios!$H97</f>
        <v>#REF!</v>
      </c>
      <c r="AA97" s="99" t="e">
        <f>Overview!CQ26*Overview!$Z26/7*Results_energy_scenarios!$H97</f>
        <v>#REF!</v>
      </c>
      <c r="AB97" s="99" t="e">
        <f>Overview!CR26*Overview!$Z26/7*Results_energy_scenarios!$H97</f>
        <v>#REF!</v>
      </c>
      <c r="AC97" s="99" t="e">
        <f>Overview!CS26*Overview!$Z26/7*Results_energy_scenarios!$H97</f>
        <v>#REF!</v>
      </c>
      <c r="AD97" s="99" t="e">
        <f>Overview!CT26*Overview!$Z26/7*Results_energy_scenarios!$H97</f>
        <v>#REF!</v>
      </c>
      <c r="AE97" s="99" t="e">
        <f>Overview!CU26*Overview!$Z26/7*Results_energy_scenarios!$H97</f>
        <v>#REF!</v>
      </c>
      <c r="AF97" s="99" t="e">
        <f>Overview!CV26*Overview!$Z26/7*Results_energy_scenarios!$H97</f>
        <v>#REF!</v>
      </c>
      <c r="AG97" s="99" t="e">
        <f>Overview!CW26*Overview!$Z26/7*Results_energy_scenarios!$H97</f>
        <v>#REF!</v>
      </c>
      <c r="AH97" s="99" t="e">
        <f>Overview!CX26*Overview!$Z26/7*Results_energy_scenarios!$H97</f>
        <v>#REF!</v>
      </c>
      <c r="AI97" s="99" t="e">
        <f>Overview!CY26*Overview!$Z26/7*Results_energy_scenarios!$H97</f>
        <v>#REF!</v>
      </c>
      <c r="AJ97" s="99" t="e">
        <f>Overview!CZ26*Overview!$Z26/7*Results_energy_scenarios!$H97</f>
        <v>#REF!</v>
      </c>
      <c r="AK97" s="99" t="e">
        <f>Overview!DA26*Overview!$Z26/7*Results_energy_scenarios!$H97</f>
        <v>#REF!</v>
      </c>
      <c r="AL97" s="99" t="e">
        <f>Overview!DB26*Overview!$Z26/7*Results_energy_scenarios!$H97</f>
        <v>#REF!</v>
      </c>
      <c r="AM97" s="99" t="e">
        <f>Overview!DC26*Overview!$Z26/7*Results_energy_scenarios!$H97</f>
        <v>#REF!</v>
      </c>
      <c r="AN97" s="99" t="e">
        <f>Overview!DD26*Overview!$Z26/7*Results_energy_scenarios!$H97</f>
        <v>#REF!</v>
      </c>
      <c r="AO97" s="101" t="e">
        <f>Overview!DE26*Overview!$Z26/7*Results_energy_scenarios!$H97</f>
        <v>#REF!</v>
      </c>
    </row>
    <row r="98" spans="1:41">
      <c r="A98" t="s">
        <v>6</v>
      </c>
      <c r="D98" s="114" t="s">
        <v>385</v>
      </c>
      <c r="E98" s="103"/>
      <c r="F98" s="103"/>
      <c r="G98">
        <v>36</v>
      </c>
      <c r="H98" s="103"/>
      <c r="I98" s="94"/>
      <c r="J98" s="99" t="e">
        <f>J128*$G98</f>
        <v>#REF!</v>
      </c>
      <c r="K98" s="99" t="e">
        <f t="shared" ref="K98:AO98" si="83">K128*$G98</f>
        <v>#REF!</v>
      </c>
      <c r="L98" s="99" t="e">
        <f t="shared" si="83"/>
        <v>#REF!</v>
      </c>
      <c r="M98" s="99" t="e">
        <f t="shared" si="83"/>
        <v>#REF!</v>
      </c>
      <c r="N98" s="99" t="e">
        <f t="shared" si="83"/>
        <v>#REF!</v>
      </c>
      <c r="O98" s="99" t="e">
        <f t="shared" si="83"/>
        <v>#REF!</v>
      </c>
      <c r="P98" s="99" t="e">
        <f t="shared" si="83"/>
        <v>#REF!</v>
      </c>
      <c r="Q98" s="99" t="e">
        <f t="shared" si="83"/>
        <v>#REF!</v>
      </c>
      <c r="R98" s="99" t="e">
        <f t="shared" si="83"/>
        <v>#REF!</v>
      </c>
      <c r="S98" s="99" t="e">
        <f t="shared" si="83"/>
        <v>#REF!</v>
      </c>
      <c r="T98" s="99" t="e">
        <f t="shared" si="83"/>
        <v>#REF!</v>
      </c>
      <c r="U98" s="99" t="e">
        <f t="shared" si="83"/>
        <v>#REF!</v>
      </c>
      <c r="V98" s="99" t="e">
        <f t="shared" si="83"/>
        <v>#REF!</v>
      </c>
      <c r="W98" s="99" t="e">
        <f t="shared" si="83"/>
        <v>#REF!</v>
      </c>
      <c r="X98" s="99" t="e">
        <f t="shared" si="83"/>
        <v>#REF!</v>
      </c>
      <c r="Y98" s="101" t="e">
        <f t="shared" si="83"/>
        <v>#REF!</v>
      </c>
      <c r="Z98" s="99" t="e">
        <f t="shared" si="83"/>
        <v>#REF!</v>
      </c>
      <c r="AA98" s="99" t="e">
        <f t="shared" si="83"/>
        <v>#REF!</v>
      </c>
      <c r="AB98" s="99" t="e">
        <f t="shared" si="83"/>
        <v>#REF!</v>
      </c>
      <c r="AC98" s="99" t="e">
        <f t="shared" si="83"/>
        <v>#REF!</v>
      </c>
      <c r="AD98" s="99" t="e">
        <f t="shared" si="83"/>
        <v>#REF!</v>
      </c>
      <c r="AE98" s="99" t="e">
        <f t="shared" si="83"/>
        <v>#REF!</v>
      </c>
      <c r="AF98" s="99" t="e">
        <f t="shared" si="83"/>
        <v>#REF!</v>
      </c>
      <c r="AG98" s="99" t="e">
        <f t="shared" si="83"/>
        <v>#REF!</v>
      </c>
      <c r="AH98" s="99" t="e">
        <f t="shared" si="83"/>
        <v>#REF!</v>
      </c>
      <c r="AI98" s="99" t="e">
        <f t="shared" si="83"/>
        <v>#REF!</v>
      </c>
      <c r="AJ98" s="99" t="e">
        <f t="shared" si="83"/>
        <v>#REF!</v>
      </c>
      <c r="AK98" s="99" t="e">
        <f t="shared" si="83"/>
        <v>#REF!</v>
      </c>
      <c r="AL98" s="99" t="e">
        <f t="shared" si="83"/>
        <v>#REF!</v>
      </c>
      <c r="AM98" s="99" t="e">
        <f t="shared" si="83"/>
        <v>#REF!</v>
      </c>
      <c r="AN98" s="99" t="e">
        <f t="shared" si="83"/>
        <v>#REF!</v>
      </c>
      <c r="AO98" s="101" t="e">
        <f t="shared" si="83"/>
        <v>#REF!</v>
      </c>
    </row>
    <row r="99" spans="1:41">
      <c r="A99" t="s">
        <v>6</v>
      </c>
      <c r="D99" s="114" t="s">
        <v>386</v>
      </c>
      <c r="E99" s="103"/>
      <c r="F99" s="103"/>
      <c r="G99">
        <v>744</v>
      </c>
      <c r="H99" s="103"/>
      <c r="I99" s="94"/>
      <c r="J99" s="99" t="e">
        <f>J128*$G99</f>
        <v>#REF!</v>
      </c>
      <c r="K99" s="99" t="e">
        <f t="shared" ref="K99:AO99" si="84">K128*$G99</f>
        <v>#REF!</v>
      </c>
      <c r="L99" s="99" t="e">
        <f t="shared" si="84"/>
        <v>#REF!</v>
      </c>
      <c r="M99" s="99" t="e">
        <f t="shared" si="84"/>
        <v>#REF!</v>
      </c>
      <c r="N99" s="99" t="e">
        <f t="shared" si="84"/>
        <v>#REF!</v>
      </c>
      <c r="O99" s="99" t="e">
        <f t="shared" si="84"/>
        <v>#REF!</v>
      </c>
      <c r="P99" s="99" t="e">
        <f t="shared" si="84"/>
        <v>#REF!</v>
      </c>
      <c r="Q99" s="99" t="e">
        <f t="shared" si="84"/>
        <v>#REF!</v>
      </c>
      <c r="R99" s="99" t="e">
        <f t="shared" si="84"/>
        <v>#REF!</v>
      </c>
      <c r="S99" s="99" t="e">
        <f t="shared" si="84"/>
        <v>#REF!</v>
      </c>
      <c r="T99" s="99" t="e">
        <f t="shared" si="84"/>
        <v>#REF!</v>
      </c>
      <c r="U99" s="99" t="e">
        <f t="shared" si="84"/>
        <v>#REF!</v>
      </c>
      <c r="V99" s="99" t="e">
        <f t="shared" si="84"/>
        <v>#REF!</v>
      </c>
      <c r="W99" s="99" t="e">
        <f t="shared" si="84"/>
        <v>#REF!</v>
      </c>
      <c r="X99" s="99" t="e">
        <f t="shared" si="84"/>
        <v>#REF!</v>
      </c>
      <c r="Y99" s="101" t="e">
        <f t="shared" si="84"/>
        <v>#REF!</v>
      </c>
      <c r="Z99" s="99" t="e">
        <f t="shared" si="84"/>
        <v>#REF!</v>
      </c>
      <c r="AA99" s="99" t="e">
        <f t="shared" si="84"/>
        <v>#REF!</v>
      </c>
      <c r="AB99" s="99" t="e">
        <f t="shared" si="84"/>
        <v>#REF!</v>
      </c>
      <c r="AC99" s="99" t="e">
        <f t="shared" si="84"/>
        <v>#REF!</v>
      </c>
      <c r="AD99" s="99" t="e">
        <f t="shared" si="84"/>
        <v>#REF!</v>
      </c>
      <c r="AE99" s="99" t="e">
        <f t="shared" si="84"/>
        <v>#REF!</v>
      </c>
      <c r="AF99" s="99" t="e">
        <f t="shared" si="84"/>
        <v>#REF!</v>
      </c>
      <c r="AG99" s="99" t="e">
        <f t="shared" si="84"/>
        <v>#REF!</v>
      </c>
      <c r="AH99" s="99" t="e">
        <f t="shared" si="84"/>
        <v>#REF!</v>
      </c>
      <c r="AI99" s="99" t="e">
        <f t="shared" si="84"/>
        <v>#REF!</v>
      </c>
      <c r="AJ99" s="99" t="e">
        <f t="shared" si="84"/>
        <v>#REF!</v>
      </c>
      <c r="AK99" s="99" t="e">
        <f t="shared" si="84"/>
        <v>#REF!</v>
      </c>
      <c r="AL99" s="99" t="e">
        <f t="shared" si="84"/>
        <v>#REF!</v>
      </c>
      <c r="AM99" s="99" t="e">
        <f t="shared" si="84"/>
        <v>#REF!</v>
      </c>
      <c r="AN99" s="99" t="e">
        <f t="shared" si="84"/>
        <v>#REF!</v>
      </c>
      <c r="AO99" s="101" t="e">
        <f t="shared" si="84"/>
        <v>#REF!</v>
      </c>
    </row>
    <row r="100" spans="1:41">
      <c r="A100" t="s">
        <v>6</v>
      </c>
      <c r="D100" s="112" t="s">
        <v>358</v>
      </c>
      <c r="E100" s="103"/>
      <c r="F100" s="103"/>
      <c r="G100">
        <v>107</v>
      </c>
      <c r="H100">
        <f>Overview!E35/Overview!I35*Results_energy_scenarios!G100</f>
        <v>2.8378873150489543E-2</v>
      </c>
      <c r="I100" s="94"/>
      <c r="J100" s="99" t="e">
        <f>Overview!AD35*Overview!$Z35/20*Results_energy_scenarios!$H100</f>
        <v>#REF!</v>
      </c>
      <c r="K100" s="99" t="e">
        <f>Overview!AE35*Overview!$Z35/20*Results_energy_scenarios!$H100</f>
        <v>#REF!</v>
      </c>
      <c r="L100" s="99" t="e">
        <f>Overview!AF35*Overview!$Z35/20*Results_energy_scenarios!$H100</f>
        <v>#REF!</v>
      </c>
      <c r="M100" s="99" t="e">
        <f>Overview!AG35*Overview!$Z35/20*Results_energy_scenarios!$H100</f>
        <v>#REF!</v>
      </c>
      <c r="N100" s="99" t="e">
        <f>Overview!AH35*Overview!$Z35/20*Results_energy_scenarios!$H100</f>
        <v>#REF!</v>
      </c>
      <c r="O100" s="99" t="e">
        <f>Overview!AI35*Overview!$Z35/20*Results_energy_scenarios!$H100</f>
        <v>#REF!</v>
      </c>
      <c r="P100" s="99" t="e">
        <f>Overview!AJ35*Overview!$Z35/20*Results_energy_scenarios!$H100</f>
        <v>#REF!</v>
      </c>
      <c r="Q100" s="99" t="e">
        <f>Overview!AK35*Overview!$Z35/20*Results_energy_scenarios!$H100</f>
        <v>#REF!</v>
      </c>
      <c r="R100" s="99" t="e">
        <f>Overview!AL35*Overview!$Z35/20*Results_energy_scenarios!$H100</f>
        <v>#REF!</v>
      </c>
      <c r="S100" s="99" t="e">
        <f>Overview!AM35*Overview!$Z35/20*Results_energy_scenarios!$H100</f>
        <v>#REF!</v>
      </c>
      <c r="T100" s="99" t="e">
        <f>Overview!AN35*Overview!$Z35/20*Results_energy_scenarios!$H100</f>
        <v>#REF!</v>
      </c>
      <c r="U100" s="99" t="e">
        <f>Overview!AO35*Overview!$Z35/20*Results_energy_scenarios!$H100</f>
        <v>#REF!</v>
      </c>
      <c r="V100" s="99" t="e">
        <f>Overview!AP35*Overview!$Z35/20*Results_energy_scenarios!$H100</f>
        <v>#REF!</v>
      </c>
      <c r="W100" s="99" t="e">
        <f>Overview!AQ35*Overview!$Z35/20*Results_energy_scenarios!$H100</f>
        <v>#REF!</v>
      </c>
      <c r="X100" s="99" t="e">
        <f>Overview!AR35*Overview!$Z35/20*Results_energy_scenarios!$H100</f>
        <v>#REF!</v>
      </c>
      <c r="Y100" s="101" t="e">
        <f>Overview!AS35*Overview!$Z35/20*Results_energy_scenarios!$H100</f>
        <v>#REF!</v>
      </c>
      <c r="Z100" s="99" t="e">
        <f>Overview!CP35*Overview!$Z35/20*Results_energy_scenarios!$H100</f>
        <v>#REF!</v>
      </c>
      <c r="AA100" s="99" t="e">
        <f>Overview!CQ35*Overview!$Z35/20*Results_energy_scenarios!$H100</f>
        <v>#REF!</v>
      </c>
      <c r="AB100" s="99" t="e">
        <f>Overview!CR35*Overview!$Z35/20*Results_energy_scenarios!$H100</f>
        <v>#REF!</v>
      </c>
      <c r="AC100" s="99" t="e">
        <f>Overview!CS35*Overview!$Z35/20*Results_energy_scenarios!$H100</f>
        <v>#REF!</v>
      </c>
      <c r="AD100" s="99" t="e">
        <f>Overview!CT35*Overview!$Z35/20*Results_energy_scenarios!$H100</f>
        <v>#REF!</v>
      </c>
      <c r="AE100" s="99" t="e">
        <f>Overview!CU35*Overview!$Z35/20*Results_energy_scenarios!$H100</f>
        <v>#REF!</v>
      </c>
      <c r="AF100" s="99" t="e">
        <f>Overview!CV35*Overview!$Z35/20*Results_energy_scenarios!$H100</f>
        <v>#REF!</v>
      </c>
      <c r="AG100" s="99" t="e">
        <f>Overview!CW35*Overview!$Z35/20*Results_energy_scenarios!$H100</f>
        <v>#REF!</v>
      </c>
      <c r="AH100" s="99" t="e">
        <f>Overview!CX35*Overview!$Z35/20*Results_energy_scenarios!$H100</f>
        <v>#REF!</v>
      </c>
      <c r="AI100" s="99" t="e">
        <f>Overview!CY35*Overview!$Z35/20*Results_energy_scenarios!$H100</f>
        <v>#REF!</v>
      </c>
      <c r="AJ100" s="99" t="e">
        <f>Overview!CZ35*Overview!$Z35/20*Results_energy_scenarios!$H100</f>
        <v>#REF!</v>
      </c>
      <c r="AK100" s="99" t="e">
        <f>Overview!DA35*Overview!$Z35/20*Results_energy_scenarios!$H100</f>
        <v>#REF!</v>
      </c>
      <c r="AL100" s="99" t="e">
        <f>Overview!DB35*Overview!$Z35/20*Results_energy_scenarios!$H100</f>
        <v>#REF!</v>
      </c>
      <c r="AM100" s="99" t="e">
        <f>Overview!DC35*Overview!$Z35/20*Results_energy_scenarios!$H100</f>
        <v>#REF!</v>
      </c>
      <c r="AN100" s="99" t="e">
        <f>Overview!DD35*Overview!$Z35/20*Results_energy_scenarios!$H100</f>
        <v>#REF!</v>
      </c>
      <c r="AO100" s="101" t="e">
        <f>Overview!DE35*Overview!$Z35/20*Results_energy_scenarios!$H100</f>
        <v>#REF!</v>
      </c>
    </row>
    <row r="101" spans="1:41">
      <c r="A101" s="151" t="s">
        <v>6</v>
      </c>
      <c r="B101" s="151"/>
      <c r="C101" s="151"/>
      <c r="D101" s="152" t="s">
        <v>378</v>
      </c>
      <c r="E101" s="153"/>
      <c r="F101" s="153"/>
      <c r="G101" s="151">
        <f>9688/Overview!I35*Results_energy_scenarios!G100</f>
        <v>25.118036802229948</v>
      </c>
      <c r="H101" s="153"/>
      <c r="I101" s="169"/>
      <c r="J101" s="154" t="e">
        <f>J128*$G101</f>
        <v>#REF!</v>
      </c>
      <c r="K101" s="154" t="e">
        <f t="shared" ref="K101:AO101" si="85">K128*$G101</f>
        <v>#REF!</v>
      </c>
      <c r="L101" s="154" t="e">
        <f t="shared" si="85"/>
        <v>#REF!</v>
      </c>
      <c r="M101" s="154" t="e">
        <f t="shared" si="85"/>
        <v>#REF!</v>
      </c>
      <c r="N101" s="154" t="e">
        <f t="shared" si="85"/>
        <v>#REF!</v>
      </c>
      <c r="O101" s="154" t="e">
        <f t="shared" si="85"/>
        <v>#REF!</v>
      </c>
      <c r="P101" s="154" t="e">
        <f t="shared" si="85"/>
        <v>#REF!</v>
      </c>
      <c r="Q101" s="154" t="e">
        <f t="shared" si="85"/>
        <v>#REF!</v>
      </c>
      <c r="R101" s="154" t="e">
        <f t="shared" si="85"/>
        <v>#REF!</v>
      </c>
      <c r="S101" s="154" t="e">
        <f t="shared" si="85"/>
        <v>#REF!</v>
      </c>
      <c r="T101" s="154" t="e">
        <f t="shared" si="85"/>
        <v>#REF!</v>
      </c>
      <c r="U101" s="154" t="e">
        <f t="shared" si="85"/>
        <v>#REF!</v>
      </c>
      <c r="V101" s="154" t="e">
        <f t="shared" si="85"/>
        <v>#REF!</v>
      </c>
      <c r="W101" s="154" t="e">
        <f t="shared" si="85"/>
        <v>#REF!</v>
      </c>
      <c r="X101" s="154" t="e">
        <f t="shared" si="85"/>
        <v>#REF!</v>
      </c>
      <c r="Y101" s="155" t="e">
        <f t="shared" si="85"/>
        <v>#REF!</v>
      </c>
      <c r="Z101" s="154" t="e">
        <f t="shared" si="85"/>
        <v>#REF!</v>
      </c>
      <c r="AA101" s="154" t="e">
        <f t="shared" si="85"/>
        <v>#REF!</v>
      </c>
      <c r="AB101" s="154" t="e">
        <f t="shared" si="85"/>
        <v>#REF!</v>
      </c>
      <c r="AC101" s="154" t="e">
        <f t="shared" si="85"/>
        <v>#REF!</v>
      </c>
      <c r="AD101" s="154" t="e">
        <f t="shared" si="85"/>
        <v>#REF!</v>
      </c>
      <c r="AE101" s="154" t="e">
        <f t="shared" si="85"/>
        <v>#REF!</v>
      </c>
      <c r="AF101" s="154" t="e">
        <f t="shared" si="85"/>
        <v>#REF!</v>
      </c>
      <c r="AG101" s="154" t="e">
        <f t="shared" si="85"/>
        <v>#REF!</v>
      </c>
      <c r="AH101" s="154" t="e">
        <f t="shared" si="85"/>
        <v>#REF!</v>
      </c>
      <c r="AI101" s="154" t="e">
        <f t="shared" si="85"/>
        <v>#REF!</v>
      </c>
      <c r="AJ101" s="154" t="e">
        <f t="shared" si="85"/>
        <v>#REF!</v>
      </c>
      <c r="AK101" s="154" t="e">
        <f t="shared" si="85"/>
        <v>#REF!</v>
      </c>
      <c r="AL101" s="154" t="e">
        <f t="shared" si="85"/>
        <v>#REF!</v>
      </c>
      <c r="AM101" s="154" t="e">
        <f t="shared" si="85"/>
        <v>#REF!</v>
      </c>
      <c r="AN101" s="154" t="e">
        <f t="shared" si="85"/>
        <v>#REF!</v>
      </c>
      <c r="AO101" s="155" t="e">
        <f t="shared" si="85"/>
        <v>#REF!</v>
      </c>
    </row>
    <row r="102" spans="1:41" ht="16" customHeight="1">
      <c r="A102" t="s">
        <v>6</v>
      </c>
      <c r="B102" t="s">
        <v>361</v>
      </c>
      <c r="C102" t="s">
        <v>357</v>
      </c>
      <c r="D102" s="113" t="s">
        <v>339</v>
      </c>
      <c r="E102" s="103"/>
      <c r="F102" s="103"/>
      <c r="G102">
        <v>21455</v>
      </c>
      <c r="H102" s="103"/>
      <c r="J102" s="100" t="e">
        <f>Overview!AD5*Overview!$Z5*$G102</f>
        <v>#REF!</v>
      </c>
      <c r="K102" s="99" t="e">
        <f>Overview!AE5*Overview!$Z5*$G102</f>
        <v>#REF!</v>
      </c>
      <c r="L102" s="99" t="e">
        <f>Overview!AF5*Overview!$Z5*$G102</f>
        <v>#REF!</v>
      </c>
      <c r="M102" s="99" t="e">
        <f>Overview!AG5*Overview!$Z5*$G102</f>
        <v>#REF!</v>
      </c>
      <c r="N102" s="99" t="e">
        <f>Overview!AH5*Overview!$Z5*$G102</f>
        <v>#REF!</v>
      </c>
      <c r="O102" s="99" t="e">
        <f>Overview!AI5*Overview!$Z5*$G102</f>
        <v>#REF!</v>
      </c>
      <c r="P102" s="99" t="e">
        <f>Overview!AJ5*Overview!$Z5*$G102</f>
        <v>#REF!</v>
      </c>
      <c r="Q102" s="99" t="e">
        <f>Overview!AK5*Overview!$Z5*$G102</f>
        <v>#REF!</v>
      </c>
      <c r="R102" s="99" t="e">
        <f>Overview!AL5*Overview!$Z5*$G102</f>
        <v>#REF!</v>
      </c>
      <c r="S102" s="99" t="e">
        <f>Overview!AM5*Overview!$Z5*$G102</f>
        <v>#REF!</v>
      </c>
      <c r="T102" s="99" t="e">
        <f>Overview!AN5*Overview!$Z5*$G102</f>
        <v>#REF!</v>
      </c>
      <c r="U102" s="99" t="e">
        <f>Overview!AO5*Overview!$Z5*$G102</f>
        <v>#REF!</v>
      </c>
      <c r="V102" s="99" t="e">
        <f>Overview!AP5*Overview!$Z5*$G102</f>
        <v>#REF!</v>
      </c>
      <c r="W102" s="99" t="e">
        <f>Overview!AQ5*Overview!$Z5*$G102</f>
        <v>#REF!</v>
      </c>
      <c r="X102" s="99" t="e">
        <f>Overview!AR5*Overview!$Z5*$G102</f>
        <v>#REF!</v>
      </c>
      <c r="Y102" s="99" t="e">
        <f>Overview!AS5*Overview!$Z5*$G102</f>
        <v>#REF!</v>
      </c>
      <c r="Z102" s="100" t="e">
        <f>Overview!CP5*Overview!$Z5*$G102</f>
        <v>#REF!</v>
      </c>
      <c r="AA102" s="99" t="e">
        <f>Overview!CQ5*Overview!$Z5*$G102</f>
        <v>#REF!</v>
      </c>
      <c r="AB102" s="99" t="e">
        <f>Overview!CR5*Overview!$Z5*$G102</f>
        <v>#REF!</v>
      </c>
      <c r="AC102" s="99" t="e">
        <f>Overview!CS5*Overview!$Z5*$G102</f>
        <v>#REF!</v>
      </c>
      <c r="AD102" s="99" t="e">
        <f>Overview!CT5*Overview!$Z5*$G102</f>
        <v>#REF!</v>
      </c>
      <c r="AE102" s="99" t="e">
        <f>Overview!CU5*Overview!$Z5*$G102</f>
        <v>#REF!</v>
      </c>
      <c r="AF102" s="99" t="e">
        <f>Overview!CV5*Overview!$Z5*$G102</f>
        <v>#REF!</v>
      </c>
      <c r="AG102" s="99" t="e">
        <f>Overview!CW5*Overview!$Z5*$G102</f>
        <v>#REF!</v>
      </c>
      <c r="AH102" s="99" t="e">
        <f>Overview!CX5*Overview!$Z5*$G102</f>
        <v>#REF!</v>
      </c>
      <c r="AI102" s="99" t="e">
        <f>Overview!CY5*Overview!$Z5*$G102</f>
        <v>#REF!</v>
      </c>
      <c r="AJ102" s="99" t="e">
        <f>Overview!CZ5*Overview!$Z5*$G102</f>
        <v>#REF!</v>
      </c>
      <c r="AK102" s="99" t="e">
        <f>Overview!DA5*Overview!$Z5*$G102</f>
        <v>#REF!</v>
      </c>
      <c r="AL102" s="99" t="e">
        <f>Overview!DB5*Overview!$Z5*$G102</f>
        <v>#REF!</v>
      </c>
      <c r="AM102" s="99" t="e">
        <f>Overview!DC5*Overview!$Z5*$G102</f>
        <v>#REF!</v>
      </c>
      <c r="AN102" s="99" t="e">
        <f>Overview!DD5*Overview!$Z5*$G102</f>
        <v>#REF!</v>
      </c>
      <c r="AO102" s="101" t="e">
        <f>Overview!DE5*Overview!$Z5*$G102</f>
        <v>#REF!</v>
      </c>
    </row>
    <row r="103" spans="1:41" ht="16" customHeight="1">
      <c r="A103" t="s">
        <v>6</v>
      </c>
      <c r="B103" t="s">
        <v>361</v>
      </c>
      <c r="C103" t="s">
        <v>357</v>
      </c>
      <c r="D103" s="113" t="s">
        <v>340</v>
      </c>
      <c r="E103" s="103"/>
      <c r="F103" s="103"/>
      <c r="G103">
        <v>18237</v>
      </c>
      <c r="H103">
        <f>Overview!E10</f>
        <v>5.3391327540755711</v>
      </c>
      <c r="I103" s="170">
        <f>G103/G114</f>
        <v>0.25604054642200291</v>
      </c>
      <c r="J103" s="99" t="e">
        <f>Overview!AD10*Overview!$Z10/17*Results_energy_scenarios!$H103</f>
        <v>#REF!</v>
      </c>
      <c r="K103" s="99" t="e">
        <f>Overview!AE10*Overview!$Z10/17*Results_energy_scenarios!$H103</f>
        <v>#REF!</v>
      </c>
      <c r="L103" s="99" t="e">
        <f>Overview!AF10*Overview!$Z10/17*Results_energy_scenarios!$H103</f>
        <v>#REF!</v>
      </c>
      <c r="M103" s="99" t="e">
        <f>Overview!AG10*Overview!$Z10/17*Results_energy_scenarios!$H103</f>
        <v>#REF!</v>
      </c>
      <c r="N103" s="99" t="e">
        <f>Overview!AH10*Overview!$Z10/17*Results_energy_scenarios!$H103</f>
        <v>#REF!</v>
      </c>
      <c r="O103" s="99" t="e">
        <f>Overview!AI10*Overview!$Z10/17*Results_energy_scenarios!$H103</f>
        <v>#REF!</v>
      </c>
      <c r="P103" s="99" t="e">
        <f>Overview!AJ10*Overview!$Z10/17*Results_energy_scenarios!$H103</f>
        <v>#REF!</v>
      </c>
      <c r="Q103" s="99" t="e">
        <f>Overview!AK10*Overview!$Z10/17*Results_energy_scenarios!$H103</f>
        <v>#REF!</v>
      </c>
      <c r="R103" s="99" t="e">
        <f>Overview!AL10*Overview!$Z10/17*Results_energy_scenarios!$H103</f>
        <v>#REF!</v>
      </c>
      <c r="S103" s="99" t="e">
        <f>Overview!AM10*Overview!$Z10/17*Results_energy_scenarios!$H103</f>
        <v>#REF!</v>
      </c>
      <c r="T103" s="99" t="e">
        <f>Overview!AN10*Overview!$Z10/17*Results_energy_scenarios!$H103</f>
        <v>#REF!</v>
      </c>
      <c r="U103" s="99" t="e">
        <f>Overview!AO10*Overview!$Z10/17*Results_energy_scenarios!$H103</f>
        <v>#REF!</v>
      </c>
      <c r="V103" s="99" t="e">
        <f>Overview!AP10*Overview!$Z10/17*Results_energy_scenarios!$H103</f>
        <v>#REF!</v>
      </c>
      <c r="W103" s="99" t="e">
        <f>Overview!AQ10*Overview!$Z10/17*Results_energy_scenarios!$H103</f>
        <v>#REF!</v>
      </c>
      <c r="X103" s="99" t="e">
        <f>Overview!AR10*Overview!$Z10/17*Results_energy_scenarios!$H103</f>
        <v>#REF!</v>
      </c>
      <c r="Y103" s="99" t="e">
        <f>Overview!AS10*Overview!$Z10/17*Results_energy_scenarios!$H103</f>
        <v>#REF!</v>
      </c>
      <c r="Z103" s="100" t="e">
        <f>Overview!CP10*Overview!$Z10/17*Results_energy_scenarios!$H103</f>
        <v>#REF!</v>
      </c>
      <c r="AA103" s="99" t="e">
        <f>Overview!CQ10*Overview!$Z10/17*Results_energy_scenarios!$H103</f>
        <v>#REF!</v>
      </c>
      <c r="AB103" s="99" t="e">
        <f>Overview!CR10*Overview!$Z10/17*Results_energy_scenarios!$H103</f>
        <v>#REF!</v>
      </c>
      <c r="AC103" s="99" t="e">
        <f>Overview!CS10*Overview!$Z10/17*Results_energy_scenarios!$H103</f>
        <v>#REF!</v>
      </c>
      <c r="AD103" s="99" t="e">
        <f>Overview!CT10*Overview!$Z10/17*Results_energy_scenarios!$H103</f>
        <v>#REF!</v>
      </c>
      <c r="AE103" s="99" t="e">
        <f>Overview!CU10*Overview!$Z10/17*Results_energy_scenarios!$H103</f>
        <v>#REF!</v>
      </c>
      <c r="AF103" s="99" t="e">
        <f>Overview!CV10*Overview!$Z10/17*Results_energy_scenarios!$H103</f>
        <v>#REF!</v>
      </c>
      <c r="AG103" s="99" t="e">
        <f>Overview!CW10*Overview!$Z10/17*Results_energy_scenarios!$H103</f>
        <v>#REF!</v>
      </c>
      <c r="AH103" s="99" t="e">
        <f>Overview!CX10*Overview!$Z10/17*Results_energy_scenarios!$H103</f>
        <v>#REF!</v>
      </c>
      <c r="AI103" s="99" t="e">
        <f>Overview!CY10*Overview!$Z10/17*Results_energy_scenarios!$H103</f>
        <v>#REF!</v>
      </c>
      <c r="AJ103" s="99" t="e">
        <f>Overview!CZ10*Overview!$Z10/17*Results_energy_scenarios!$H103</f>
        <v>#REF!</v>
      </c>
      <c r="AK103" s="99" t="e">
        <f>Overview!DA10*Overview!$Z10/17*Results_energy_scenarios!$H103</f>
        <v>#REF!</v>
      </c>
      <c r="AL103" s="99" t="e">
        <f>Overview!DB10*Overview!$Z10/17*Results_energy_scenarios!$H103</f>
        <v>#REF!</v>
      </c>
      <c r="AM103" s="99" t="e">
        <f>Overview!DC10*Overview!$Z10/17*Results_energy_scenarios!$H103</f>
        <v>#REF!</v>
      </c>
      <c r="AN103" s="99" t="e">
        <f>Overview!DD10*Overview!$Z10/17*Results_energy_scenarios!$H103</f>
        <v>#REF!</v>
      </c>
      <c r="AO103" s="101" t="e">
        <f>Overview!DE10*Overview!$Z10/17*Results_energy_scenarios!$H103</f>
        <v>#REF!</v>
      </c>
    </row>
    <row r="104" spans="1:41">
      <c r="A104" t="s">
        <v>6</v>
      </c>
      <c r="B104" t="s">
        <v>361</v>
      </c>
      <c r="C104" t="s">
        <v>357</v>
      </c>
      <c r="D104" s="112" t="s">
        <v>358</v>
      </c>
      <c r="E104" s="103"/>
      <c r="F104" s="103"/>
      <c r="G104">
        <f>energy_data_per_scenario!L27*1000</f>
        <v>36870</v>
      </c>
      <c r="H104">
        <f>Overview!E35/Overview!I35*Results_energy_scenarios!G104</f>
        <v>9.7787761968088738</v>
      </c>
      <c r="I104" s="177">
        <f>G104/G114</f>
        <v>0.51764078228761568</v>
      </c>
      <c r="J104" s="99" t="e">
        <f>Overview!AD35*Overview!$Z35/20*Results_energy_scenarios!$H104</f>
        <v>#REF!</v>
      </c>
      <c r="K104" s="99" t="e">
        <f>Overview!AE35*Overview!$Z35/20*Results_energy_scenarios!$H104</f>
        <v>#REF!</v>
      </c>
      <c r="L104" s="99" t="e">
        <f>Overview!AF35*Overview!$Z35/20*Results_energy_scenarios!$H104</f>
        <v>#REF!</v>
      </c>
      <c r="M104" s="99" t="e">
        <f>Overview!AG35*Overview!$Z35/20*Results_energy_scenarios!$H104</f>
        <v>#REF!</v>
      </c>
      <c r="N104" s="99" t="e">
        <f>Overview!AH35*Overview!$Z35/20*Results_energy_scenarios!$H104</f>
        <v>#REF!</v>
      </c>
      <c r="O104" s="99" t="e">
        <f>Overview!AI35*Overview!$Z35/20*Results_energy_scenarios!$H104</f>
        <v>#REF!</v>
      </c>
      <c r="P104" s="99" t="e">
        <f>Overview!AJ35*Overview!$Z35/20*Results_energy_scenarios!$H104</f>
        <v>#REF!</v>
      </c>
      <c r="Q104" s="99" t="e">
        <f>Overview!AK35*Overview!$Z35/20*Results_energy_scenarios!$H104</f>
        <v>#REF!</v>
      </c>
      <c r="R104" s="99" t="e">
        <f>Overview!AL35*Overview!$Z35/20*Results_energy_scenarios!$H104</f>
        <v>#REF!</v>
      </c>
      <c r="S104" s="99" t="e">
        <f>Overview!AM35*Overview!$Z35/20*Results_energy_scenarios!$H104</f>
        <v>#REF!</v>
      </c>
      <c r="T104" s="99" t="e">
        <f>Overview!AN35*Overview!$Z35/20*Results_energy_scenarios!$H104</f>
        <v>#REF!</v>
      </c>
      <c r="U104" s="99" t="e">
        <f>Overview!AO35*Overview!$Z35/20*Results_energy_scenarios!$H104</f>
        <v>#REF!</v>
      </c>
      <c r="V104" s="99" t="e">
        <f>Overview!AP35*Overview!$Z35/20*Results_energy_scenarios!$H104</f>
        <v>#REF!</v>
      </c>
      <c r="W104" s="99" t="e">
        <f>Overview!AQ35*Overview!$Z35/20*Results_energy_scenarios!$H104</f>
        <v>#REF!</v>
      </c>
      <c r="X104" s="99" t="e">
        <f>Overview!AR35*Overview!$Z35/20*Results_energy_scenarios!$H104</f>
        <v>#REF!</v>
      </c>
      <c r="Y104" s="101" t="e">
        <f>Overview!AS35*Overview!$Z35/20*Results_energy_scenarios!$H104</f>
        <v>#REF!</v>
      </c>
      <c r="Z104" s="99" t="e">
        <f>Overview!CP35*Overview!$Z35/20*Results_energy_scenarios!$H104</f>
        <v>#REF!</v>
      </c>
      <c r="AA104" s="99" t="e">
        <f>Overview!CQ35*Overview!$Z35/20*Results_energy_scenarios!$H104</f>
        <v>#REF!</v>
      </c>
      <c r="AB104" s="99" t="e">
        <f>Overview!CR35*Overview!$Z35/20*Results_energy_scenarios!$H104</f>
        <v>#REF!</v>
      </c>
      <c r="AC104" s="99" t="e">
        <f>Overview!CS35*Overview!$Z35/20*Results_energy_scenarios!$H104</f>
        <v>#REF!</v>
      </c>
      <c r="AD104" s="99" t="e">
        <f>Overview!CT35*Overview!$Z35/20*Results_energy_scenarios!$H104</f>
        <v>#REF!</v>
      </c>
      <c r="AE104" s="99" t="e">
        <f>Overview!CU35*Overview!$Z35/20*Results_energy_scenarios!$H104</f>
        <v>#REF!</v>
      </c>
      <c r="AF104" s="99" t="e">
        <f>Overview!CV35*Overview!$Z35/20*Results_energy_scenarios!$H104</f>
        <v>#REF!</v>
      </c>
      <c r="AG104" s="99" t="e">
        <f>Overview!CW35*Overview!$Z35/20*Results_energy_scenarios!$H104</f>
        <v>#REF!</v>
      </c>
      <c r="AH104" s="99" t="e">
        <f>Overview!CX35*Overview!$Z35/20*Results_energy_scenarios!$H104</f>
        <v>#REF!</v>
      </c>
      <c r="AI104" s="99" t="e">
        <f>Overview!CY35*Overview!$Z35/20*Results_energy_scenarios!$H104</f>
        <v>#REF!</v>
      </c>
      <c r="AJ104" s="99" t="e">
        <f>Overview!CZ35*Overview!$Z35/20*Results_energy_scenarios!$H104</f>
        <v>#REF!</v>
      </c>
      <c r="AK104" s="99" t="e">
        <f>Overview!DA35*Overview!$Z35/20*Results_energy_scenarios!$H104</f>
        <v>#REF!</v>
      </c>
      <c r="AL104" s="99" t="e">
        <f>Overview!DB35*Overview!$Z35/20*Results_energy_scenarios!$H104</f>
        <v>#REF!</v>
      </c>
      <c r="AM104" s="99" t="e">
        <f>Overview!DC35*Overview!$Z35/20*Results_energy_scenarios!$H104</f>
        <v>#REF!</v>
      </c>
      <c r="AN104" s="99" t="e">
        <f>Overview!DD35*Overview!$Z35/20*Results_energy_scenarios!$H104</f>
        <v>#REF!</v>
      </c>
      <c r="AO104" s="101" t="e">
        <f>Overview!DE35*Overview!$Z35/20*Results_energy_scenarios!$H104</f>
        <v>#REF!</v>
      </c>
    </row>
    <row r="105" spans="1:41">
      <c r="A105" t="s">
        <v>6</v>
      </c>
      <c r="B105" t="s">
        <v>361</v>
      </c>
      <c r="C105" t="s">
        <v>357</v>
      </c>
      <c r="D105" s="114" t="s">
        <v>378</v>
      </c>
      <c r="E105" s="103"/>
      <c r="F105" s="103"/>
      <c r="G105">
        <f>9688/Overview!I35*Results_energy_scenarios!G104</f>
        <v>8655.1590364319454</v>
      </c>
      <c r="H105" s="103"/>
      <c r="I105" s="177"/>
      <c r="J105" s="99" t="e">
        <f>$G105*J$128</f>
        <v>#REF!</v>
      </c>
      <c r="K105" s="99" t="e">
        <f t="shared" ref="K105:AO105" si="86">$G105*K$128</f>
        <v>#REF!</v>
      </c>
      <c r="L105" s="99" t="e">
        <f t="shared" si="86"/>
        <v>#REF!</v>
      </c>
      <c r="M105" s="99" t="e">
        <f t="shared" si="86"/>
        <v>#REF!</v>
      </c>
      <c r="N105" s="99" t="e">
        <f t="shared" si="86"/>
        <v>#REF!</v>
      </c>
      <c r="O105" s="99" t="e">
        <f t="shared" si="86"/>
        <v>#REF!</v>
      </c>
      <c r="P105" s="99" t="e">
        <f t="shared" si="86"/>
        <v>#REF!</v>
      </c>
      <c r="Q105" s="99" t="e">
        <f t="shared" si="86"/>
        <v>#REF!</v>
      </c>
      <c r="R105" s="99" t="e">
        <f t="shared" si="86"/>
        <v>#REF!</v>
      </c>
      <c r="S105" s="99" t="e">
        <f t="shared" si="86"/>
        <v>#REF!</v>
      </c>
      <c r="T105" s="99" t="e">
        <f t="shared" si="86"/>
        <v>#REF!</v>
      </c>
      <c r="U105" s="99" t="e">
        <f t="shared" si="86"/>
        <v>#REF!</v>
      </c>
      <c r="V105" s="99" t="e">
        <f t="shared" si="86"/>
        <v>#REF!</v>
      </c>
      <c r="W105" s="99" t="e">
        <f t="shared" si="86"/>
        <v>#REF!</v>
      </c>
      <c r="X105" s="99" t="e">
        <f t="shared" si="86"/>
        <v>#REF!</v>
      </c>
      <c r="Y105" s="101" t="e">
        <f t="shared" si="86"/>
        <v>#REF!</v>
      </c>
      <c r="Z105" s="99" t="e">
        <f t="shared" si="86"/>
        <v>#REF!</v>
      </c>
      <c r="AA105" s="99" t="e">
        <f t="shared" si="86"/>
        <v>#REF!</v>
      </c>
      <c r="AB105" s="99" t="e">
        <f t="shared" si="86"/>
        <v>#REF!</v>
      </c>
      <c r="AC105" s="99" t="e">
        <f t="shared" si="86"/>
        <v>#REF!</v>
      </c>
      <c r="AD105" s="99" t="e">
        <f t="shared" si="86"/>
        <v>#REF!</v>
      </c>
      <c r="AE105" s="99" t="e">
        <f t="shared" si="86"/>
        <v>#REF!</v>
      </c>
      <c r="AF105" s="99" t="e">
        <f t="shared" si="86"/>
        <v>#REF!</v>
      </c>
      <c r="AG105" s="99" t="e">
        <f t="shared" si="86"/>
        <v>#REF!</v>
      </c>
      <c r="AH105" s="99" t="e">
        <f t="shared" si="86"/>
        <v>#REF!</v>
      </c>
      <c r="AI105" s="99" t="e">
        <f t="shared" si="86"/>
        <v>#REF!</v>
      </c>
      <c r="AJ105" s="99" t="e">
        <f t="shared" si="86"/>
        <v>#REF!</v>
      </c>
      <c r="AK105" s="99" t="e">
        <f t="shared" si="86"/>
        <v>#REF!</v>
      </c>
      <c r="AL105" s="99" t="e">
        <f t="shared" si="86"/>
        <v>#REF!</v>
      </c>
      <c r="AM105" s="99" t="e">
        <f t="shared" si="86"/>
        <v>#REF!</v>
      </c>
      <c r="AN105" s="99" t="e">
        <f t="shared" si="86"/>
        <v>#REF!</v>
      </c>
      <c r="AO105" s="101" t="e">
        <f t="shared" si="86"/>
        <v>#REF!</v>
      </c>
    </row>
    <row r="106" spans="1:41">
      <c r="A106" t="s">
        <v>6</v>
      </c>
      <c r="B106" t="s">
        <v>361</v>
      </c>
      <c r="C106" t="s">
        <v>357</v>
      </c>
      <c r="D106" s="115" t="s">
        <v>343</v>
      </c>
      <c r="E106" s="103"/>
      <c r="F106" s="103"/>
      <c r="G106">
        <f>Overview!I12</f>
        <v>3.8898560945798111E-3</v>
      </c>
      <c r="H106">
        <f>Overview!E12</f>
        <v>8.0582741523256154E-6</v>
      </c>
      <c r="I106" s="177"/>
      <c r="J106" s="99" t="e">
        <f>Overview!AD12*Overview!$Z12/20*Results_energy_scenarios!$H106+Overview!AD15*Overview!$Z15*Results_energy_scenarios!$G106</f>
        <v>#REF!</v>
      </c>
      <c r="K106" s="99" t="e">
        <f>Overview!AE12*Overview!$Z12/20*Results_energy_scenarios!$H106+Overview!AE15*Overview!$Z15*Results_energy_scenarios!$G106</f>
        <v>#REF!</v>
      </c>
      <c r="L106" s="99" t="e">
        <f>Overview!AF12*Overview!$Z12/20*Results_energy_scenarios!$H106+Overview!AF15*Overview!$Z15*Results_energy_scenarios!$G106</f>
        <v>#REF!</v>
      </c>
      <c r="M106" s="99" t="e">
        <f>Overview!AG12*Overview!$Z12/20*Results_energy_scenarios!$H106+Overview!AG15*Overview!$Z15*Results_energy_scenarios!$G106</f>
        <v>#REF!</v>
      </c>
      <c r="N106" s="99" t="e">
        <f>Overview!AH12*Overview!$Z12/20*Results_energy_scenarios!$H106+Overview!AH15*Overview!$Z15*Results_energy_scenarios!$G106</f>
        <v>#REF!</v>
      </c>
      <c r="O106" s="99" t="e">
        <f>Overview!AI12*Overview!$Z12/20*Results_energy_scenarios!$H106+Overview!AI15*Overview!$Z15*Results_energy_scenarios!$G106</f>
        <v>#REF!</v>
      </c>
      <c r="P106" s="99" t="e">
        <f>Overview!AJ12*Overview!$Z12/20*Results_energy_scenarios!$H106+Overview!AJ15*Overview!$Z15*Results_energy_scenarios!$G106</f>
        <v>#REF!</v>
      </c>
      <c r="Q106" s="99" t="e">
        <f>Overview!AK12*Overview!$Z12/20*Results_energy_scenarios!$H106+Overview!AK15*Overview!$Z15*Results_energy_scenarios!$G106</f>
        <v>#REF!</v>
      </c>
      <c r="R106" s="99" t="e">
        <f>Overview!AL12*Overview!$Z12/20*Results_energy_scenarios!$H106+Overview!AL15*Overview!$Z15*Results_energy_scenarios!$G106</f>
        <v>#REF!</v>
      </c>
      <c r="S106" s="99" t="e">
        <f>Overview!AM12*Overview!$Z12/20*Results_energy_scenarios!$H106+Overview!AM15*Overview!$Z15*Results_energy_scenarios!$G106</f>
        <v>#REF!</v>
      </c>
      <c r="T106" s="99" t="e">
        <f>Overview!AN12*Overview!$Z12/20*Results_energy_scenarios!$H106+Overview!AN15*Overview!$Z15*Results_energy_scenarios!$G106</f>
        <v>#REF!</v>
      </c>
      <c r="U106" s="99" t="e">
        <f>Overview!AO12*Overview!$Z12/20*Results_energy_scenarios!$H106+Overview!AO15*Overview!$Z15*Results_energy_scenarios!$G106</f>
        <v>#REF!</v>
      </c>
      <c r="V106" s="99" t="e">
        <f>Overview!AP12*Overview!$Z12/20*Results_energy_scenarios!$H106+Overview!AP15*Overview!$Z15*Results_energy_scenarios!$G106</f>
        <v>#REF!</v>
      </c>
      <c r="W106" s="99" t="e">
        <f>Overview!AQ12*Overview!$Z12/20*Results_energy_scenarios!$H106+Overview!AQ15*Overview!$Z15*Results_energy_scenarios!$G106</f>
        <v>#REF!</v>
      </c>
      <c r="X106" s="99" t="e">
        <f>Overview!AR12*Overview!$Z12/20*Results_energy_scenarios!$H106+Overview!AR15*Overview!$Z15*Results_energy_scenarios!$G106</f>
        <v>#REF!</v>
      </c>
      <c r="Y106" s="101" t="e">
        <f>Overview!AS12*Overview!$Z12/20*Results_energy_scenarios!$H106+Overview!AS15*Overview!$Z15*Results_energy_scenarios!$G106</f>
        <v>#REF!</v>
      </c>
      <c r="Z106" s="99" t="e">
        <f>Overview!CP12*Overview!$Z12/20*Results_energy_scenarios!$H106+Overview!CP15*Overview!$Z15*Results_energy_scenarios!$G106</f>
        <v>#REF!</v>
      </c>
      <c r="AA106" s="99" t="e">
        <f>Overview!CQ12*Overview!$Z12/20*Results_energy_scenarios!$H106+Overview!CQ15*Overview!$Z15*Results_energy_scenarios!$G106</f>
        <v>#REF!</v>
      </c>
      <c r="AB106" s="99" t="e">
        <f>Overview!CR12*Overview!$Z12/20*Results_energy_scenarios!$H106+Overview!CR15*Overview!$Z15*Results_energy_scenarios!$G106</f>
        <v>#REF!</v>
      </c>
      <c r="AC106" s="99" t="e">
        <f>Overview!CS12*Overview!$Z12/20*Results_energy_scenarios!$H106+Overview!CS15*Overview!$Z15*Results_energy_scenarios!$G106</f>
        <v>#REF!</v>
      </c>
      <c r="AD106" s="99" t="e">
        <f>Overview!CT12*Overview!$Z12/20*Results_energy_scenarios!$H106+Overview!CT15*Overview!$Z15*Results_energy_scenarios!$G106</f>
        <v>#REF!</v>
      </c>
      <c r="AE106" s="99" t="e">
        <f>Overview!CU12*Overview!$Z12/20*Results_energy_scenarios!$H106+Overview!CU15*Overview!$Z15*Results_energy_scenarios!$G106</f>
        <v>#REF!</v>
      </c>
      <c r="AF106" s="99" t="e">
        <f>Overview!CV12*Overview!$Z12/20*Results_energy_scenarios!$H106+Overview!CV15*Overview!$Z15*Results_energy_scenarios!$G106</f>
        <v>#REF!</v>
      </c>
      <c r="AG106" s="99" t="e">
        <f>Overview!CW12*Overview!$Z12/20*Results_energy_scenarios!$H106+Overview!CW15*Overview!$Z15*Results_energy_scenarios!$G106</f>
        <v>#REF!</v>
      </c>
      <c r="AH106" s="99" t="e">
        <f>Overview!CX12*Overview!$Z12/20*Results_energy_scenarios!$H106+Overview!CX15*Overview!$Z15*Results_energy_scenarios!$G106</f>
        <v>#REF!</v>
      </c>
      <c r="AI106" s="99" t="e">
        <f>Overview!CY12*Overview!$Z12/20*Results_energy_scenarios!$H106+Overview!CY15*Overview!$Z15*Results_energy_scenarios!$G106</f>
        <v>#REF!</v>
      </c>
      <c r="AJ106" s="99" t="e">
        <f>Overview!CZ12*Overview!$Z12/20*Results_energy_scenarios!$H106+Overview!CZ15*Overview!$Z15*Results_energy_scenarios!$G106</f>
        <v>#REF!</v>
      </c>
      <c r="AK106" s="99" t="e">
        <f>Overview!DA12*Overview!$Z12/20*Results_energy_scenarios!$H106+Overview!DA15*Overview!$Z15*Results_energy_scenarios!$G106</f>
        <v>#REF!</v>
      </c>
      <c r="AL106" s="99" t="e">
        <f>Overview!DB12*Overview!$Z12/20*Results_energy_scenarios!$H106+Overview!DB15*Overview!$Z15*Results_energy_scenarios!$G106</f>
        <v>#REF!</v>
      </c>
      <c r="AM106" s="99" t="e">
        <f>Overview!DC12*Overview!$Z12/20*Results_energy_scenarios!$H106+Overview!DC15*Overview!$Z15*Results_energy_scenarios!$G106</f>
        <v>#REF!</v>
      </c>
      <c r="AN106" s="99" t="e">
        <f>Overview!DD12*Overview!$Z12/20*Results_energy_scenarios!$H106+Overview!DD15*Overview!$Z15*Results_energy_scenarios!$G106</f>
        <v>#REF!</v>
      </c>
      <c r="AO106" s="101" t="e">
        <f>Overview!DE12*Overview!$Z12/20*Results_energy_scenarios!$H106+Overview!DE15*Overview!$Z15*Results_energy_scenarios!$G106</f>
        <v>#REF!</v>
      </c>
    </row>
    <row r="107" spans="1:41">
      <c r="A107" t="s">
        <v>6</v>
      </c>
      <c r="B107" t="s">
        <v>361</v>
      </c>
      <c r="C107" t="s">
        <v>329</v>
      </c>
      <c r="D107" s="115" t="s">
        <v>322</v>
      </c>
      <c r="E107" s="103"/>
      <c r="F107" s="103"/>
      <c r="G107">
        <v>6151</v>
      </c>
      <c r="H107" s="103"/>
      <c r="I107" s="177"/>
      <c r="J107" s="99" t="e">
        <f t="shared" ref="J107:AO107" si="87">J93/$G93*$G107</f>
        <v>#REF!</v>
      </c>
      <c r="K107" s="99" t="e">
        <f t="shared" si="87"/>
        <v>#REF!</v>
      </c>
      <c r="L107" s="99" t="e">
        <f t="shared" si="87"/>
        <v>#REF!</v>
      </c>
      <c r="M107" s="99" t="e">
        <f t="shared" si="87"/>
        <v>#REF!</v>
      </c>
      <c r="N107" s="99" t="e">
        <f t="shared" si="87"/>
        <v>#REF!</v>
      </c>
      <c r="O107" s="99" t="e">
        <f t="shared" si="87"/>
        <v>#REF!</v>
      </c>
      <c r="P107" s="99" t="e">
        <f t="shared" si="87"/>
        <v>#REF!</v>
      </c>
      <c r="Q107" s="99" t="e">
        <f t="shared" si="87"/>
        <v>#REF!</v>
      </c>
      <c r="R107" s="99" t="e">
        <f t="shared" si="87"/>
        <v>#REF!</v>
      </c>
      <c r="S107" s="99" t="e">
        <f t="shared" si="87"/>
        <v>#REF!</v>
      </c>
      <c r="T107" s="99" t="e">
        <f t="shared" si="87"/>
        <v>#REF!</v>
      </c>
      <c r="U107" s="99" t="e">
        <f t="shared" si="87"/>
        <v>#REF!</v>
      </c>
      <c r="V107" s="99" t="e">
        <f t="shared" si="87"/>
        <v>#REF!</v>
      </c>
      <c r="W107" s="99" t="e">
        <f t="shared" si="87"/>
        <v>#REF!</v>
      </c>
      <c r="X107" s="99" t="e">
        <f t="shared" si="87"/>
        <v>#REF!</v>
      </c>
      <c r="Y107" s="101" t="e">
        <f t="shared" si="87"/>
        <v>#REF!</v>
      </c>
      <c r="Z107" s="99" t="e">
        <f t="shared" si="87"/>
        <v>#REF!</v>
      </c>
      <c r="AA107" s="99" t="e">
        <f t="shared" si="87"/>
        <v>#REF!</v>
      </c>
      <c r="AB107" s="99" t="e">
        <f t="shared" si="87"/>
        <v>#REF!</v>
      </c>
      <c r="AC107" s="99" t="e">
        <f t="shared" si="87"/>
        <v>#REF!</v>
      </c>
      <c r="AD107" s="99" t="e">
        <f t="shared" si="87"/>
        <v>#REF!</v>
      </c>
      <c r="AE107" s="99" t="e">
        <f t="shared" si="87"/>
        <v>#REF!</v>
      </c>
      <c r="AF107" s="99" t="e">
        <f t="shared" si="87"/>
        <v>#REF!</v>
      </c>
      <c r="AG107" s="99" t="e">
        <f t="shared" si="87"/>
        <v>#REF!</v>
      </c>
      <c r="AH107" s="99" t="e">
        <f t="shared" si="87"/>
        <v>#REF!</v>
      </c>
      <c r="AI107" s="99" t="e">
        <f t="shared" si="87"/>
        <v>#REF!</v>
      </c>
      <c r="AJ107" s="99" t="e">
        <f t="shared" si="87"/>
        <v>#REF!</v>
      </c>
      <c r="AK107" s="99" t="e">
        <f t="shared" si="87"/>
        <v>#REF!</v>
      </c>
      <c r="AL107" s="99" t="e">
        <f t="shared" si="87"/>
        <v>#REF!</v>
      </c>
      <c r="AM107" s="99" t="e">
        <f t="shared" si="87"/>
        <v>#REF!</v>
      </c>
      <c r="AN107" s="99" t="e">
        <f t="shared" si="87"/>
        <v>#REF!</v>
      </c>
      <c r="AO107" s="101" t="e">
        <f t="shared" si="87"/>
        <v>#REF!</v>
      </c>
    </row>
    <row r="108" spans="1:41">
      <c r="A108" t="s">
        <v>6</v>
      </c>
      <c r="B108" t="s">
        <v>361</v>
      </c>
      <c r="C108" t="s">
        <v>329</v>
      </c>
      <c r="D108" s="115" t="s">
        <v>343</v>
      </c>
      <c r="E108" s="103"/>
      <c r="F108" s="103"/>
      <c r="G108">
        <f>energy_data_per_scenario!L17*1000</f>
        <v>5702</v>
      </c>
      <c r="H108">
        <f>Overview!E13</f>
        <v>0.64917703956610506</v>
      </c>
      <c r="I108" s="177">
        <f>G108/G114</f>
        <v>8.0053912140059247E-2</v>
      </c>
      <c r="J108" s="99" t="e">
        <f>Overview!AD13*Overview!$Z13/20*Results_energy_scenarios!$H108+Overview!AD14*Overview!$Z14*Results_energy_scenarios!$G108</f>
        <v>#REF!</v>
      </c>
      <c r="K108" s="99" t="e">
        <f>Overview!AE13*Overview!$Z13/20*Results_energy_scenarios!$H108+Overview!AE14*Overview!$Z14*Results_energy_scenarios!$G108</f>
        <v>#REF!</v>
      </c>
      <c r="L108" s="99" t="e">
        <f>Overview!AF13*Overview!$Z13/20*Results_energy_scenarios!$H108+Overview!AF14*Overview!$Z14*Results_energy_scenarios!$G108</f>
        <v>#REF!</v>
      </c>
      <c r="M108" s="99" t="e">
        <f>Overview!AG13*Overview!$Z13/20*Results_energy_scenarios!$H108+Overview!AG14*Overview!$Z14*Results_energy_scenarios!$G108</f>
        <v>#REF!</v>
      </c>
      <c r="N108" s="99" t="e">
        <f>Overview!AH13*Overview!$Z13/20*Results_energy_scenarios!$H108+Overview!AH14*Overview!$Z14*Results_energy_scenarios!$G108</f>
        <v>#REF!</v>
      </c>
      <c r="O108" s="99" t="e">
        <f>Overview!AI13*Overview!$Z13/20*Results_energy_scenarios!$H108+Overview!AI14*Overview!$Z14*Results_energy_scenarios!$G108</f>
        <v>#REF!</v>
      </c>
      <c r="P108" s="99" t="e">
        <f>Overview!AJ13*Overview!$Z13/20*Results_energy_scenarios!$H108+Overview!AJ14*Overview!$Z14*Results_energy_scenarios!$G108</f>
        <v>#REF!</v>
      </c>
      <c r="Q108" s="99" t="e">
        <f>Overview!AK13*Overview!$Z13/20*Results_energy_scenarios!$H108+Overview!AK14*Overview!$Z14*Results_energy_scenarios!$G108</f>
        <v>#REF!</v>
      </c>
      <c r="R108" s="99" t="e">
        <f>Overview!AL13*Overview!$Z13/20*Results_energy_scenarios!$H108+Overview!AL14*Overview!$Z14*Results_energy_scenarios!$G108</f>
        <v>#REF!</v>
      </c>
      <c r="S108" s="99" t="e">
        <f>Overview!AM13*Overview!$Z13/20*Results_energy_scenarios!$H108+Overview!AM14*Overview!$Z14*Results_energy_scenarios!$G108</f>
        <v>#REF!</v>
      </c>
      <c r="T108" s="99" t="e">
        <f>Overview!AN13*Overview!$Z13/20*Results_energy_scenarios!$H108+Overview!AN14*Overview!$Z14*Results_energy_scenarios!$G108</f>
        <v>#REF!</v>
      </c>
      <c r="U108" s="99" t="e">
        <f>Overview!AO13*Overview!$Z13/20*Results_energy_scenarios!$H108+Overview!AO14*Overview!$Z14*Results_energy_scenarios!$G108</f>
        <v>#REF!</v>
      </c>
      <c r="V108" s="99" t="e">
        <f>Overview!AP13*Overview!$Z13/20*Results_energy_scenarios!$H108+Overview!AP14*Overview!$Z14*Results_energy_scenarios!$G108</f>
        <v>#REF!</v>
      </c>
      <c r="W108" s="99" t="e">
        <f>Overview!AQ13*Overview!$Z13/20*Results_energy_scenarios!$H108+Overview!AQ14*Overview!$Z14*Results_energy_scenarios!$G108</f>
        <v>#REF!</v>
      </c>
      <c r="X108" s="99" t="e">
        <f>Overview!AR13*Overview!$Z13/20*Results_energy_scenarios!$H108+Overview!AR14*Overview!$Z14*Results_energy_scenarios!$G108</f>
        <v>#REF!</v>
      </c>
      <c r="Y108" s="101" t="e">
        <f>Overview!AS13*Overview!$Z13/20*Results_energy_scenarios!$H108+Overview!AS14*Overview!$Z14*Results_energy_scenarios!$G108</f>
        <v>#REF!</v>
      </c>
      <c r="Z108" s="99" t="e">
        <f>Overview!CP13*Overview!$Z13/20*Results_energy_scenarios!$H108+Overview!CP14*Overview!$Z14*Results_energy_scenarios!$G108</f>
        <v>#REF!</v>
      </c>
      <c r="AA108" s="99" t="e">
        <f>Overview!CQ13*Overview!$Z13/20*Results_energy_scenarios!$H108+Overview!CQ14*Overview!$Z14*Results_energy_scenarios!$G108</f>
        <v>#REF!</v>
      </c>
      <c r="AB108" s="99" t="e">
        <f>Overview!CR13*Overview!$Z13/20*Results_energy_scenarios!$H108+Overview!CR14*Overview!$Z14*Results_energy_scenarios!$G108</f>
        <v>#REF!</v>
      </c>
      <c r="AC108" s="99" t="e">
        <f>Overview!CS13*Overview!$Z13/20*Results_energy_scenarios!$H108+Overview!CS14*Overview!$Z14*Results_energy_scenarios!$G108</f>
        <v>#REF!</v>
      </c>
      <c r="AD108" s="99" t="e">
        <f>Overview!CT13*Overview!$Z13/20*Results_energy_scenarios!$H108+Overview!CT14*Overview!$Z14*Results_energy_scenarios!$G108</f>
        <v>#REF!</v>
      </c>
      <c r="AE108" s="99" t="e">
        <f>Overview!CU13*Overview!$Z13/20*Results_energy_scenarios!$H108+Overview!CU14*Overview!$Z14*Results_energy_scenarios!$G108</f>
        <v>#REF!</v>
      </c>
      <c r="AF108" s="99" t="e">
        <f>Overview!CV13*Overview!$Z13/20*Results_energy_scenarios!$H108+Overview!CV14*Overview!$Z14*Results_energy_scenarios!$G108</f>
        <v>#REF!</v>
      </c>
      <c r="AG108" s="99" t="e">
        <f>Overview!CW13*Overview!$Z13/20*Results_energy_scenarios!$H108+Overview!CW14*Overview!$Z14*Results_energy_scenarios!$G108</f>
        <v>#REF!</v>
      </c>
      <c r="AH108" s="99" t="e">
        <f>Overview!CX13*Overview!$Z13/20*Results_energy_scenarios!$H108+Overview!CX14*Overview!$Z14*Results_energy_scenarios!$G108</f>
        <v>#REF!</v>
      </c>
      <c r="AI108" s="99" t="e">
        <f>Overview!CY13*Overview!$Z13/20*Results_energy_scenarios!$H108+Overview!CY14*Overview!$Z14*Results_energy_scenarios!$G108</f>
        <v>#REF!</v>
      </c>
      <c r="AJ108" s="99" t="e">
        <f>Overview!CZ13*Overview!$Z13/20*Results_energy_scenarios!$H108+Overview!CZ14*Overview!$Z14*Results_energy_scenarios!$G108</f>
        <v>#REF!</v>
      </c>
      <c r="AK108" s="99" t="e">
        <f>Overview!DA13*Overview!$Z13/20*Results_energy_scenarios!$H108+Overview!DA14*Overview!$Z14*Results_energy_scenarios!$G108</f>
        <v>#REF!</v>
      </c>
      <c r="AL108" s="99" t="e">
        <f>Overview!DB13*Overview!$Z13/20*Results_energy_scenarios!$H108+Overview!DB14*Overview!$Z14*Results_energy_scenarios!$G108</f>
        <v>#REF!</v>
      </c>
      <c r="AM108" s="99" t="e">
        <f>Overview!DC13*Overview!$Z13/20*Results_energy_scenarios!$H108+Overview!DC14*Overview!$Z14*Results_energy_scenarios!$G108</f>
        <v>#REF!</v>
      </c>
      <c r="AN108" s="99" t="e">
        <f>Overview!DD13*Overview!$Z13/20*Results_energy_scenarios!$H108+Overview!DD14*Overview!$Z14*Results_energy_scenarios!$G108</f>
        <v>#REF!</v>
      </c>
      <c r="AO108" s="101" t="e">
        <f>Overview!DE13*Overview!$Z13/20*Results_energy_scenarios!$H108+Overview!DE14*Overview!$Z14*Results_energy_scenarios!$G108</f>
        <v>#REF!</v>
      </c>
    </row>
    <row r="109" spans="1:41">
      <c r="A109" t="s">
        <v>6</v>
      </c>
      <c r="B109" t="s">
        <v>361</v>
      </c>
      <c r="C109" t="s">
        <v>330</v>
      </c>
      <c r="D109" s="116" t="s">
        <v>347</v>
      </c>
      <c r="E109" s="103"/>
      <c r="F109" s="103"/>
      <c r="G109">
        <f>energy_data_per_scenario!L20*1000</f>
        <v>6050</v>
      </c>
      <c r="H109">
        <f>Overview!E22/(Results_energy_scenarios!G109+Results_energy_scenarios!G117)*Results_energy_scenarios!G109</f>
        <v>0.21193020596138012</v>
      </c>
      <c r="I109" s="177">
        <f>G109/G114</f>
        <v>8.4939699832928525E-2</v>
      </c>
      <c r="J109" s="99" t="e">
        <f>Overview!AD22*Overview!$Z22/25*$H109</f>
        <v>#REF!</v>
      </c>
      <c r="K109" s="99" t="e">
        <f>Overview!AE22*Overview!$Z22/25*$H109</f>
        <v>#REF!</v>
      </c>
      <c r="L109" s="99" t="e">
        <f>Overview!AF22*Overview!$Z22/25*$H109</f>
        <v>#REF!</v>
      </c>
      <c r="M109" s="99" t="e">
        <f>Overview!AG22*Overview!$Z22/25*$H109</f>
        <v>#REF!</v>
      </c>
      <c r="N109" s="99" t="e">
        <f>Overview!AH22*Overview!$Z22/25*$H109</f>
        <v>#REF!</v>
      </c>
      <c r="O109" s="99" t="e">
        <f>Overview!AI22*Overview!$Z22/25*$H109</f>
        <v>#REF!</v>
      </c>
      <c r="P109" s="99" t="e">
        <f>Overview!AJ22*Overview!$Z22/25*$H109</f>
        <v>#REF!</v>
      </c>
      <c r="Q109" s="99" t="e">
        <f>Overview!AK22*Overview!$Z22/25*$H109</f>
        <v>#REF!</v>
      </c>
      <c r="R109" s="99" t="e">
        <f>Overview!AL22*Overview!$Z22/25*$H109</f>
        <v>#REF!</v>
      </c>
      <c r="S109" s="99" t="e">
        <f>Overview!AM22*Overview!$Z22/25*$H109</f>
        <v>#REF!</v>
      </c>
      <c r="T109" s="99" t="e">
        <f>Overview!AN22*Overview!$Z22/25*$H109</f>
        <v>#REF!</v>
      </c>
      <c r="U109" s="99" t="e">
        <f>Overview!AO22*Overview!$Z22/25*$H109</f>
        <v>#REF!</v>
      </c>
      <c r="V109" s="99" t="e">
        <f>Overview!AP22*Overview!$Z22/25*$H109</f>
        <v>#REF!</v>
      </c>
      <c r="W109" s="99" t="e">
        <f>Overview!AQ22*Overview!$Z22/25*$H109</f>
        <v>#REF!</v>
      </c>
      <c r="X109" s="99" t="e">
        <f>Overview!AR22*Overview!$Z22/25*$H109</f>
        <v>#REF!</v>
      </c>
      <c r="Y109" s="101" t="e">
        <f>Overview!AS22*Overview!$Z22/25*$H109</f>
        <v>#REF!</v>
      </c>
      <c r="Z109" s="99" t="e">
        <f>Overview!CP22*Overview!$Z22/25*$H109</f>
        <v>#REF!</v>
      </c>
      <c r="AA109" s="99" t="e">
        <f>Overview!CQ22*Overview!$Z22/25*$H109</f>
        <v>#REF!</v>
      </c>
      <c r="AB109" s="99" t="e">
        <f>Overview!CR22*Overview!$Z22/25*$H109</f>
        <v>#REF!</v>
      </c>
      <c r="AC109" s="99" t="e">
        <f>Overview!CS22*Overview!$Z22/25*$H109</f>
        <v>#REF!</v>
      </c>
      <c r="AD109" s="99" t="e">
        <f>Overview!CT22*Overview!$Z22/25*$H109</f>
        <v>#REF!</v>
      </c>
      <c r="AE109" s="99" t="e">
        <f>Overview!CU22*Overview!$Z22/25*$H109</f>
        <v>#REF!</v>
      </c>
      <c r="AF109" s="99" t="e">
        <f>Overview!CV22*Overview!$Z22/25*$H109</f>
        <v>#REF!</v>
      </c>
      <c r="AG109" s="99" t="e">
        <f>Overview!CW22*Overview!$Z22/25*$H109</f>
        <v>#REF!</v>
      </c>
      <c r="AH109" s="99" t="e">
        <f>Overview!CX22*Overview!$Z22/25*$H109</f>
        <v>#REF!</v>
      </c>
      <c r="AI109" s="99" t="e">
        <f>Overview!CY22*Overview!$Z22/25*$H109</f>
        <v>#REF!</v>
      </c>
      <c r="AJ109" s="99" t="e">
        <f>Overview!CZ22*Overview!$Z22/25*$H109</f>
        <v>#REF!</v>
      </c>
      <c r="AK109" s="99" t="e">
        <f>Overview!DA22*Overview!$Z22/25*$H109</f>
        <v>#REF!</v>
      </c>
      <c r="AL109" s="99" t="e">
        <f>Overview!DB22*Overview!$Z22/25*$H109</f>
        <v>#REF!</v>
      </c>
      <c r="AM109" s="99" t="e">
        <f>Overview!DC22*Overview!$Z22/25*$H109</f>
        <v>#REF!</v>
      </c>
      <c r="AN109" s="99" t="e">
        <f>Overview!DD22*Overview!$Z22/25*$H109</f>
        <v>#REF!</v>
      </c>
      <c r="AO109" s="101" t="e">
        <f>Overview!DE22*Overview!$Z22/25*$H109</f>
        <v>#REF!</v>
      </c>
    </row>
    <row r="110" spans="1:41">
      <c r="A110" t="s">
        <v>6</v>
      </c>
      <c r="B110" t="s">
        <v>361</v>
      </c>
      <c r="C110" t="s">
        <v>330</v>
      </c>
      <c r="D110" s="113" t="s">
        <v>339</v>
      </c>
      <c r="E110" s="103"/>
      <c r="F110" s="103"/>
      <c r="G110">
        <v>145</v>
      </c>
      <c r="H110" s="103"/>
      <c r="I110" s="177"/>
      <c r="J110" s="99" t="e">
        <f>Overview!AD5*Overview!$Z5*$G110</f>
        <v>#REF!</v>
      </c>
      <c r="K110" s="99" t="e">
        <f>Overview!AE5*Overview!$Z5*$G110</f>
        <v>#REF!</v>
      </c>
      <c r="L110" s="99" t="e">
        <f>Overview!AF5*Overview!$Z5*$G110</f>
        <v>#REF!</v>
      </c>
      <c r="M110" s="99" t="e">
        <f>Overview!AG5*Overview!$Z5*$G110</f>
        <v>#REF!</v>
      </c>
      <c r="N110" s="99" t="e">
        <f>Overview!AH5*Overview!$Z5*$G110</f>
        <v>#REF!</v>
      </c>
      <c r="O110" s="99" t="e">
        <f>Overview!AI5*Overview!$Z5*$G110</f>
        <v>#REF!</v>
      </c>
      <c r="P110" s="99" t="e">
        <f>Overview!AJ5*Overview!$Z5*$G110</f>
        <v>#REF!</v>
      </c>
      <c r="Q110" s="99" t="e">
        <f>Overview!AK5*Overview!$Z5*$G110</f>
        <v>#REF!</v>
      </c>
      <c r="R110" s="99" t="e">
        <f>Overview!AL5*Overview!$Z5*$G110</f>
        <v>#REF!</v>
      </c>
      <c r="S110" s="99" t="e">
        <f>Overview!AM5*Overview!$Z5*$G110</f>
        <v>#REF!</v>
      </c>
      <c r="T110" s="99" t="e">
        <f>Overview!AN5*Overview!$Z5*$G110</f>
        <v>#REF!</v>
      </c>
      <c r="U110" s="99" t="e">
        <f>Overview!AO5*Overview!$Z5*$G110</f>
        <v>#REF!</v>
      </c>
      <c r="V110" s="99" t="e">
        <f>Overview!AP5*Overview!$Z5*$G110</f>
        <v>#REF!</v>
      </c>
      <c r="W110" s="99" t="e">
        <f>Overview!AQ5*Overview!$Z5*$G110</f>
        <v>#REF!</v>
      </c>
      <c r="X110" s="99" t="e">
        <f>Overview!AR5*Overview!$Z5*$G110</f>
        <v>#REF!</v>
      </c>
      <c r="Y110" s="101" t="e">
        <f>Overview!AS5*Overview!$Z5*$G110</f>
        <v>#REF!</v>
      </c>
      <c r="Z110" s="99" t="e">
        <f>Overview!CP5*Overview!$Z5*$G110</f>
        <v>#REF!</v>
      </c>
      <c r="AA110" s="99" t="e">
        <f>Overview!CQ5*Overview!$Z5*$G110</f>
        <v>#REF!</v>
      </c>
      <c r="AB110" s="99" t="e">
        <f>Overview!CR5*Overview!$Z5*$G110</f>
        <v>#REF!</v>
      </c>
      <c r="AC110" s="99" t="e">
        <f>Overview!CS5*Overview!$Z5*$G110</f>
        <v>#REF!</v>
      </c>
      <c r="AD110" s="99" t="e">
        <f>Overview!CT5*Overview!$Z5*$G110</f>
        <v>#REF!</v>
      </c>
      <c r="AE110" s="99" t="e">
        <f>Overview!CU5*Overview!$Z5*$G110</f>
        <v>#REF!</v>
      </c>
      <c r="AF110" s="99" t="e">
        <f>Overview!CV5*Overview!$Z5*$G110</f>
        <v>#REF!</v>
      </c>
      <c r="AG110" s="99" t="e">
        <f>Overview!CW5*Overview!$Z5*$G110</f>
        <v>#REF!</v>
      </c>
      <c r="AH110" s="99" t="e">
        <f>Overview!CX5*Overview!$Z5*$G110</f>
        <v>#REF!</v>
      </c>
      <c r="AI110" s="99" t="e">
        <f>Overview!CY5*Overview!$Z5*$G110</f>
        <v>#REF!</v>
      </c>
      <c r="AJ110" s="99" t="e">
        <f>Overview!CZ5*Overview!$Z5*$G110</f>
        <v>#REF!</v>
      </c>
      <c r="AK110" s="99" t="e">
        <f>Overview!DA5*Overview!$Z5*$G110</f>
        <v>#REF!</v>
      </c>
      <c r="AL110" s="99" t="e">
        <f>Overview!DB5*Overview!$Z5*$G110</f>
        <v>#REF!</v>
      </c>
      <c r="AM110" s="99" t="e">
        <f>Overview!DC5*Overview!$Z5*$G110</f>
        <v>#REF!</v>
      </c>
      <c r="AN110" s="99" t="e">
        <f>Overview!DD5*Overview!$Z5*$G110</f>
        <v>#REF!</v>
      </c>
      <c r="AO110" s="101" t="e">
        <f>Overview!DE5*Overview!$Z5*$G110</f>
        <v>#REF!</v>
      </c>
    </row>
    <row r="111" spans="1:41">
      <c r="A111" t="s">
        <v>6</v>
      </c>
      <c r="B111" t="s">
        <v>361</v>
      </c>
      <c r="C111" t="s">
        <v>330</v>
      </c>
      <c r="D111" s="116" t="s">
        <v>399</v>
      </c>
      <c r="E111" s="103"/>
      <c r="F111" s="103"/>
      <c r="G111">
        <v>77</v>
      </c>
      <c r="H111">
        <f>Overview!E20/(Results_energy_scenarios!G111+Results_energy_scenarios!G118)*Results_energy_scenarios!G111</f>
        <v>2.2212848968601795E-3</v>
      </c>
      <c r="I111" s="177">
        <f>G111/G114</f>
        <v>1.0810507251463629E-3</v>
      </c>
      <c r="J111" s="99" t="e">
        <f>Overview!AD20*Overview!$Z20/25*Results_energy_scenarios!$H111</f>
        <v>#REF!</v>
      </c>
      <c r="K111" s="99" t="e">
        <f>Overview!AE20*Overview!$Z20/25*Results_energy_scenarios!$H111</f>
        <v>#REF!</v>
      </c>
      <c r="L111" s="99" t="e">
        <f>Overview!AF20*Overview!$Z20/25*Results_energy_scenarios!$H111</f>
        <v>#REF!</v>
      </c>
      <c r="M111" s="99" t="e">
        <f>Overview!AG20*Overview!$Z20/25*Results_energy_scenarios!$H111</f>
        <v>#REF!</v>
      </c>
      <c r="N111" s="99" t="e">
        <f>Overview!AH20*Overview!$Z20/25*Results_energy_scenarios!$H111</f>
        <v>#REF!</v>
      </c>
      <c r="O111" s="99" t="e">
        <f>Overview!AI20*Overview!$Z20/25*Results_energy_scenarios!$H111</f>
        <v>#REF!</v>
      </c>
      <c r="P111" s="99" t="e">
        <f>Overview!AJ20*Overview!$Z20/25*Results_energy_scenarios!$H111</f>
        <v>#REF!</v>
      </c>
      <c r="Q111" s="99" t="e">
        <f>Overview!AK20*Overview!$Z20/25*Results_energy_scenarios!$H111</f>
        <v>#REF!</v>
      </c>
      <c r="R111" s="99" t="e">
        <f>Overview!AL20*Overview!$Z20/25*Results_energy_scenarios!$H111</f>
        <v>#REF!</v>
      </c>
      <c r="S111" s="99" t="e">
        <f>Overview!AM20*Overview!$Z20/25*Results_energy_scenarios!$H111</f>
        <v>#REF!</v>
      </c>
      <c r="T111" s="99" t="e">
        <f>Overview!AN20*Overview!$Z20/25*Results_energy_scenarios!$H111</f>
        <v>#REF!</v>
      </c>
      <c r="U111" s="99" t="e">
        <f>Overview!AO20*Overview!$Z20/25*Results_energy_scenarios!$H111</f>
        <v>#REF!</v>
      </c>
      <c r="V111" s="99" t="e">
        <f>Overview!AP20*Overview!$Z20/25*Results_energy_scenarios!$H111</f>
        <v>#REF!</v>
      </c>
      <c r="W111" s="99" t="e">
        <f>Overview!AQ20*Overview!$Z20/25*Results_energy_scenarios!$H111</f>
        <v>#REF!</v>
      </c>
      <c r="X111" s="99" t="e">
        <f>Overview!AR20*Overview!$Z20/25*Results_energy_scenarios!$H111</f>
        <v>#REF!</v>
      </c>
      <c r="Y111" s="101" t="e">
        <f>Overview!AS20*Overview!$Z20/25*Results_energy_scenarios!$H111</f>
        <v>#REF!</v>
      </c>
      <c r="Z111" s="99" t="e">
        <f>Overview!CP20*Overview!$Z20/25*Results_energy_scenarios!$H111</f>
        <v>#REF!</v>
      </c>
      <c r="AA111" s="99" t="e">
        <f>Overview!CQ20*Overview!$Z20/25*Results_energy_scenarios!$H111</f>
        <v>#REF!</v>
      </c>
      <c r="AB111" s="99" t="e">
        <f>Overview!CR20*Overview!$Z20/25*Results_energy_scenarios!$H111</f>
        <v>#REF!</v>
      </c>
      <c r="AC111" s="99" t="e">
        <f>Overview!CS20*Overview!$Z20/25*Results_energy_scenarios!$H111</f>
        <v>#REF!</v>
      </c>
      <c r="AD111" s="99" t="e">
        <f>Overview!CT20*Overview!$Z20/25*Results_energy_scenarios!$H111</f>
        <v>#REF!</v>
      </c>
      <c r="AE111" s="99" t="e">
        <f>Overview!CU20*Overview!$Z20/25*Results_energy_scenarios!$H111</f>
        <v>#REF!</v>
      </c>
      <c r="AF111" s="99" t="e">
        <f>Overview!CV20*Overview!$Z20/25*Results_energy_scenarios!$H111</f>
        <v>#REF!</v>
      </c>
      <c r="AG111" s="99" t="e">
        <f>Overview!CW20*Overview!$Z20/25*Results_energy_scenarios!$H111</f>
        <v>#REF!</v>
      </c>
      <c r="AH111" s="99" t="e">
        <f>Overview!CX20*Overview!$Z20/25*Results_energy_scenarios!$H111</f>
        <v>#REF!</v>
      </c>
      <c r="AI111" s="99" t="e">
        <f>Overview!CY20*Overview!$Z20/25*Results_energy_scenarios!$H111</f>
        <v>#REF!</v>
      </c>
      <c r="AJ111" s="99" t="e">
        <f>Overview!CZ20*Overview!$Z20/25*Results_energy_scenarios!$H111</f>
        <v>#REF!</v>
      </c>
      <c r="AK111" s="99" t="e">
        <f>Overview!DA20*Overview!$Z20/25*Results_energy_scenarios!$H111</f>
        <v>#REF!</v>
      </c>
      <c r="AL111" s="99" t="e">
        <f>Overview!DB20*Overview!$Z20/25*Results_energy_scenarios!$H111</f>
        <v>#REF!</v>
      </c>
      <c r="AM111" s="99" t="e">
        <f>Overview!DC20*Overview!$Z20/25*Results_energy_scenarios!$H111</f>
        <v>#REF!</v>
      </c>
      <c r="AN111" s="99" t="e">
        <f>Overview!DD20*Overview!$Z20/25*Results_energy_scenarios!$H111</f>
        <v>#REF!</v>
      </c>
      <c r="AO111" s="101" t="e">
        <f>Overview!DE20*Overview!$Z20/25*Results_energy_scenarios!$H111</f>
        <v>#REF!</v>
      </c>
    </row>
    <row r="112" spans="1:41">
      <c r="A112" t="s">
        <v>6</v>
      </c>
      <c r="B112" t="s">
        <v>361</v>
      </c>
      <c r="C112" t="s">
        <v>331</v>
      </c>
      <c r="D112" s="114" t="s">
        <v>378</v>
      </c>
      <c r="E112" s="103"/>
      <c r="F112" s="103"/>
      <c r="G112">
        <f>9688/Overview!I35*Results_energy_scenarios!G113</f>
        <v>1007.3037001716701</v>
      </c>
      <c r="H112" s="103"/>
      <c r="I112" s="177"/>
      <c r="J112" s="99" t="e">
        <f>$G112*J$128</f>
        <v>#REF!</v>
      </c>
      <c r="K112" s="99" t="e">
        <f t="shared" ref="K112:AO112" si="88">$G112*K$128</f>
        <v>#REF!</v>
      </c>
      <c r="L112" s="99" t="e">
        <f t="shared" si="88"/>
        <v>#REF!</v>
      </c>
      <c r="M112" s="99" t="e">
        <f t="shared" si="88"/>
        <v>#REF!</v>
      </c>
      <c r="N112" s="99" t="e">
        <f t="shared" si="88"/>
        <v>#REF!</v>
      </c>
      <c r="O112" s="99" t="e">
        <f t="shared" si="88"/>
        <v>#REF!</v>
      </c>
      <c r="P112" s="99" t="e">
        <f t="shared" si="88"/>
        <v>#REF!</v>
      </c>
      <c r="Q112" s="99" t="e">
        <f t="shared" si="88"/>
        <v>#REF!</v>
      </c>
      <c r="R112" s="99" t="e">
        <f t="shared" si="88"/>
        <v>#REF!</v>
      </c>
      <c r="S112" s="99" t="e">
        <f t="shared" si="88"/>
        <v>#REF!</v>
      </c>
      <c r="T112" s="99" t="e">
        <f t="shared" si="88"/>
        <v>#REF!</v>
      </c>
      <c r="U112" s="99" t="e">
        <f t="shared" si="88"/>
        <v>#REF!</v>
      </c>
      <c r="V112" s="99" t="e">
        <f t="shared" si="88"/>
        <v>#REF!</v>
      </c>
      <c r="W112" s="99" t="e">
        <f t="shared" si="88"/>
        <v>#REF!</v>
      </c>
      <c r="X112" s="99" t="e">
        <f t="shared" si="88"/>
        <v>#REF!</v>
      </c>
      <c r="Y112" s="101" t="e">
        <f t="shared" si="88"/>
        <v>#REF!</v>
      </c>
      <c r="Z112" s="99" t="e">
        <f t="shared" si="88"/>
        <v>#REF!</v>
      </c>
      <c r="AA112" s="99" t="e">
        <f t="shared" si="88"/>
        <v>#REF!</v>
      </c>
      <c r="AB112" s="99" t="e">
        <f t="shared" si="88"/>
        <v>#REF!</v>
      </c>
      <c r="AC112" s="99" t="e">
        <f t="shared" si="88"/>
        <v>#REF!</v>
      </c>
      <c r="AD112" s="99" t="e">
        <f t="shared" si="88"/>
        <v>#REF!</v>
      </c>
      <c r="AE112" s="99" t="e">
        <f t="shared" si="88"/>
        <v>#REF!</v>
      </c>
      <c r="AF112" s="99" t="e">
        <f t="shared" si="88"/>
        <v>#REF!</v>
      </c>
      <c r="AG112" s="99" t="e">
        <f t="shared" si="88"/>
        <v>#REF!</v>
      </c>
      <c r="AH112" s="99" t="e">
        <f t="shared" si="88"/>
        <v>#REF!</v>
      </c>
      <c r="AI112" s="99" t="e">
        <f t="shared" si="88"/>
        <v>#REF!</v>
      </c>
      <c r="AJ112" s="99" t="e">
        <f t="shared" si="88"/>
        <v>#REF!</v>
      </c>
      <c r="AK112" s="99" t="e">
        <f t="shared" si="88"/>
        <v>#REF!</v>
      </c>
      <c r="AL112" s="99" t="e">
        <f t="shared" si="88"/>
        <v>#REF!</v>
      </c>
      <c r="AM112" s="99" t="e">
        <f t="shared" si="88"/>
        <v>#REF!</v>
      </c>
      <c r="AN112" s="99" t="e">
        <f t="shared" si="88"/>
        <v>#REF!</v>
      </c>
      <c r="AO112" s="101" t="e">
        <f t="shared" si="88"/>
        <v>#REF!</v>
      </c>
    </row>
    <row r="113" spans="1:41">
      <c r="A113" t="s">
        <v>6</v>
      </c>
      <c r="B113" t="s">
        <v>361</v>
      </c>
      <c r="C113" t="s">
        <v>331</v>
      </c>
      <c r="D113" s="112" t="s">
        <v>358</v>
      </c>
      <c r="E113" s="103"/>
      <c r="F113" s="103"/>
      <c r="G113">
        <v>4291</v>
      </c>
      <c r="H113">
        <f>Overview!E35/Overview!I35*Results_energy_scenarios!G113</f>
        <v>1.1380723802686974</v>
      </c>
      <c r="I113" s="177">
        <f>G113/G114</f>
        <v>6.0244008592247322E-2</v>
      </c>
      <c r="J113" s="99" t="e">
        <f>Overview!AD35*Overview!$Z35/20*Results_energy_scenarios!$H113</f>
        <v>#REF!</v>
      </c>
      <c r="K113" s="99" t="e">
        <f>Overview!AE35*Overview!$Z35/20*Results_energy_scenarios!$H113</f>
        <v>#REF!</v>
      </c>
      <c r="L113" s="99" t="e">
        <f>Overview!AF35*Overview!$Z35/20*Results_energy_scenarios!$H113</f>
        <v>#REF!</v>
      </c>
      <c r="M113" s="99" t="e">
        <f>Overview!AG35*Overview!$Z35/20*Results_energy_scenarios!$H113</f>
        <v>#REF!</v>
      </c>
      <c r="N113" s="99" t="e">
        <f>Overview!AH35*Overview!$Z35/20*Results_energy_scenarios!$H113</f>
        <v>#REF!</v>
      </c>
      <c r="O113" s="99" t="e">
        <f>Overview!AI35*Overview!$Z35/20*Results_energy_scenarios!$H113</f>
        <v>#REF!</v>
      </c>
      <c r="P113" s="99" t="e">
        <f>Overview!AJ35*Overview!$Z35/20*Results_energy_scenarios!$H113</f>
        <v>#REF!</v>
      </c>
      <c r="Q113" s="99" t="e">
        <f>Overview!AK35*Overview!$Z35/20*Results_energy_scenarios!$H113</f>
        <v>#REF!</v>
      </c>
      <c r="R113" s="99" t="e">
        <f>Overview!AL35*Overview!$Z35/20*Results_energy_scenarios!$H113</f>
        <v>#REF!</v>
      </c>
      <c r="S113" s="99" t="e">
        <f>Overview!AM35*Overview!$Z35/20*Results_energy_scenarios!$H113</f>
        <v>#REF!</v>
      </c>
      <c r="T113" s="99" t="e">
        <f>Overview!AN35*Overview!$Z35/20*Results_energy_scenarios!$H113</f>
        <v>#REF!</v>
      </c>
      <c r="U113" s="99" t="e">
        <f>Overview!AO35*Overview!$Z35/20*Results_energy_scenarios!$H113</f>
        <v>#REF!</v>
      </c>
      <c r="V113" s="99" t="e">
        <f>Overview!AP35*Overview!$Z35/20*Results_energy_scenarios!$H113</f>
        <v>#REF!</v>
      </c>
      <c r="W113" s="99" t="e">
        <f>Overview!AQ35*Overview!$Z35/20*Results_energy_scenarios!$H113</f>
        <v>#REF!</v>
      </c>
      <c r="X113" s="99" t="e">
        <f>Overview!AR35*Overview!$Z35/20*Results_energy_scenarios!$H113</f>
        <v>#REF!</v>
      </c>
      <c r="Y113" s="101" t="e">
        <f>Overview!AS35*Overview!$Z35/20*Results_energy_scenarios!$H113</f>
        <v>#REF!</v>
      </c>
      <c r="Z113" s="99" t="e">
        <f>Overview!CP35*Overview!$Z35/20*Results_energy_scenarios!$H113</f>
        <v>#REF!</v>
      </c>
      <c r="AA113" s="99" t="e">
        <f>Overview!CQ35*Overview!$Z35/20*Results_energy_scenarios!$H113</f>
        <v>#REF!</v>
      </c>
      <c r="AB113" s="99" t="e">
        <f>Overview!CR35*Overview!$Z35/20*Results_energy_scenarios!$H113</f>
        <v>#REF!</v>
      </c>
      <c r="AC113" s="99" t="e">
        <f>Overview!CS35*Overview!$Z35/20*Results_energy_scenarios!$H113</f>
        <v>#REF!</v>
      </c>
      <c r="AD113" s="99" t="e">
        <f>Overview!CT35*Overview!$Z35/20*Results_energy_scenarios!$H113</f>
        <v>#REF!</v>
      </c>
      <c r="AE113" s="99" t="e">
        <f>Overview!CU35*Overview!$Z35/20*Results_energy_scenarios!$H113</f>
        <v>#REF!</v>
      </c>
      <c r="AF113" s="99" t="e">
        <f>Overview!CV35*Overview!$Z35/20*Results_energy_scenarios!$H113</f>
        <v>#REF!</v>
      </c>
      <c r="AG113" s="99" t="e">
        <f>Overview!CW35*Overview!$Z35/20*Results_energy_scenarios!$H113</f>
        <v>#REF!</v>
      </c>
      <c r="AH113" s="99" t="e">
        <f>Overview!CX35*Overview!$Z35/20*Results_energy_scenarios!$H113</f>
        <v>#REF!</v>
      </c>
      <c r="AI113" s="99" t="e">
        <f>Overview!CY35*Overview!$Z35/20*Results_energy_scenarios!$H113</f>
        <v>#REF!</v>
      </c>
      <c r="AJ113" s="99" t="e">
        <f>Overview!CZ35*Overview!$Z35/20*Results_energy_scenarios!$H113</f>
        <v>#REF!</v>
      </c>
      <c r="AK113" s="99" t="e">
        <f>Overview!DA35*Overview!$Z35/20*Results_energy_scenarios!$H113</f>
        <v>#REF!</v>
      </c>
      <c r="AL113" s="99" t="e">
        <f>Overview!DB35*Overview!$Z35/20*Results_energy_scenarios!$H113</f>
        <v>#REF!</v>
      </c>
      <c r="AM113" s="99" t="e">
        <f>Overview!DC35*Overview!$Z35/20*Results_energy_scenarios!$H113</f>
        <v>#REF!</v>
      </c>
      <c r="AN113" s="99" t="e">
        <f>Overview!DD35*Overview!$Z35/20*Results_energy_scenarios!$H113</f>
        <v>#REF!</v>
      </c>
      <c r="AO113" s="101" t="e">
        <f>Overview!DE35*Overview!$Z35/20*Results_energy_scenarios!$H113</f>
        <v>#REF!</v>
      </c>
    </row>
    <row r="114" spans="1:41">
      <c r="A114" s="90" t="s">
        <v>6</v>
      </c>
      <c r="B114" s="90" t="s">
        <v>361</v>
      </c>
      <c r="C114" s="90" t="s">
        <v>337</v>
      </c>
      <c r="D114" s="90"/>
      <c r="E114" s="109"/>
      <c r="F114" s="109"/>
      <c r="G114" s="125">
        <f>SUM(G103,G104,G108,G109,G111,G113)</f>
        <v>71227</v>
      </c>
      <c r="H114" s="109"/>
      <c r="I114" s="178">
        <f>SUM(I103:I113)</f>
        <v>1</v>
      </c>
      <c r="J114" s="122" t="e">
        <f>SUM(J102:J113)</f>
        <v>#REF!</v>
      </c>
      <c r="K114" s="125" t="e">
        <f t="shared" ref="K114:AO114" si="89">SUM(K102:K113)</f>
        <v>#REF!</v>
      </c>
      <c r="L114" s="125" t="e">
        <f t="shared" si="89"/>
        <v>#REF!</v>
      </c>
      <c r="M114" s="125" t="e">
        <f t="shared" si="89"/>
        <v>#REF!</v>
      </c>
      <c r="N114" s="125" t="e">
        <f t="shared" si="89"/>
        <v>#REF!</v>
      </c>
      <c r="O114" s="125" t="e">
        <f t="shared" si="89"/>
        <v>#REF!</v>
      </c>
      <c r="P114" s="125" t="e">
        <f t="shared" si="89"/>
        <v>#REF!</v>
      </c>
      <c r="Q114" s="125" t="e">
        <f t="shared" si="89"/>
        <v>#REF!</v>
      </c>
      <c r="R114" s="125" t="e">
        <f t="shared" si="89"/>
        <v>#REF!</v>
      </c>
      <c r="S114" s="125" t="e">
        <f t="shared" si="89"/>
        <v>#REF!</v>
      </c>
      <c r="T114" s="125" t="e">
        <f t="shared" si="89"/>
        <v>#REF!</v>
      </c>
      <c r="U114" s="125" t="e">
        <f t="shared" si="89"/>
        <v>#REF!</v>
      </c>
      <c r="V114" s="125" t="e">
        <f t="shared" si="89"/>
        <v>#REF!</v>
      </c>
      <c r="W114" s="125" t="e">
        <f t="shared" si="89"/>
        <v>#REF!</v>
      </c>
      <c r="X114" s="125" t="e">
        <f t="shared" si="89"/>
        <v>#REF!</v>
      </c>
      <c r="Y114" s="122" t="e">
        <f t="shared" si="89"/>
        <v>#REF!</v>
      </c>
      <c r="Z114" s="124" t="e">
        <f t="shared" si="89"/>
        <v>#REF!</v>
      </c>
      <c r="AA114" s="125" t="e">
        <f t="shared" si="89"/>
        <v>#REF!</v>
      </c>
      <c r="AB114" s="125" t="e">
        <f t="shared" si="89"/>
        <v>#REF!</v>
      </c>
      <c r="AC114" s="125" t="e">
        <f t="shared" si="89"/>
        <v>#REF!</v>
      </c>
      <c r="AD114" s="125" t="e">
        <f t="shared" si="89"/>
        <v>#REF!</v>
      </c>
      <c r="AE114" s="125" t="e">
        <f t="shared" si="89"/>
        <v>#REF!</v>
      </c>
      <c r="AF114" s="125" t="e">
        <f t="shared" si="89"/>
        <v>#REF!</v>
      </c>
      <c r="AG114" s="125" t="e">
        <f t="shared" si="89"/>
        <v>#REF!</v>
      </c>
      <c r="AH114" s="125" t="e">
        <f t="shared" si="89"/>
        <v>#REF!</v>
      </c>
      <c r="AI114" s="125" t="e">
        <f t="shared" si="89"/>
        <v>#REF!</v>
      </c>
      <c r="AJ114" s="125" t="e">
        <f t="shared" si="89"/>
        <v>#REF!</v>
      </c>
      <c r="AK114" s="125" t="e">
        <f t="shared" si="89"/>
        <v>#REF!</v>
      </c>
      <c r="AL114" s="125" t="e">
        <f t="shared" si="89"/>
        <v>#REF!</v>
      </c>
      <c r="AM114" s="125" t="e">
        <f t="shared" si="89"/>
        <v>#REF!</v>
      </c>
      <c r="AN114" s="125" t="e">
        <f t="shared" si="89"/>
        <v>#REF!</v>
      </c>
      <c r="AO114" s="123" t="e">
        <f t="shared" si="89"/>
        <v>#REF!</v>
      </c>
    </row>
    <row r="115" spans="1:41" s="90" customFormat="1">
      <c r="A115" s="104" t="s">
        <v>6</v>
      </c>
      <c r="B115" s="104" t="s">
        <v>361</v>
      </c>
      <c r="C115" s="104" t="s">
        <v>384</v>
      </c>
      <c r="D115" s="104"/>
      <c r="E115" s="105"/>
      <c r="F115" s="105"/>
      <c r="G115" s="107">
        <v>1</v>
      </c>
      <c r="H115" s="105"/>
      <c r="I115" s="107"/>
      <c r="J115" s="106" t="e">
        <f>J114/$G114</f>
        <v>#REF!</v>
      </c>
      <c r="K115" s="107" t="e">
        <f t="shared" ref="K115:AO115" si="90">K114/$G114</f>
        <v>#REF!</v>
      </c>
      <c r="L115" s="107" t="e">
        <f t="shared" si="90"/>
        <v>#REF!</v>
      </c>
      <c r="M115" s="107" t="e">
        <f t="shared" si="90"/>
        <v>#REF!</v>
      </c>
      <c r="N115" s="107" t="e">
        <f t="shared" si="90"/>
        <v>#REF!</v>
      </c>
      <c r="O115" s="107" t="e">
        <f t="shared" si="90"/>
        <v>#REF!</v>
      </c>
      <c r="P115" s="107" t="e">
        <f t="shared" si="90"/>
        <v>#REF!</v>
      </c>
      <c r="Q115" s="107" t="e">
        <f t="shared" si="90"/>
        <v>#REF!</v>
      </c>
      <c r="R115" s="107" t="e">
        <f t="shared" si="90"/>
        <v>#REF!</v>
      </c>
      <c r="S115" s="107" t="e">
        <f t="shared" si="90"/>
        <v>#REF!</v>
      </c>
      <c r="T115" s="107" t="e">
        <f t="shared" si="90"/>
        <v>#REF!</v>
      </c>
      <c r="U115" s="107" t="e">
        <f t="shared" si="90"/>
        <v>#REF!</v>
      </c>
      <c r="V115" s="107" t="e">
        <f t="shared" si="90"/>
        <v>#REF!</v>
      </c>
      <c r="W115" s="107" t="e">
        <f t="shared" si="90"/>
        <v>#REF!</v>
      </c>
      <c r="X115" s="107" t="e">
        <f t="shared" si="90"/>
        <v>#REF!</v>
      </c>
      <c r="Y115" s="107" t="e">
        <f t="shared" si="90"/>
        <v>#REF!</v>
      </c>
      <c r="Z115" s="106" t="e">
        <f t="shared" si="90"/>
        <v>#REF!</v>
      </c>
      <c r="AA115" s="232" t="e">
        <f t="shared" si="90"/>
        <v>#REF!</v>
      </c>
      <c r="AB115" s="107" t="e">
        <f t="shared" si="90"/>
        <v>#REF!</v>
      </c>
      <c r="AC115" s="107" t="e">
        <f t="shared" si="90"/>
        <v>#REF!</v>
      </c>
      <c r="AD115" s="107" t="e">
        <f t="shared" si="90"/>
        <v>#REF!</v>
      </c>
      <c r="AE115" s="107" t="e">
        <f t="shared" si="90"/>
        <v>#REF!</v>
      </c>
      <c r="AF115" s="107" t="e">
        <f t="shared" si="90"/>
        <v>#REF!</v>
      </c>
      <c r="AG115" s="107" t="e">
        <f t="shared" si="90"/>
        <v>#REF!</v>
      </c>
      <c r="AH115" s="107" t="e">
        <f t="shared" si="90"/>
        <v>#REF!</v>
      </c>
      <c r="AI115" s="107" t="e">
        <f t="shared" si="90"/>
        <v>#REF!</v>
      </c>
      <c r="AJ115" s="107" t="e">
        <f t="shared" si="90"/>
        <v>#REF!</v>
      </c>
      <c r="AK115" s="107" t="e">
        <f t="shared" si="90"/>
        <v>#REF!</v>
      </c>
      <c r="AL115" s="107" t="e">
        <f t="shared" si="90"/>
        <v>#REF!</v>
      </c>
      <c r="AM115" s="107" t="e">
        <f t="shared" si="90"/>
        <v>#REF!</v>
      </c>
      <c r="AN115" s="107" t="e">
        <f t="shared" si="90"/>
        <v>#REF!</v>
      </c>
      <c r="AO115" s="108" t="e">
        <f t="shared" si="90"/>
        <v>#REF!</v>
      </c>
    </row>
    <row r="116" spans="1:41">
      <c r="A116" t="s">
        <v>6</v>
      </c>
      <c r="B116" t="s">
        <v>320</v>
      </c>
      <c r="C116" t="s">
        <v>320</v>
      </c>
      <c r="D116" t="s">
        <v>442</v>
      </c>
      <c r="E116" s="103"/>
      <c r="F116" s="103"/>
      <c r="G116" s="148">
        <f>Overview!E4</f>
        <v>2.7873239344584359E-5</v>
      </c>
      <c r="H116" s="103"/>
      <c r="I116" s="148"/>
      <c r="J116" s="100" t="e">
        <f>Overview!AD4*Overview!$Z4/10*Results_energy_scenarios!$G116</f>
        <v>#REF!</v>
      </c>
      <c r="K116" s="148" t="e">
        <f>Overview!AE4*Overview!$Z4/10*Results_energy_scenarios!$G116</f>
        <v>#REF!</v>
      </c>
      <c r="L116" s="148" t="e">
        <f>Overview!AF4*Overview!$Z4/10*Results_energy_scenarios!$G116</f>
        <v>#REF!</v>
      </c>
      <c r="M116" s="148" t="e">
        <f>Overview!AG4*Overview!$Z4/10*Results_energy_scenarios!$G116</f>
        <v>#REF!</v>
      </c>
      <c r="N116" s="148" t="e">
        <f>Overview!AH4*Overview!$Z4/10*Results_energy_scenarios!$G116</f>
        <v>#REF!</v>
      </c>
      <c r="O116" s="148" t="e">
        <f>Overview!AI4*Overview!$Z4/10*Results_energy_scenarios!$G116</f>
        <v>#REF!</v>
      </c>
      <c r="P116" s="148" t="e">
        <f>Overview!AJ4*Overview!$Z4/10*Results_energy_scenarios!$G116</f>
        <v>#REF!</v>
      </c>
      <c r="Q116" s="148" t="e">
        <f>Overview!AK4*Overview!$Z4/10*Results_energy_scenarios!$G116</f>
        <v>#REF!</v>
      </c>
      <c r="R116" s="148" t="e">
        <f>Overview!AL4*Overview!$Z4/10*Results_energy_scenarios!$G116</f>
        <v>#REF!</v>
      </c>
      <c r="S116" s="148" t="e">
        <f>Overview!AM4*Overview!$Z4/10*Results_energy_scenarios!$G116</f>
        <v>#REF!</v>
      </c>
      <c r="T116" s="148" t="e">
        <f>Overview!AN4*Overview!$Z4/10*Results_energy_scenarios!$G116</f>
        <v>#REF!</v>
      </c>
      <c r="U116" s="148" t="e">
        <f>Overview!AO4*Overview!$Z4/10*Results_energy_scenarios!$G116</f>
        <v>#REF!</v>
      </c>
      <c r="V116" s="148" t="e">
        <f>Overview!AP4*Overview!$Z4/10*Results_energy_scenarios!$G116</f>
        <v>#REF!</v>
      </c>
      <c r="W116" s="148" t="e">
        <f>Overview!AQ4*Overview!$Z4/10*Results_energy_scenarios!$G116</f>
        <v>#REF!</v>
      </c>
      <c r="X116" s="148" t="e">
        <f>Overview!AR4*Overview!$Z4/10*Results_energy_scenarios!$G116</f>
        <v>#REF!</v>
      </c>
      <c r="Y116" s="148" t="e">
        <f>Overview!AS4*Overview!$Z4/10*Results_energy_scenarios!$G116</f>
        <v>#REF!</v>
      </c>
      <c r="Z116" s="100" t="e">
        <f>Overview!CP4*Overview!$Z4/10*Results_energy_scenarios!$G116</f>
        <v>#REF!</v>
      </c>
      <c r="AA116" s="148" t="e">
        <f>Overview!CQ4*Overview!$Z4/10*Results_energy_scenarios!$G116</f>
        <v>#REF!</v>
      </c>
      <c r="AB116" s="148" t="e">
        <f>Overview!CR4*Overview!$Z4/10*Results_energy_scenarios!$G116</f>
        <v>#REF!</v>
      </c>
      <c r="AC116" s="148" t="e">
        <f>Overview!CS4*Overview!$Z4/10*Results_energy_scenarios!$G116</f>
        <v>#REF!</v>
      </c>
      <c r="AD116" s="148" t="e">
        <f>Overview!CT4*Overview!$Z4/10*Results_energy_scenarios!$G116</f>
        <v>#REF!</v>
      </c>
      <c r="AE116" s="148" t="e">
        <f>Overview!CU4*Overview!$Z4/10*Results_energy_scenarios!$G116</f>
        <v>#REF!</v>
      </c>
      <c r="AF116" s="148" t="e">
        <f>Overview!CV4*Overview!$Z4/10*Results_energy_scenarios!$G116</f>
        <v>#REF!</v>
      </c>
      <c r="AG116" s="148" t="e">
        <f>Overview!CW4*Overview!$Z4/10*Results_energy_scenarios!$G116</f>
        <v>#REF!</v>
      </c>
      <c r="AH116" s="148" t="e">
        <f>Overview!CX4*Overview!$Z4/10*Results_energy_scenarios!$G116</f>
        <v>#REF!</v>
      </c>
      <c r="AI116" s="148" t="e">
        <f>Overview!CY4*Overview!$Z4/10*Results_energy_scenarios!$G116</f>
        <v>#REF!</v>
      </c>
      <c r="AJ116" s="148" t="e">
        <f>Overview!CZ4*Overview!$Z4/10*Results_energy_scenarios!$G116</f>
        <v>#REF!</v>
      </c>
      <c r="AK116" s="148" t="e">
        <f>Overview!DA4*Overview!$Z4/10*Results_energy_scenarios!$G116</f>
        <v>#REF!</v>
      </c>
      <c r="AL116" s="148" t="e">
        <f>Overview!DB4*Overview!$Z4/10*Results_energy_scenarios!$G116</f>
        <v>#REF!</v>
      </c>
      <c r="AM116" s="148" t="e">
        <f>Overview!DC4*Overview!$Z4/10*Results_energy_scenarios!$G116</f>
        <v>#REF!</v>
      </c>
      <c r="AN116" s="148" t="e">
        <f>Overview!DD4*Overview!$Z4/10*Results_energy_scenarios!$G116</f>
        <v>#REF!</v>
      </c>
      <c r="AO116" s="146" t="e">
        <f>Overview!DE4*Overview!$Z4/10*Results_energy_scenarios!$G116</f>
        <v>#REF!</v>
      </c>
    </row>
    <row r="117" spans="1:41">
      <c r="A117" t="s">
        <v>6</v>
      </c>
      <c r="B117" t="s">
        <v>320</v>
      </c>
      <c r="C117" t="s">
        <v>320</v>
      </c>
      <c r="D117" s="116" t="s">
        <v>347</v>
      </c>
      <c r="E117" s="103"/>
      <c r="F117" s="103"/>
      <c r="G117">
        <f>energy_data_per_scenario!L4*1000</f>
        <v>2689.0004371219102</v>
      </c>
      <c r="H117">
        <f>Overview!E22/(Results_energy_scenarios!G109+Results_energy_scenarios!G117)*G117</f>
        <v>9.4195110160245885E-2</v>
      </c>
      <c r="I117" s="174">
        <f>G117/G127</f>
        <v>3.1461290786880466E-2</v>
      </c>
      <c r="J117" s="99" t="e">
        <f>Overview!AD22*Overview!$Z22/25*$H117</f>
        <v>#REF!</v>
      </c>
      <c r="K117" s="99" t="e">
        <f>Overview!AE22*Overview!$Z22/25*$H117</f>
        <v>#REF!</v>
      </c>
      <c r="L117" s="99" t="e">
        <f>Overview!AF22*Overview!$Z22/25*$H117</f>
        <v>#REF!</v>
      </c>
      <c r="M117" s="99" t="e">
        <f>Overview!AG22*Overview!$Z22/25*$H117</f>
        <v>#REF!</v>
      </c>
      <c r="N117" s="99" t="e">
        <f>Overview!AH22*Overview!$Z22/25*$H117</f>
        <v>#REF!</v>
      </c>
      <c r="O117" s="99" t="e">
        <f>Overview!AI22*Overview!$Z22/25*$H117</f>
        <v>#REF!</v>
      </c>
      <c r="P117" s="99" t="e">
        <f>Overview!AJ22*Overview!$Z22/25*$H117</f>
        <v>#REF!</v>
      </c>
      <c r="Q117" s="99" t="e">
        <f>Overview!AK22*Overview!$Z22/25*$H117</f>
        <v>#REF!</v>
      </c>
      <c r="R117" s="99" t="e">
        <f>Overview!AL22*Overview!$Z22/25*$H117</f>
        <v>#REF!</v>
      </c>
      <c r="S117" s="99" t="e">
        <f>Overview!AM22*Overview!$Z22/25*$H117</f>
        <v>#REF!</v>
      </c>
      <c r="T117" s="99" t="e">
        <f>Overview!AN22*Overview!$Z22/25*$H117</f>
        <v>#REF!</v>
      </c>
      <c r="U117" s="99" t="e">
        <f>Overview!AO22*Overview!$Z22/25*$H117</f>
        <v>#REF!</v>
      </c>
      <c r="V117" s="99" t="e">
        <f>Overview!AP22*Overview!$Z22/25*$H117</f>
        <v>#REF!</v>
      </c>
      <c r="W117" s="99" t="e">
        <f>Overview!AQ22*Overview!$Z22/25*$H117</f>
        <v>#REF!</v>
      </c>
      <c r="X117" s="99" t="e">
        <f>Overview!AR22*Overview!$Z22/25*$H117</f>
        <v>#REF!</v>
      </c>
      <c r="Y117" s="101" t="e">
        <f>Overview!AS22*Overview!$Z22/25*$H117</f>
        <v>#REF!</v>
      </c>
      <c r="Z117" s="99" t="e">
        <f>Overview!CP22*Overview!$Z22/25*$H117</f>
        <v>#REF!</v>
      </c>
      <c r="AA117" s="99" t="e">
        <f>Overview!CQ22*Overview!$Z22/25*$H117</f>
        <v>#REF!</v>
      </c>
      <c r="AB117" s="99" t="e">
        <f>Overview!CR22*Overview!$Z22/25*$H117</f>
        <v>#REF!</v>
      </c>
      <c r="AC117" s="99" t="e">
        <f>Overview!CS22*Overview!$Z22/25*$H117</f>
        <v>#REF!</v>
      </c>
      <c r="AD117" s="99" t="e">
        <f>Overview!CT22*Overview!$Z22/25*$H117</f>
        <v>#REF!</v>
      </c>
      <c r="AE117" s="99" t="e">
        <f>Overview!CU22*Overview!$Z22/25*$H117</f>
        <v>#REF!</v>
      </c>
      <c r="AF117" s="99" t="e">
        <f>Overview!CV22*Overview!$Z22/25*$H117</f>
        <v>#REF!</v>
      </c>
      <c r="AG117" s="99" t="e">
        <f>Overview!CW22*Overview!$Z22/25*$H117</f>
        <v>#REF!</v>
      </c>
      <c r="AH117" s="99" t="e">
        <f>Overview!CX22*Overview!$Z22/25*$H117</f>
        <v>#REF!</v>
      </c>
      <c r="AI117" s="99" t="e">
        <f>Overview!CY22*Overview!$Z22/25*$H117</f>
        <v>#REF!</v>
      </c>
      <c r="AJ117" s="102" t="e">
        <f>Overview!CZ22*Overview!$Z22/25*$H117</f>
        <v>#REF!</v>
      </c>
      <c r="AK117" s="99" t="e">
        <f>Overview!DA22*Overview!$Z22/25*$H117</f>
        <v>#REF!</v>
      </c>
      <c r="AL117" s="99" t="e">
        <f>Overview!DB22*Overview!$Z22/25*$H117</f>
        <v>#REF!</v>
      </c>
      <c r="AM117" s="99" t="e">
        <f>Overview!DC22*Overview!$Z22/25*$H117</f>
        <v>#REF!</v>
      </c>
      <c r="AN117" s="99" t="e">
        <f>Overview!DD22*Overview!$Z22/25*$H117</f>
        <v>#REF!</v>
      </c>
      <c r="AO117" s="101" t="e">
        <f>Overview!DE22*Overview!$Z22/25*$H117</f>
        <v>#REF!</v>
      </c>
    </row>
    <row r="118" spans="1:41">
      <c r="A118" t="s">
        <v>6</v>
      </c>
      <c r="B118" t="s">
        <v>320</v>
      </c>
      <c r="C118" t="s">
        <v>320</v>
      </c>
      <c r="D118" s="116" t="s">
        <v>399</v>
      </c>
      <c r="E118" s="103"/>
      <c r="F118" s="103"/>
      <c r="G118">
        <f>energy_data_per_scenario!L3*1000</f>
        <v>26.123955970000001</v>
      </c>
      <c r="H118">
        <f>Overview!E20/(G111+G118)*G118</f>
        <v>7.5362011483638073E-4</v>
      </c>
      <c r="I118" s="174">
        <f>G118/G127</f>
        <v>3.0565014565617574E-4</v>
      </c>
      <c r="J118" s="99" t="e">
        <f>Overview!AD20*Overview!$Z20/25*Results_energy_scenarios!$H118</f>
        <v>#REF!</v>
      </c>
      <c r="K118" s="99" t="e">
        <f>Overview!AE20*Overview!$Z20/25*Results_energy_scenarios!$H118</f>
        <v>#REF!</v>
      </c>
      <c r="L118" s="99" t="e">
        <f>Overview!AF20*Overview!$Z20/25*Results_energy_scenarios!$H118</f>
        <v>#REF!</v>
      </c>
      <c r="M118" s="99" t="e">
        <f>Overview!AG20*Overview!$Z20/25*Results_energy_scenarios!$H118</f>
        <v>#REF!</v>
      </c>
      <c r="N118" s="99" t="e">
        <f>Overview!AH20*Overview!$Z20/25*Results_energy_scenarios!$H118</f>
        <v>#REF!</v>
      </c>
      <c r="O118" s="99" t="e">
        <f>Overview!AI20*Overview!$Z20/25*Results_energy_scenarios!$H118</f>
        <v>#REF!</v>
      </c>
      <c r="P118" s="99" t="e">
        <f>Overview!AJ20*Overview!$Z20/25*Results_energy_scenarios!$H118</f>
        <v>#REF!</v>
      </c>
      <c r="Q118" s="99" t="e">
        <f>Overview!AK20*Overview!$Z20/25*Results_energy_scenarios!$H118</f>
        <v>#REF!</v>
      </c>
      <c r="R118" s="99" t="e">
        <f>Overview!AL20*Overview!$Z20/25*Results_energy_scenarios!$H118</f>
        <v>#REF!</v>
      </c>
      <c r="S118" s="99" t="e">
        <f>Overview!AM20*Overview!$Z20/25*Results_energy_scenarios!$H118</f>
        <v>#REF!</v>
      </c>
      <c r="T118" s="99" t="e">
        <f>Overview!AN20*Overview!$Z20/25*Results_energy_scenarios!$H118</f>
        <v>#REF!</v>
      </c>
      <c r="U118" s="99" t="e">
        <f>Overview!AO20*Overview!$Z20/25*Results_energy_scenarios!$H118</f>
        <v>#REF!</v>
      </c>
      <c r="V118" s="99" t="e">
        <f>Overview!AP20*Overview!$Z20/25*Results_energy_scenarios!$H118</f>
        <v>#REF!</v>
      </c>
      <c r="W118" s="99" t="e">
        <f>Overview!AQ20*Overview!$Z20/25*Results_energy_scenarios!$H118</f>
        <v>#REF!</v>
      </c>
      <c r="X118" s="99" t="e">
        <f>Overview!AR20*Overview!$Z20/25*Results_energy_scenarios!$H118</f>
        <v>#REF!</v>
      </c>
      <c r="Y118" s="101" t="e">
        <f>Overview!AS20*Overview!$Z20/25*Results_energy_scenarios!$H118</f>
        <v>#REF!</v>
      </c>
      <c r="Z118" s="99" t="e">
        <f>Overview!CP20*Overview!$Z20/25*Results_energy_scenarios!$H118</f>
        <v>#REF!</v>
      </c>
      <c r="AA118" s="99" t="e">
        <f>Overview!CQ20*Overview!$Z20/25*Results_energy_scenarios!$H118</f>
        <v>#REF!</v>
      </c>
      <c r="AB118" s="99" t="e">
        <f>Overview!CR20*Overview!$Z20/25*Results_energy_scenarios!$H118</f>
        <v>#REF!</v>
      </c>
      <c r="AC118" s="99" t="e">
        <f>Overview!CS20*Overview!$Z20/25*Results_energy_scenarios!$H118</f>
        <v>#REF!</v>
      </c>
      <c r="AD118" s="99" t="e">
        <f>Overview!CT20*Overview!$Z20/25*Results_energy_scenarios!$H118</f>
        <v>#REF!</v>
      </c>
      <c r="AE118" s="99" t="e">
        <f>Overview!CU20*Overview!$Z20/25*Results_energy_scenarios!$H118</f>
        <v>#REF!</v>
      </c>
      <c r="AF118" s="99" t="e">
        <f>Overview!CV20*Overview!$Z20/25*Results_energy_scenarios!$H118</f>
        <v>#REF!</v>
      </c>
      <c r="AG118" s="99" t="e">
        <f>Overview!CW20*Overview!$Z20/25*Results_energy_scenarios!$H118</f>
        <v>#REF!</v>
      </c>
      <c r="AH118" s="99" t="e">
        <f>Overview!CX20*Overview!$Z20/25*Results_energy_scenarios!$H118</f>
        <v>#REF!</v>
      </c>
      <c r="AI118" s="99" t="e">
        <f>Overview!CY20*Overview!$Z20/25*Results_energy_scenarios!$H118</f>
        <v>#REF!</v>
      </c>
      <c r="AJ118" s="102" t="e">
        <f>Overview!CZ20*Overview!$Z20/25*Results_energy_scenarios!$H118</f>
        <v>#REF!</v>
      </c>
      <c r="AK118" s="99" t="e">
        <f>Overview!DA20*Overview!$Z20/25*Results_energy_scenarios!$H118</f>
        <v>#REF!</v>
      </c>
      <c r="AL118" s="99" t="e">
        <f>Overview!DB20*Overview!$Z20/25*Results_energy_scenarios!$H118</f>
        <v>#REF!</v>
      </c>
      <c r="AM118" s="99" t="e">
        <f>Overview!DC20*Overview!$Z20/25*Results_energy_scenarios!$H118</f>
        <v>#REF!</v>
      </c>
      <c r="AN118" s="99" t="e">
        <f>Overview!DD20*Overview!$Z20/25*Results_energy_scenarios!$H118</f>
        <v>#REF!</v>
      </c>
      <c r="AO118" s="101" t="e">
        <f>Overview!DE20*Overview!$Z20/25*Results_energy_scenarios!$H118</f>
        <v>#REF!</v>
      </c>
    </row>
    <row r="119" spans="1:41">
      <c r="A119" t="s">
        <v>6</v>
      </c>
      <c r="B119" t="s">
        <v>320</v>
      </c>
      <c r="C119" t="s">
        <v>320</v>
      </c>
      <c r="D119" s="115" t="s">
        <v>322</v>
      </c>
      <c r="E119" s="103"/>
      <c r="F119" s="103"/>
      <c r="G119">
        <v>8075</v>
      </c>
      <c r="H119" s="103"/>
      <c r="I119" s="174"/>
      <c r="J119" s="99" t="e">
        <f t="shared" ref="J119:AO119" si="91">J94/$G94*$G119</f>
        <v>#REF!</v>
      </c>
      <c r="K119" s="99" t="e">
        <f t="shared" si="91"/>
        <v>#REF!</v>
      </c>
      <c r="L119" s="99" t="e">
        <f t="shared" si="91"/>
        <v>#REF!</v>
      </c>
      <c r="M119" s="99" t="e">
        <f t="shared" si="91"/>
        <v>#REF!</v>
      </c>
      <c r="N119" s="99" t="e">
        <f t="shared" si="91"/>
        <v>#REF!</v>
      </c>
      <c r="O119" s="99" t="e">
        <f t="shared" si="91"/>
        <v>#REF!</v>
      </c>
      <c r="P119" s="99" t="e">
        <f t="shared" si="91"/>
        <v>#REF!</v>
      </c>
      <c r="Q119" s="99" t="e">
        <f t="shared" si="91"/>
        <v>#REF!</v>
      </c>
      <c r="R119" s="99" t="e">
        <f t="shared" si="91"/>
        <v>#REF!</v>
      </c>
      <c r="S119" s="99" t="e">
        <f t="shared" si="91"/>
        <v>#REF!</v>
      </c>
      <c r="T119" s="99" t="e">
        <f t="shared" si="91"/>
        <v>#REF!</v>
      </c>
      <c r="U119" s="99" t="e">
        <f t="shared" si="91"/>
        <v>#REF!</v>
      </c>
      <c r="V119" s="99" t="e">
        <f t="shared" si="91"/>
        <v>#REF!</v>
      </c>
      <c r="W119" s="99" t="e">
        <f t="shared" si="91"/>
        <v>#REF!</v>
      </c>
      <c r="X119" s="99" t="e">
        <f t="shared" si="91"/>
        <v>#REF!</v>
      </c>
      <c r="Y119" s="101" t="e">
        <f t="shared" si="91"/>
        <v>#REF!</v>
      </c>
      <c r="Z119" s="99" t="e">
        <f t="shared" si="91"/>
        <v>#REF!</v>
      </c>
      <c r="AA119" s="99" t="e">
        <f t="shared" si="91"/>
        <v>#REF!</v>
      </c>
      <c r="AB119" s="99" t="e">
        <f t="shared" si="91"/>
        <v>#REF!</v>
      </c>
      <c r="AC119" s="99" t="e">
        <f t="shared" si="91"/>
        <v>#REF!</v>
      </c>
      <c r="AD119" s="99" t="e">
        <f t="shared" si="91"/>
        <v>#REF!</v>
      </c>
      <c r="AE119" s="99" t="e">
        <f t="shared" si="91"/>
        <v>#REF!</v>
      </c>
      <c r="AF119" s="99" t="e">
        <f t="shared" si="91"/>
        <v>#REF!</v>
      </c>
      <c r="AG119" s="99" t="e">
        <f t="shared" si="91"/>
        <v>#REF!</v>
      </c>
      <c r="AH119" s="99" t="e">
        <f t="shared" si="91"/>
        <v>#REF!</v>
      </c>
      <c r="AI119" s="99" t="e">
        <f t="shared" si="91"/>
        <v>#REF!</v>
      </c>
      <c r="AJ119" s="102" t="e">
        <f t="shared" si="91"/>
        <v>#REF!</v>
      </c>
      <c r="AK119" s="99" t="e">
        <f t="shared" si="91"/>
        <v>#REF!</v>
      </c>
      <c r="AL119" s="99" t="e">
        <f t="shared" si="91"/>
        <v>#REF!</v>
      </c>
      <c r="AM119" s="99" t="e">
        <f t="shared" si="91"/>
        <v>#REF!</v>
      </c>
      <c r="AN119" s="99" t="e">
        <f t="shared" si="91"/>
        <v>#REF!</v>
      </c>
      <c r="AO119" s="101" t="e">
        <f t="shared" si="91"/>
        <v>#REF!</v>
      </c>
    </row>
    <row r="120" spans="1:41">
      <c r="A120" t="s">
        <v>6</v>
      </c>
      <c r="B120" t="s">
        <v>320</v>
      </c>
      <c r="C120" t="s">
        <v>320</v>
      </c>
      <c r="D120" s="142" t="s">
        <v>394</v>
      </c>
      <c r="E120" s="103"/>
      <c r="F120" s="103"/>
      <c r="G120">
        <f>energy_data_per_scenario!L2*1000</f>
        <v>4280</v>
      </c>
      <c r="H120">
        <f>Overview!E16</f>
        <v>1.381501867391937</v>
      </c>
      <c r="I120" s="174">
        <f>G120/G127</f>
        <v>5.0075977195441275E-2</v>
      </c>
      <c r="J120" s="99" t="e">
        <f>Overview!AD17*Overview!$Z17/25*Results_energy_scenarios!$H120+Overview!AD16*Overview!$Z16*Results_energy_scenarios!$G120</f>
        <v>#REF!</v>
      </c>
      <c r="K120" s="99" t="e">
        <f>Overview!AE17*Overview!$Z17/25*Results_energy_scenarios!$H120+Overview!AE16*Overview!$Z16*Results_energy_scenarios!$G120</f>
        <v>#REF!</v>
      </c>
      <c r="L120" s="99" t="e">
        <f>Overview!AF17*Overview!$Z17/25*Results_energy_scenarios!$H120+Overview!AF16*Overview!$Z16*Results_energy_scenarios!$G120</f>
        <v>#REF!</v>
      </c>
      <c r="M120" s="99" t="e">
        <f>Overview!AG17*Overview!$Z17/25*Results_energy_scenarios!$H120+Overview!AG16*Overview!$Z16*Results_energy_scenarios!$G120</f>
        <v>#REF!</v>
      </c>
      <c r="N120" s="99" t="e">
        <f>Overview!AH17*Overview!$Z17/25*Results_energy_scenarios!$H120+Overview!AH16*Overview!$Z16*Results_energy_scenarios!$G120</f>
        <v>#REF!</v>
      </c>
      <c r="O120" s="99" t="e">
        <f>Overview!AI17*Overview!$Z17/25*Results_energy_scenarios!$H120+Overview!AI16*Overview!$Z16*Results_energy_scenarios!$G120</f>
        <v>#REF!</v>
      </c>
      <c r="P120" s="99" t="e">
        <f>Overview!AJ17*Overview!$Z17/25*Results_energy_scenarios!$H120+Overview!AJ16*Overview!$Z16*Results_energy_scenarios!$G120</f>
        <v>#REF!</v>
      </c>
      <c r="Q120" s="99" t="e">
        <f>Overview!AK17*Overview!$Z17/25*Results_energy_scenarios!$H120+Overview!AK16*Overview!$Z16*Results_energy_scenarios!$G120</f>
        <v>#REF!</v>
      </c>
      <c r="R120" s="99" t="e">
        <f>Overview!AL17*Overview!$Z17/25*Results_energy_scenarios!$H120+Overview!AL16*Overview!$Z16*Results_energy_scenarios!$G120</f>
        <v>#REF!</v>
      </c>
      <c r="S120" s="99" t="e">
        <f>Overview!AM17*Overview!$Z17/25*Results_energy_scenarios!$H120+Overview!AM16*Overview!$Z16*Results_energy_scenarios!$G120</f>
        <v>#REF!</v>
      </c>
      <c r="T120" s="99" t="e">
        <f>Overview!AN17*Overview!$Z17/25*Results_energy_scenarios!$H120+Overview!AN16*Overview!$Z16*Results_energy_scenarios!$G120</f>
        <v>#REF!</v>
      </c>
      <c r="U120" s="99" t="e">
        <f>Overview!AO17*Overview!$Z17/25*Results_energy_scenarios!$H120+Overview!AO16*Overview!$Z16*Results_energy_scenarios!$G120</f>
        <v>#REF!</v>
      </c>
      <c r="V120" s="99" t="e">
        <f>Overview!AP17*Overview!$Z17/25*Results_energy_scenarios!$H120+Overview!AP16*Overview!$Z16*Results_energy_scenarios!$G120</f>
        <v>#REF!</v>
      </c>
      <c r="W120" s="99" t="e">
        <f>Overview!AQ17*Overview!$Z17/25*Results_energy_scenarios!$H120+Overview!AQ16*Overview!$Z16*Results_energy_scenarios!$G120</f>
        <v>#REF!</v>
      </c>
      <c r="X120" s="99" t="e">
        <f>Overview!AR17*Overview!$Z17/25*Results_energy_scenarios!$H120+Overview!AR16*Overview!$Z16*Results_energy_scenarios!$G120</f>
        <v>#REF!</v>
      </c>
      <c r="Y120" s="101" t="e">
        <f>Overview!AS17*Overview!$Z17/25*Results_energy_scenarios!$H120+Overview!AS16*Overview!$Z16*Results_energy_scenarios!$G120</f>
        <v>#REF!</v>
      </c>
      <c r="Z120" s="99" t="e">
        <f>Overview!CP17*Overview!$Z17/25*Results_energy_scenarios!$H120+Overview!CP16*Overview!$Z16*Results_energy_scenarios!$G120</f>
        <v>#REF!</v>
      </c>
      <c r="AA120" s="99" t="e">
        <f>Overview!CQ17*Overview!$Z17/25*Results_energy_scenarios!$H120+Overview!CQ16*Overview!$Z16*Results_energy_scenarios!$G120</f>
        <v>#REF!</v>
      </c>
      <c r="AB120" s="99" t="e">
        <f>Overview!CR17*Overview!$Z17/25*Results_energy_scenarios!$H120+Overview!CR16*Overview!$Z16*Results_energy_scenarios!$G120</f>
        <v>#REF!</v>
      </c>
      <c r="AC120" s="99" t="e">
        <f>Overview!CS17*Overview!$Z17/25*Results_energy_scenarios!$H120+Overview!CS16*Overview!$Z16*Results_energy_scenarios!$G120</f>
        <v>#REF!</v>
      </c>
      <c r="AD120" s="99" t="e">
        <f>Overview!CT17*Overview!$Z17/25*Results_energy_scenarios!$H120+Overview!CT16*Overview!$Z16*Results_energy_scenarios!$G120</f>
        <v>#REF!</v>
      </c>
      <c r="AE120" s="99" t="e">
        <f>Overview!CU17*Overview!$Z17/25*Results_energy_scenarios!$H120+Overview!CU16*Overview!$Z16*Results_energy_scenarios!$G120</f>
        <v>#REF!</v>
      </c>
      <c r="AF120" s="99" t="e">
        <f>Overview!CV17*Overview!$Z17/25*Results_energy_scenarios!$H120+Overview!CV16*Overview!$Z16*Results_energy_scenarios!$G120</f>
        <v>#REF!</v>
      </c>
      <c r="AG120" s="99" t="e">
        <f>Overview!CW17*Overview!$Z17/25*Results_energy_scenarios!$H120+Overview!CW16*Overview!$Z16*Results_energy_scenarios!$G120</f>
        <v>#REF!</v>
      </c>
      <c r="AH120" s="99" t="e">
        <f>Overview!CX17*Overview!$Z17/25*Results_energy_scenarios!$H120+Overview!CX16*Overview!$Z16*Results_energy_scenarios!$G120</f>
        <v>#REF!</v>
      </c>
      <c r="AI120" s="99" t="e">
        <f>Overview!CY17*Overview!$Z17/25*Results_energy_scenarios!$H120+Overview!CY16*Overview!$Z16*Results_energy_scenarios!$G120</f>
        <v>#REF!</v>
      </c>
      <c r="AJ120" s="99" t="e">
        <f>Overview!CZ17*Overview!$Z17/25*Results_energy_scenarios!$H120+Overview!CZ16*Overview!$Z16*Results_energy_scenarios!$G120</f>
        <v>#REF!</v>
      </c>
      <c r="AK120" s="99" t="e">
        <f>Overview!DA17*Overview!$Z17/25*Results_energy_scenarios!$H120+Overview!DA16*Overview!$Z16*Results_energy_scenarios!$G120</f>
        <v>#REF!</v>
      </c>
      <c r="AL120" s="99" t="e">
        <f>Overview!DB17*Overview!$Z17/25*Results_energy_scenarios!$H120+Overview!DB16*Overview!$Z16*Results_energy_scenarios!$G120</f>
        <v>#REF!</v>
      </c>
      <c r="AM120" s="99" t="e">
        <f>Overview!DC17*Overview!$Z17/25*Results_energy_scenarios!$H120+Overview!DC16*Overview!$Z16*Results_energy_scenarios!$G120</f>
        <v>#REF!</v>
      </c>
      <c r="AN120" s="99" t="e">
        <f>Overview!DD17*Overview!$Z17/25*Results_energy_scenarios!$H120+Overview!DD16*Overview!$Z16*Results_energy_scenarios!$G120</f>
        <v>#REF!</v>
      </c>
      <c r="AO120" s="101" t="e">
        <f>Overview!DE17*Overview!$Z17/25*Results_energy_scenarios!$H120+Overview!DE16*Overview!$Z16*Results_energy_scenarios!$G120</f>
        <v>#REF!</v>
      </c>
    </row>
    <row r="121" spans="1:41">
      <c r="A121" t="s">
        <v>6</v>
      </c>
      <c r="B121" t="s">
        <v>320</v>
      </c>
      <c r="C121" t="s">
        <v>320</v>
      </c>
      <c r="D121" s="129" t="s">
        <v>161</v>
      </c>
      <c r="E121" s="103"/>
      <c r="F121" s="103"/>
      <c r="G121">
        <f>energy_data_per_scenario!L9*1000</f>
        <v>30250</v>
      </c>
      <c r="H121">
        <f>Overview!E47</f>
        <v>33.760486338428279</v>
      </c>
      <c r="I121" s="174">
        <f>G121/G127</f>
        <v>0.35392483882292025</v>
      </c>
      <c r="J121" s="99" t="e">
        <f>Overview!AD47*Overview!$Z47/30*Results_energy_scenarios!$H121</f>
        <v>#REF!</v>
      </c>
      <c r="K121" s="99" t="e">
        <f>Overview!AE47*Overview!$Z47/30*Results_energy_scenarios!$H121</f>
        <v>#REF!</v>
      </c>
      <c r="L121" s="99" t="e">
        <f>Overview!AF47*Overview!$Z47/30*Results_energy_scenarios!$H121</f>
        <v>#REF!</v>
      </c>
      <c r="M121" s="99" t="e">
        <f>Overview!AG47*Overview!$Z47/30*Results_energy_scenarios!$H121</f>
        <v>#REF!</v>
      </c>
      <c r="N121" s="99" t="e">
        <f>Overview!AH47*Overview!$Z47/30*Results_energy_scenarios!$H121</f>
        <v>#REF!</v>
      </c>
      <c r="O121" s="99" t="e">
        <f>Overview!AI47*Overview!$Z47/30*Results_energy_scenarios!$H121</f>
        <v>#REF!</v>
      </c>
      <c r="P121" s="99" t="e">
        <f>Overview!AJ47*Overview!$Z47/30*Results_energy_scenarios!$H121</f>
        <v>#REF!</v>
      </c>
      <c r="Q121" s="99" t="e">
        <f>Overview!AK47*Overview!$Z47/30*Results_energy_scenarios!$H121</f>
        <v>#REF!</v>
      </c>
      <c r="R121" s="99" t="e">
        <f>Overview!AL47*Overview!$Z47/30*Results_energy_scenarios!$H121</f>
        <v>#REF!</v>
      </c>
      <c r="S121" s="99" t="e">
        <f>Overview!AM47*Overview!$Z47/30*Results_energy_scenarios!$H121</f>
        <v>#REF!</v>
      </c>
      <c r="T121" s="99" t="e">
        <f>Overview!AN47*Overview!$Z47/30*Results_energy_scenarios!$H121</f>
        <v>#REF!</v>
      </c>
      <c r="U121" s="99" t="e">
        <f>Overview!AO47*Overview!$Z47/30*Results_energy_scenarios!$H121</f>
        <v>#REF!</v>
      </c>
      <c r="V121" s="99" t="e">
        <f>Overview!AP47*Overview!$Z47/30*Results_energy_scenarios!$H121</f>
        <v>#REF!</v>
      </c>
      <c r="W121" s="99" t="e">
        <f>Overview!AQ47*Overview!$Z47/30*Results_energy_scenarios!$H121</f>
        <v>#REF!</v>
      </c>
      <c r="X121" s="99" t="e">
        <f>Overview!AR47*Overview!$Z47/30*Results_energy_scenarios!$H121</f>
        <v>#REF!</v>
      </c>
      <c r="Y121" s="101" t="e">
        <f>Overview!AS47*Overview!$Z47/30*Results_energy_scenarios!$H121</f>
        <v>#REF!</v>
      </c>
      <c r="Z121" s="99" t="e">
        <f>Overview!CP47*Overview!$Z47/30*Results_energy_scenarios!$H121</f>
        <v>#REF!</v>
      </c>
      <c r="AA121" s="99" t="e">
        <f>Overview!CQ47*Overview!$Z47/30*Results_energy_scenarios!$H121</f>
        <v>#REF!</v>
      </c>
      <c r="AB121" s="99" t="e">
        <f>Overview!CR47*Overview!$Z47/30*Results_energy_scenarios!$H121</f>
        <v>#REF!</v>
      </c>
      <c r="AC121" s="99" t="e">
        <f>Overview!CS47*Overview!$Z47/30*Results_energy_scenarios!$H121</f>
        <v>#REF!</v>
      </c>
      <c r="AD121" s="99" t="e">
        <f>Overview!CT47*Overview!$Z47/30*Results_energy_scenarios!$H121</f>
        <v>#REF!</v>
      </c>
      <c r="AE121" s="99" t="e">
        <f>Overview!CU47*Overview!$Z47/30*Results_energy_scenarios!$H121</f>
        <v>#REF!</v>
      </c>
      <c r="AF121" s="99" t="e">
        <f>Overview!CV47*Overview!$Z47/30*Results_energy_scenarios!$H121</f>
        <v>#REF!</v>
      </c>
      <c r="AG121" s="99" t="e">
        <f>Overview!CW47*Overview!$Z47/30*Results_energy_scenarios!$H121</f>
        <v>#REF!</v>
      </c>
      <c r="AH121" s="99" t="e">
        <f>Overview!CX47*Overview!$Z47/30*Results_energy_scenarios!$H121</f>
        <v>#REF!</v>
      </c>
      <c r="AI121" s="99" t="e">
        <f>Overview!CY47*Overview!$Z47/30*Results_energy_scenarios!$H121</f>
        <v>#REF!</v>
      </c>
      <c r="AJ121" s="99" t="e">
        <f>Overview!CZ47*Overview!$Z47/30*Results_energy_scenarios!$H121</f>
        <v>#REF!</v>
      </c>
      <c r="AK121" s="99" t="e">
        <f>Overview!DA47*Overview!$Z47/30*Results_energy_scenarios!$H121</f>
        <v>#REF!</v>
      </c>
      <c r="AL121" s="99" t="e">
        <f>Overview!DB47*Overview!$Z47/30*Results_energy_scenarios!$H121</f>
        <v>#REF!</v>
      </c>
      <c r="AM121" s="99" t="e">
        <f>Overview!DC47*Overview!$Z47/30*Results_energy_scenarios!$H121</f>
        <v>#REF!</v>
      </c>
      <c r="AN121" s="99" t="e">
        <f>Overview!DD47*Overview!$Z47/30*Results_energy_scenarios!$H121</f>
        <v>#REF!</v>
      </c>
      <c r="AO121" s="101" t="e">
        <f>Overview!DE47*Overview!$Z47/30*Results_energy_scenarios!$H121</f>
        <v>#REF!</v>
      </c>
    </row>
    <row r="122" spans="1:41">
      <c r="A122" t="s">
        <v>6</v>
      </c>
      <c r="B122" t="s">
        <v>320</v>
      </c>
      <c r="C122" t="s">
        <v>320</v>
      </c>
      <c r="D122" s="130" t="s">
        <v>190</v>
      </c>
      <c r="E122" s="103"/>
      <c r="F122" s="103"/>
      <c r="G122">
        <f>energy_data_per_scenario!L6*1000</f>
        <v>16050</v>
      </c>
      <c r="H122">
        <f>Overview!E55</f>
        <v>8.9763100000000016</v>
      </c>
      <c r="I122" s="174">
        <f>G122/G127</f>
        <v>0.1877849144829048</v>
      </c>
      <c r="J122" s="99" t="e">
        <f>Overview!AD55*Overview!$Z55*Results_energy_scenarios!$G122</f>
        <v>#REF!</v>
      </c>
      <c r="K122" s="99" t="e">
        <f>Overview!AE55*Overview!$Z55*Results_energy_scenarios!$G122</f>
        <v>#REF!</v>
      </c>
      <c r="L122" s="99" t="e">
        <f>Overview!AF55*Overview!$Z55*Results_energy_scenarios!$G122</f>
        <v>#REF!</v>
      </c>
      <c r="M122" s="99" t="e">
        <f>Overview!AG55*Overview!$Z55*Results_energy_scenarios!$G122</f>
        <v>#REF!</v>
      </c>
      <c r="N122" s="99" t="e">
        <f>Overview!AH55*Overview!$Z55*Results_energy_scenarios!$G122</f>
        <v>#REF!</v>
      </c>
      <c r="O122" s="99" t="e">
        <f>Overview!AI55*Overview!$Z55*Results_energy_scenarios!$G122</f>
        <v>#REF!</v>
      </c>
      <c r="P122" s="99" t="e">
        <f>Overview!AJ55*Overview!$Z55*Results_energy_scenarios!$G122</f>
        <v>#REF!</v>
      </c>
      <c r="Q122" s="99" t="e">
        <f>Overview!AK55*Overview!$Z55*Results_energy_scenarios!$G122</f>
        <v>#REF!</v>
      </c>
      <c r="R122" s="99" t="e">
        <f>Overview!AL55*Overview!$Z55*Results_energy_scenarios!$G122</f>
        <v>#REF!</v>
      </c>
      <c r="S122" s="99" t="e">
        <f>Overview!AM55*Overview!$Z55*Results_energy_scenarios!$G122</f>
        <v>#REF!</v>
      </c>
      <c r="T122" s="99" t="e">
        <f>Overview!AN55*Overview!$Z55*Results_energy_scenarios!$G122</f>
        <v>#REF!</v>
      </c>
      <c r="U122" s="99" t="e">
        <f>Overview!AO55*Overview!$Z55*Results_energy_scenarios!$G122</f>
        <v>#REF!</v>
      </c>
      <c r="V122" s="99" t="e">
        <f>Overview!AP55*Overview!$Z55*Results_energy_scenarios!$G122</f>
        <v>#REF!</v>
      </c>
      <c r="W122" s="99" t="e">
        <f>Overview!AQ55*Overview!$Z55*Results_energy_scenarios!$G122</f>
        <v>#REF!</v>
      </c>
      <c r="X122" s="99" t="e">
        <f>Overview!AR55*Overview!$Z55*Results_energy_scenarios!$G122</f>
        <v>#REF!</v>
      </c>
      <c r="Y122" s="101" t="e">
        <f>Overview!AS55*Overview!$Z55*Results_energy_scenarios!$G122</f>
        <v>#REF!</v>
      </c>
      <c r="Z122" s="99" t="e">
        <f>Overview!CP55*Overview!$Z55*Results_energy_scenarios!$G122</f>
        <v>#REF!</v>
      </c>
      <c r="AA122" s="99" t="e">
        <f>Overview!CQ55*Overview!$Z55*Results_energy_scenarios!$G122</f>
        <v>#REF!</v>
      </c>
      <c r="AB122" s="99" t="e">
        <f>Overview!CR55*Overview!$Z55*Results_energy_scenarios!$G122</f>
        <v>#REF!</v>
      </c>
      <c r="AC122" s="99" t="e">
        <f>Overview!CS55*Overview!$Z55*Results_energy_scenarios!$G122</f>
        <v>#REF!</v>
      </c>
      <c r="AD122" s="99" t="e">
        <f>Overview!CT55*Overview!$Z55*Results_energy_scenarios!$G122</f>
        <v>#REF!</v>
      </c>
      <c r="AE122" s="99" t="e">
        <f>Overview!CU55*Overview!$Z55*Results_energy_scenarios!$G122</f>
        <v>#REF!</v>
      </c>
      <c r="AF122" s="99" t="e">
        <f>Overview!CV55*Overview!$Z55*Results_energy_scenarios!$G122</f>
        <v>#REF!</v>
      </c>
      <c r="AG122" s="99" t="e">
        <f>Overview!CW55*Overview!$Z55*Results_energy_scenarios!$G122</f>
        <v>#REF!</v>
      </c>
      <c r="AH122" s="99" t="e">
        <f>Overview!CX55*Overview!$Z55*Results_energy_scenarios!$G122</f>
        <v>#REF!</v>
      </c>
      <c r="AI122" s="99" t="e">
        <f>Overview!CY55*Overview!$Z55*Results_energy_scenarios!$G122</f>
        <v>#REF!</v>
      </c>
      <c r="AJ122" s="99" t="e">
        <f>Overview!CZ55*Overview!$Z55*Results_energy_scenarios!$G122</f>
        <v>#REF!</v>
      </c>
      <c r="AK122" s="99" t="e">
        <f>Overview!DA55*Overview!$Z55*Results_energy_scenarios!$G122</f>
        <v>#REF!</v>
      </c>
      <c r="AL122" s="99" t="e">
        <f>Overview!DB55*Overview!$Z55*Results_energy_scenarios!$G122</f>
        <v>#REF!</v>
      </c>
      <c r="AM122" s="99" t="e">
        <f>Overview!DC55*Overview!$Z55*Results_energy_scenarios!$G122</f>
        <v>#REF!</v>
      </c>
      <c r="AN122" s="99" t="e">
        <f>Overview!DD55*Overview!$Z55*Results_energy_scenarios!$G122</f>
        <v>#REF!</v>
      </c>
      <c r="AO122" s="101" t="e">
        <f>Overview!DE55*Overview!$Z55*Results_energy_scenarios!$G122</f>
        <v>#REF!</v>
      </c>
    </row>
    <row r="123" spans="1:41">
      <c r="A123" t="s">
        <v>6</v>
      </c>
      <c r="B123" t="s">
        <v>320</v>
      </c>
      <c r="C123" t="s">
        <v>320</v>
      </c>
      <c r="D123" s="131" t="s">
        <v>372</v>
      </c>
      <c r="E123" s="103"/>
      <c r="F123" s="103"/>
      <c r="G123">
        <f>energy_data_per_scenario!L7*1000</f>
        <v>15490</v>
      </c>
      <c r="H123">
        <f>Overview!E54</f>
        <v>4.0666798000000002</v>
      </c>
      <c r="I123" s="174">
        <f>G123/G127</f>
        <v>0.18123291746667883</v>
      </c>
      <c r="J123" s="99" t="e">
        <f>Overview!AD54*Overview!$Z54*Results_energy_scenarios!$G123</f>
        <v>#REF!</v>
      </c>
      <c r="K123" s="99" t="e">
        <f>Overview!AE54*Overview!$Z54*Results_energy_scenarios!$G123</f>
        <v>#REF!</v>
      </c>
      <c r="L123" s="99" t="e">
        <f>Overview!AF54*Overview!$Z54*Results_energy_scenarios!$G123</f>
        <v>#REF!</v>
      </c>
      <c r="M123" s="99" t="e">
        <f>Overview!AG54*Overview!$Z54*Results_energy_scenarios!$G123</f>
        <v>#REF!</v>
      </c>
      <c r="N123" s="99" t="e">
        <f>Overview!AH54*Overview!$Z54*Results_energy_scenarios!$G123</f>
        <v>#REF!</v>
      </c>
      <c r="O123" s="99" t="e">
        <f>Overview!AI54*Overview!$Z54*Results_energy_scenarios!$G123</f>
        <v>#REF!</v>
      </c>
      <c r="P123" s="99" t="e">
        <f>Overview!AJ54*Overview!$Z54*Results_energy_scenarios!$G123</f>
        <v>#REF!</v>
      </c>
      <c r="Q123" s="99" t="e">
        <f>Overview!AK54*Overview!$Z54*Results_energy_scenarios!$G123</f>
        <v>#REF!</v>
      </c>
      <c r="R123" s="99" t="e">
        <f>Overview!AL54*Overview!$Z54*Results_energy_scenarios!$G123</f>
        <v>#REF!</v>
      </c>
      <c r="S123" s="99" t="e">
        <f>Overview!AM54*Overview!$Z54*Results_energy_scenarios!$G123</f>
        <v>#REF!</v>
      </c>
      <c r="T123" s="99" t="e">
        <f>Overview!AN54*Overview!$Z54*Results_energy_scenarios!$G123</f>
        <v>#REF!</v>
      </c>
      <c r="U123" s="99" t="e">
        <f>Overview!AO54*Overview!$Z54*Results_energy_scenarios!$G123</f>
        <v>#REF!</v>
      </c>
      <c r="V123" s="99" t="e">
        <f>Overview!AP54*Overview!$Z54*Results_energy_scenarios!$G123</f>
        <v>#REF!</v>
      </c>
      <c r="W123" s="99" t="e">
        <f>Overview!AQ54*Overview!$Z54*Results_energy_scenarios!$G123</f>
        <v>#REF!</v>
      </c>
      <c r="X123" s="99" t="e">
        <f>Overview!AR54*Overview!$Z54*Results_energy_scenarios!$G123</f>
        <v>#REF!</v>
      </c>
      <c r="Y123" s="101" t="e">
        <f>Overview!AS54*Overview!$Z54*Results_energy_scenarios!$G123</f>
        <v>#REF!</v>
      </c>
      <c r="Z123" s="99" t="e">
        <f>Overview!CP54*Overview!$Z54*Results_energy_scenarios!$G123</f>
        <v>#REF!</v>
      </c>
      <c r="AA123" s="99" t="e">
        <f>Overview!CQ54*Overview!$Z54*Results_energy_scenarios!$G123</f>
        <v>#REF!</v>
      </c>
      <c r="AB123" s="99" t="e">
        <f>Overview!CR54*Overview!$Z54*Results_energy_scenarios!$G123</f>
        <v>#REF!</v>
      </c>
      <c r="AC123" s="99" t="e">
        <f>Overview!CS54*Overview!$Z54*Results_energy_scenarios!$G123</f>
        <v>#REF!</v>
      </c>
      <c r="AD123" s="99" t="e">
        <f>Overview!CT54*Overview!$Z54*Results_energy_scenarios!$G123</f>
        <v>#REF!</v>
      </c>
      <c r="AE123" s="99" t="e">
        <f>Overview!CU54*Overview!$Z54*Results_energy_scenarios!$G123</f>
        <v>#REF!</v>
      </c>
      <c r="AF123" s="99" t="e">
        <f>Overview!CV54*Overview!$Z54*Results_energy_scenarios!$G123</f>
        <v>#REF!</v>
      </c>
      <c r="AG123" s="99" t="e">
        <f>Overview!CW54*Overview!$Z54*Results_energy_scenarios!$G123</f>
        <v>#REF!</v>
      </c>
      <c r="AH123" s="99" t="e">
        <f>Overview!CX54*Overview!$Z54*Results_energy_scenarios!$G123</f>
        <v>#REF!</v>
      </c>
      <c r="AI123" s="99" t="e">
        <f>Overview!CY54*Overview!$Z54*Results_energy_scenarios!$G123</f>
        <v>#REF!</v>
      </c>
      <c r="AJ123" s="99" t="e">
        <f>Overview!CZ54*Overview!$Z54*Results_energy_scenarios!$G123</f>
        <v>#REF!</v>
      </c>
      <c r="AK123" s="99" t="e">
        <f>Overview!DA54*Overview!$Z54*Results_energy_scenarios!$G123</f>
        <v>#REF!</v>
      </c>
      <c r="AL123" s="99" t="e">
        <f>Overview!DB54*Overview!$Z54*Results_energy_scenarios!$G123</f>
        <v>#REF!</v>
      </c>
      <c r="AM123" s="99" t="e">
        <f>Overview!DC54*Overview!$Z54*Results_energy_scenarios!$G123</f>
        <v>#REF!</v>
      </c>
      <c r="AN123" s="99" t="e">
        <f>Overview!DD54*Overview!$Z54*Results_energy_scenarios!$G123</f>
        <v>#REF!</v>
      </c>
      <c r="AO123" s="101" t="e">
        <f>Overview!DE54*Overview!$Z54*Results_energy_scenarios!$G123</f>
        <v>#REF!</v>
      </c>
    </row>
    <row r="124" spans="1:41">
      <c r="A124" t="s">
        <v>6</v>
      </c>
      <c r="B124" t="s">
        <v>320</v>
      </c>
      <c r="C124" t="s">
        <v>320</v>
      </c>
      <c r="D124" s="132" t="s">
        <v>310</v>
      </c>
      <c r="E124" s="103"/>
      <c r="F124" s="103"/>
      <c r="G124">
        <f>energy_data_per_scenario!L11*1000</f>
        <v>8039.9999999999991</v>
      </c>
      <c r="H124">
        <f>Overview!E50</f>
        <v>4.4454793358204716</v>
      </c>
      <c r="I124" s="174">
        <f>G124/G127</f>
        <v>9.4067957161529867E-2</v>
      </c>
      <c r="J124" s="99" t="e">
        <f>Overview!AD50*Overview!$Z50*Results_energy_scenarios!$G124</f>
        <v>#REF!</v>
      </c>
      <c r="K124" s="99" t="e">
        <f>Overview!AE50*Overview!$Z50*Results_energy_scenarios!$G124</f>
        <v>#REF!</v>
      </c>
      <c r="L124" s="99" t="e">
        <f>Overview!AF50*Overview!$Z50*Results_energy_scenarios!$G124</f>
        <v>#REF!</v>
      </c>
      <c r="M124" s="99" t="e">
        <f>Overview!AG50*Overview!$Z50*Results_energy_scenarios!$G124</f>
        <v>#REF!</v>
      </c>
      <c r="N124" s="99" t="e">
        <f>Overview!AH50*Overview!$Z50*Results_energy_scenarios!$G124</f>
        <v>#REF!</v>
      </c>
      <c r="O124" s="99" t="e">
        <f>Overview!AI50*Overview!$Z50*Results_energy_scenarios!$G124</f>
        <v>#REF!</v>
      </c>
      <c r="P124" s="99" t="e">
        <f>Overview!AJ50*Overview!$Z50*Results_energy_scenarios!$G124</f>
        <v>#REF!</v>
      </c>
      <c r="Q124" s="99" t="e">
        <f>Overview!AK50*Overview!$Z50*Results_energy_scenarios!$G124</f>
        <v>#REF!</v>
      </c>
      <c r="R124" s="99" t="e">
        <f>Overview!AL50*Overview!$Z50*Results_energy_scenarios!$G124</f>
        <v>#REF!</v>
      </c>
      <c r="S124" s="99" t="e">
        <f>Overview!AM50*Overview!$Z50*Results_energy_scenarios!$G124</f>
        <v>#REF!</v>
      </c>
      <c r="T124" s="99" t="e">
        <f>Overview!AN50*Overview!$Z50*Results_energy_scenarios!$G124</f>
        <v>#REF!</v>
      </c>
      <c r="U124" s="99" t="e">
        <f>Overview!AO50*Overview!$Z50*Results_energy_scenarios!$G124</f>
        <v>#REF!</v>
      </c>
      <c r="V124" s="99" t="e">
        <f>Overview!AP50*Overview!$Z50*Results_energy_scenarios!$G124</f>
        <v>#REF!</v>
      </c>
      <c r="W124" s="99" t="e">
        <f>Overview!AQ50*Overview!$Z50*Results_energy_scenarios!$G124</f>
        <v>#REF!</v>
      </c>
      <c r="X124" s="99" t="e">
        <f>Overview!AR50*Overview!$Z50*Results_energy_scenarios!$G124</f>
        <v>#REF!</v>
      </c>
      <c r="Y124" s="101" t="e">
        <f>Overview!AS50*Overview!$Z50*Results_energy_scenarios!$G124</f>
        <v>#REF!</v>
      </c>
      <c r="Z124" s="99" t="e">
        <f>Overview!CP50*Overview!$Z50*Results_energy_scenarios!$G124</f>
        <v>#REF!</v>
      </c>
      <c r="AA124" s="99" t="e">
        <f>Overview!CQ50*Overview!$Z50*Results_energy_scenarios!$G124</f>
        <v>#REF!</v>
      </c>
      <c r="AB124" s="99" t="e">
        <f>Overview!CR50*Overview!$Z50*Results_energy_scenarios!$G124</f>
        <v>#REF!</v>
      </c>
      <c r="AC124" s="99" t="e">
        <f>Overview!CS50*Overview!$Z50*Results_energy_scenarios!$G124</f>
        <v>#REF!</v>
      </c>
      <c r="AD124" s="99" t="e">
        <f>Overview!CT50*Overview!$Z50*Results_energy_scenarios!$G124</f>
        <v>#REF!</v>
      </c>
      <c r="AE124" s="99" t="e">
        <f>Overview!CU50*Overview!$Z50*Results_energy_scenarios!$G124</f>
        <v>#REF!</v>
      </c>
      <c r="AF124" s="99" t="e">
        <f>Overview!CV50*Overview!$Z50*Results_energy_scenarios!$G124</f>
        <v>#REF!</v>
      </c>
      <c r="AG124" s="99" t="e">
        <f>Overview!CW50*Overview!$Z50*Results_energy_scenarios!$G124</f>
        <v>#REF!</v>
      </c>
      <c r="AH124" s="99" t="e">
        <f>Overview!CX50*Overview!$Z50*Results_energy_scenarios!$G124</f>
        <v>#REF!</v>
      </c>
      <c r="AI124" s="99" t="e">
        <f>Overview!CY50*Overview!$Z50*Results_energy_scenarios!$G124</f>
        <v>#REF!</v>
      </c>
      <c r="AJ124" s="99" t="e">
        <f>Overview!CZ50*Overview!$Z50*Results_energy_scenarios!$G124</f>
        <v>#REF!</v>
      </c>
      <c r="AK124" s="99" t="e">
        <f>Overview!DA50*Overview!$Z50*Results_energy_scenarios!$G124</f>
        <v>#REF!</v>
      </c>
      <c r="AL124" s="99" t="e">
        <f>Overview!DB50*Overview!$Z50*Results_energy_scenarios!$G124</f>
        <v>#REF!</v>
      </c>
      <c r="AM124" s="99" t="e">
        <f>Overview!DC50*Overview!$Z50*Results_energy_scenarios!$G124</f>
        <v>#REF!</v>
      </c>
      <c r="AN124" s="99" t="e">
        <f>Overview!DD50*Overview!$Z50*Results_energy_scenarios!$G124</f>
        <v>#REF!</v>
      </c>
      <c r="AO124" s="101" t="e">
        <f>Overview!DE50*Overview!$Z50*Results_energy_scenarios!$G124</f>
        <v>#REF!</v>
      </c>
    </row>
    <row r="125" spans="1:41">
      <c r="A125" t="s">
        <v>6</v>
      </c>
      <c r="B125" t="s">
        <v>320</v>
      </c>
      <c r="C125" t="s">
        <v>320</v>
      </c>
      <c r="D125" s="133" t="s">
        <v>380</v>
      </c>
      <c r="E125" s="109"/>
      <c r="F125" s="109"/>
      <c r="G125">
        <f>Overview!I36</f>
        <v>1585</v>
      </c>
      <c r="H125" s="103"/>
      <c r="I125" s="174">
        <f>G125/G127</f>
        <v>1.8544491554853836E-2</v>
      </c>
      <c r="J125" s="99" t="e">
        <f>Overview!AD36*Overview!$Z36*Results_energy_scenarios!$G125</f>
        <v>#REF!</v>
      </c>
      <c r="K125" s="99" t="e">
        <f>Overview!AE36*Overview!$Z36*Results_energy_scenarios!$G125</f>
        <v>#REF!</v>
      </c>
      <c r="L125" s="99" t="e">
        <f>Overview!AF36*Overview!$Z36*Results_energy_scenarios!$G125</f>
        <v>#REF!</v>
      </c>
      <c r="M125" s="99" t="e">
        <f>Overview!AG36*Overview!$Z36*Results_energy_scenarios!$G125</f>
        <v>#REF!</v>
      </c>
      <c r="N125" s="99" t="e">
        <f>Overview!AH36*Overview!$Z36*Results_energy_scenarios!$G125</f>
        <v>#REF!</v>
      </c>
      <c r="O125" s="99" t="e">
        <f>Overview!AI36*Overview!$Z36*Results_energy_scenarios!$G125</f>
        <v>#REF!</v>
      </c>
      <c r="P125" s="99" t="e">
        <f>Overview!AJ36*Overview!$Z36*Results_energy_scenarios!$G125</f>
        <v>#REF!</v>
      </c>
      <c r="Q125" s="99" t="e">
        <f>Overview!AK36*Overview!$Z36*Results_energy_scenarios!$G125</f>
        <v>#REF!</v>
      </c>
      <c r="R125" s="99" t="e">
        <f>Overview!AL36*Overview!$Z36*Results_energy_scenarios!$G125</f>
        <v>#REF!</v>
      </c>
      <c r="S125" s="99" t="e">
        <f>Overview!AM36*Overview!$Z36*Results_energy_scenarios!$G125</f>
        <v>#REF!</v>
      </c>
      <c r="T125" s="99" t="e">
        <f>Overview!AN36*Overview!$Z36*Results_energy_scenarios!$G125</f>
        <v>#REF!</v>
      </c>
      <c r="U125" s="99" t="e">
        <f>Overview!AO36*Overview!$Z36*Results_energy_scenarios!$G125</f>
        <v>#REF!</v>
      </c>
      <c r="V125" s="99" t="e">
        <f>Overview!AP36*Overview!$Z36*Results_energy_scenarios!$G125</f>
        <v>#REF!</v>
      </c>
      <c r="W125" s="99" t="e">
        <f>Overview!AQ36*Overview!$Z36*Results_energy_scenarios!$G125</f>
        <v>#REF!</v>
      </c>
      <c r="X125" s="99" t="e">
        <f>Overview!AR36*Overview!$Z36*Results_energy_scenarios!$G125</f>
        <v>#REF!</v>
      </c>
      <c r="Y125" s="101" t="e">
        <f>Overview!AS36*Overview!$Z36*Results_energy_scenarios!$G125</f>
        <v>#REF!</v>
      </c>
      <c r="Z125" s="99" t="e">
        <f>Overview!CP36*Overview!$Z36*Results_energy_scenarios!$G125</f>
        <v>#REF!</v>
      </c>
      <c r="AA125" s="99" t="e">
        <f>Overview!CQ36*Overview!$Z36*Results_energy_scenarios!$G125</f>
        <v>#REF!</v>
      </c>
      <c r="AB125" s="99" t="e">
        <f>Overview!CR36*Overview!$Z36*Results_energy_scenarios!$G125</f>
        <v>#REF!</v>
      </c>
      <c r="AC125" s="99" t="e">
        <f>Overview!CS36*Overview!$Z36*Results_energy_scenarios!$G125</f>
        <v>#REF!</v>
      </c>
      <c r="AD125" s="99" t="e">
        <f>Overview!CT36*Overview!$Z36*Results_energy_scenarios!$G125</f>
        <v>#REF!</v>
      </c>
      <c r="AE125" s="99" t="e">
        <f>Overview!CU36*Overview!$Z36*Results_energy_scenarios!$G125</f>
        <v>#REF!</v>
      </c>
      <c r="AF125" s="99" t="e">
        <f>Overview!CV36*Overview!$Z36*Results_energy_scenarios!$G125</f>
        <v>#REF!</v>
      </c>
      <c r="AG125" s="99" t="e">
        <f>Overview!CW36*Overview!$Z36*Results_energy_scenarios!$G125</f>
        <v>#REF!</v>
      </c>
      <c r="AH125" s="99" t="e">
        <f>Overview!CX36*Overview!$Z36*Results_energy_scenarios!$G125</f>
        <v>#REF!</v>
      </c>
      <c r="AI125" s="99" t="e">
        <f>Overview!CY36*Overview!$Z36*Results_energy_scenarios!$G125</f>
        <v>#REF!</v>
      </c>
      <c r="AJ125" s="99" t="e">
        <f>Overview!CZ36*Overview!$Z36*Results_energy_scenarios!$G125</f>
        <v>#REF!</v>
      </c>
      <c r="AK125" s="99" t="e">
        <f>Overview!DA36*Overview!$Z36*Results_energy_scenarios!$G125</f>
        <v>#REF!</v>
      </c>
      <c r="AL125" s="99" t="e">
        <f>Overview!DB36*Overview!$Z36*Results_energy_scenarios!$G125</f>
        <v>#REF!</v>
      </c>
      <c r="AM125" s="99" t="e">
        <f>Overview!DC36*Overview!$Z36*Results_energy_scenarios!$G125</f>
        <v>#REF!</v>
      </c>
      <c r="AN125" s="99" t="e">
        <f>Overview!DD36*Overview!$Z36*Results_energy_scenarios!$G125</f>
        <v>#REF!</v>
      </c>
      <c r="AO125" s="101" t="e">
        <f>Overview!DE36*Overview!$Z36*Results_energy_scenarios!$G125</f>
        <v>#REF!</v>
      </c>
    </row>
    <row r="126" spans="1:41">
      <c r="A126" t="s">
        <v>6</v>
      </c>
      <c r="B126" t="s">
        <v>320</v>
      </c>
      <c r="C126" t="s">
        <v>320</v>
      </c>
      <c r="D126" s="114" t="s">
        <v>398</v>
      </c>
      <c r="E126" s="109"/>
      <c r="F126" s="109"/>
      <c r="G126">
        <f>energy_data_per_scenario!L13*1000</f>
        <v>7060</v>
      </c>
      <c r="H126">
        <f>Overview!E53</f>
        <v>4.127756342859036</v>
      </c>
      <c r="I126" s="174">
        <f>G126/G127</f>
        <v>8.2601962383134442E-2</v>
      </c>
      <c r="J126" s="99" t="e">
        <f>Overview!AD53*Overview!$Z53/30*Results_energy_scenarios!$H126</f>
        <v>#REF!</v>
      </c>
      <c r="K126" s="99" t="e">
        <f>Overview!AE53*Overview!$Z53/30*Results_energy_scenarios!$H126</f>
        <v>#REF!</v>
      </c>
      <c r="L126" s="99" t="e">
        <f>Overview!AF53*Overview!$Z53/30*Results_energy_scenarios!$H126</f>
        <v>#REF!</v>
      </c>
      <c r="M126" s="99" t="e">
        <f>Overview!AG53*Overview!$Z53/30*Results_energy_scenarios!$H126</f>
        <v>#REF!</v>
      </c>
      <c r="N126" s="99" t="e">
        <f>Overview!AH53*Overview!$Z53/30*Results_energy_scenarios!$H126</f>
        <v>#REF!</v>
      </c>
      <c r="O126" s="99" t="e">
        <f>Overview!AI53*Overview!$Z53/30*Results_energy_scenarios!$H126</f>
        <v>#REF!</v>
      </c>
      <c r="P126" s="99" t="e">
        <f>Overview!AJ53*Overview!$Z53/30*Results_energy_scenarios!$H126</f>
        <v>#REF!</v>
      </c>
      <c r="Q126" s="99" t="e">
        <f>Overview!AK53*Overview!$Z53/30*Results_energy_scenarios!$H126</f>
        <v>#REF!</v>
      </c>
      <c r="R126" s="99" t="e">
        <f>Overview!AL53*Overview!$Z53/30*Results_energy_scenarios!$H126</f>
        <v>#REF!</v>
      </c>
      <c r="S126" s="99" t="e">
        <f>Overview!AM53*Overview!$Z53/30*Results_energy_scenarios!$H126</f>
        <v>#REF!</v>
      </c>
      <c r="T126" s="99" t="e">
        <f>Overview!AN53*Overview!$Z53/30*Results_energy_scenarios!$H126</f>
        <v>#REF!</v>
      </c>
      <c r="U126" s="99" t="e">
        <f>Overview!AO53*Overview!$Z53/30*Results_energy_scenarios!$H126</f>
        <v>#REF!</v>
      </c>
      <c r="V126" s="99" t="e">
        <f>Overview!AP53*Overview!$Z53/30*Results_energy_scenarios!$H126</f>
        <v>#REF!</v>
      </c>
      <c r="W126" s="99" t="e">
        <f>Overview!AQ53*Overview!$Z53/30*Results_energy_scenarios!$H126</f>
        <v>#REF!</v>
      </c>
      <c r="X126" s="99" t="e">
        <f>Overview!AR53*Overview!$Z53/30*Results_energy_scenarios!$H126</f>
        <v>#REF!</v>
      </c>
      <c r="Y126" s="101" t="e">
        <f>Overview!AS53*Overview!$Z53/30*Results_energy_scenarios!$H126</f>
        <v>#REF!</v>
      </c>
      <c r="Z126" s="99" t="e">
        <f>Overview!CP53*Overview!$Z53/30*Results_energy_scenarios!$H126</f>
        <v>#REF!</v>
      </c>
      <c r="AA126" s="99" t="e">
        <f>Overview!CQ53*Overview!$Z53/30*Results_energy_scenarios!$H126</f>
        <v>#REF!</v>
      </c>
      <c r="AB126" s="99" t="e">
        <f>Overview!CR53*Overview!$Z53/30*Results_energy_scenarios!$H126</f>
        <v>#REF!</v>
      </c>
      <c r="AC126" s="99" t="e">
        <f>Overview!CS53*Overview!$Z53/30*Results_energy_scenarios!$H126</f>
        <v>#REF!</v>
      </c>
      <c r="AD126" s="99" t="e">
        <f>Overview!CT53*Overview!$Z53/30*Results_energy_scenarios!$H126</f>
        <v>#REF!</v>
      </c>
      <c r="AE126" s="99" t="e">
        <f>Overview!CU53*Overview!$Z53/30*Results_energy_scenarios!$H126</f>
        <v>#REF!</v>
      </c>
      <c r="AF126" s="99" t="e">
        <f>Overview!CV53*Overview!$Z53/30*Results_energy_scenarios!$H126</f>
        <v>#REF!</v>
      </c>
      <c r="AG126" s="99" t="e">
        <f>Overview!CW53*Overview!$Z53/30*Results_energy_scenarios!$H126</f>
        <v>#REF!</v>
      </c>
      <c r="AH126" s="99" t="e">
        <f>Overview!CX53*Overview!$Z53/30*Results_energy_scenarios!$H126</f>
        <v>#REF!</v>
      </c>
      <c r="AI126" s="99" t="e">
        <f>Overview!CY53*Overview!$Z53/30*Results_energy_scenarios!$H126</f>
        <v>#REF!</v>
      </c>
      <c r="AJ126" s="99" t="e">
        <f>Overview!CZ53*Overview!$Z53/30*Results_energy_scenarios!$H126</f>
        <v>#REF!</v>
      </c>
      <c r="AK126" s="99" t="e">
        <f>Overview!DA53*Overview!$Z53/30*Results_energy_scenarios!$H126</f>
        <v>#REF!</v>
      </c>
      <c r="AL126" s="99" t="e">
        <f>Overview!DB53*Overview!$Z53/30*Results_energy_scenarios!$H126</f>
        <v>#REF!</v>
      </c>
      <c r="AM126" s="99" t="e">
        <f>Overview!DC53*Overview!$Z53/30*Results_energy_scenarios!$H126</f>
        <v>#REF!</v>
      </c>
      <c r="AN126" s="99" t="e">
        <f>Overview!DD53*Overview!$Z53/30*Results_energy_scenarios!$H126</f>
        <v>#REF!</v>
      </c>
      <c r="AO126" s="101" t="e">
        <f>Overview!DE53*Overview!$Z53/30*Results_energy_scenarios!$H126</f>
        <v>#REF!</v>
      </c>
    </row>
    <row r="127" spans="1:41" s="90" customFormat="1">
      <c r="A127" s="90" t="s">
        <v>6</v>
      </c>
      <c r="B127" s="90" t="s">
        <v>320</v>
      </c>
      <c r="C127" s="90" t="s">
        <v>337</v>
      </c>
      <c r="E127" s="109"/>
      <c r="F127" s="109"/>
      <c r="G127" s="147">
        <f>SUM(G117:G118,G120:G126)</f>
        <v>85470.124393091915</v>
      </c>
      <c r="H127" s="109"/>
      <c r="I127" s="175">
        <f>SUM(I117:I126)</f>
        <v>0.99999999999999989</v>
      </c>
      <c r="J127" s="125" t="e">
        <f>SUM(J116:J126)</f>
        <v>#REF!</v>
      </c>
      <c r="K127" s="125" t="e">
        <f t="shared" ref="K127:AO127" si="92">SUM(K116:K126)</f>
        <v>#REF!</v>
      </c>
      <c r="L127" s="125" t="e">
        <f t="shared" si="92"/>
        <v>#REF!</v>
      </c>
      <c r="M127" s="125" t="e">
        <f t="shared" si="92"/>
        <v>#REF!</v>
      </c>
      <c r="N127" s="125" t="e">
        <f t="shared" si="92"/>
        <v>#REF!</v>
      </c>
      <c r="O127" s="125" t="e">
        <f t="shared" si="92"/>
        <v>#REF!</v>
      </c>
      <c r="P127" s="125" t="e">
        <f t="shared" si="92"/>
        <v>#REF!</v>
      </c>
      <c r="Q127" s="125" t="e">
        <f t="shared" si="92"/>
        <v>#REF!</v>
      </c>
      <c r="R127" s="125" t="e">
        <f t="shared" si="92"/>
        <v>#REF!</v>
      </c>
      <c r="S127" s="125" t="e">
        <f t="shared" si="92"/>
        <v>#REF!</v>
      </c>
      <c r="T127" s="125" t="e">
        <f t="shared" si="92"/>
        <v>#REF!</v>
      </c>
      <c r="U127" s="125" t="e">
        <f t="shared" si="92"/>
        <v>#REF!</v>
      </c>
      <c r="V127" s="125" t="e">
        <f t="shared" si="92"/>
        <v>#REF!</v>
      </c>
      <c r="W127" s="125" t="e">
        <f t="shared" si="92"/>
        <v>#REF!</v>
      </c>
      <c r="X127" s="125" t="e">
        <f t="shared" si="92"/>
        <v>#REF!</v>
      </c>
      <c r="Y127" s="123" t="e">
        <f t="shared" si="92"/>
        <v>#REF!</v>
      </c>
      <c r="Z127" s="125" t="e">
        <f t="shared" si="92"/>
        <v>#REF!</v>
      </c>
      <c r="AA127" s="125" t="e">
        <f t="shared" si="92"/>
        <v>#REF!</v>
      </c>
      <c r="AB127" s="125" t="e">
        <f t="shared" si="92"/>
        <v>#REF!</v>
      </c>
      <c r="AC127" s="125" t="e">
        <f t="shared" si="92"/>
        <v>#REF!</v>
      </c>
      <c r="AD127" s="125" t="e">
        <f t="shared" si="92"/>
        <v>#REF!</v>
      </c>
      <c r="AE127" s="125" t="e">
        <f t="shared" si="92"/>
        <v>#REF!</v>
      </c>
      <c r="AF127" s="125" t="e">
        <f t="shared" si="92"/>
        <v>#REF!</v>
      </c>
      <c r="AG127" s="125" t="e">
        <f t="shared" si="92"/>
        <v>#REF!</v>
      </c>
      <c r="AH127" s="125" t="e">
        <f t="shared" si="92"/>
        <v>#REF!</v>
      </c>
      <c r="AI127" s="125" t="e">
        <f t="shared" si="92"/>
        <v>#REF!</v>
      </c>
      <c r="AJ127" s="125" t="e">
        <f t="shared" si="92"/>
        <v>#REF!</v>
      </c>
      <c r="AK127" s="125" t="e">
        <f t="shared" si="92"/>
        <v>#REF!</v>
      </c>
      <c r="AL127" s="125" t="e">
        <f t="shared" si="92"/>
        <v>#REF!</v>
      </c>
      <c r="AM127" s="125" t="e">
        <f t="shared" si="92"/>
        <v>#REF!</v>
      </c>
      <c r="AN127" s="125" t="e">
        <f t="shared" si="92"/>
        <v>#REF!</v>
      </c>
      <c r="AO127" s="123" t="e">
        <f t="shared" si="92"/>
        <v>#REF!</v>
      </c>
    </row>
    <row r="128" spans="1:41">
      <c r="A128" s="104" t="s">
        <v>6</v>
      </c>
      <c r="B128" s="104" t="s">
        <v>320</v>
      </c>
      <c r="C128" s="104" t="s">
        <v>384</v>
      </c>
      <c r="D128" s="104"/>
      <c r="E128" s="105"/>
      <c r="F128" s="105"/>
      <c r="G128" s="104">
        <v>1</v>
      </c>
      <c r="H128" s="105"/>
      <c r="I128" s="167"/>
      <c r="J128" s="144" t="e">
        <f>J127/$G127</f>
        <v>#REF!</v>
      </c>
      <c r="K128" s="144" t="e">
        <f t="shared" ref="K128:AO128" si="93">K127/$G127</f>
        <v>#REF!</v>
      </c>
      <c r="L128" s="144" t="e">
        <f t="shared" si="93"/>
        <v>#REF!</v>
      </c>
      <c r="M128" s="144" t="e">
        <f t="shared" si="93"/>
        <v>#REF!</v>
      </c>
      <c r="N128" s="144" t="e">
        <f t="shared" si="93"/>
        <v>#REF!</v>
      </c>
      <c r="O128" s="144" t="e">
        <f t="shared" si="93"/>
        <v>#REF!</v>
      </c>
      <c r="P128" s="144" t="e">
        <f t="shared" si="93"/>
        <v>#REF!</v>
      </c>
      <c r="Q128" s="144" t="e">
        <f t="shared" si="93"/>
        <v>#REF!</v>
      </c>
      <c r="R128" s="144" t="e">
        <f t="shared" si="93"/>
        <v>#REF!</v>
      </c>
      <c r="S128" s="144" t="e">
        <f t="shared" si="93"/>
        <v>#REF!</v>
      </c>
      <c r="T128" s="144" t="e">
        <f t="shared" si="93"/>
        <v>#REF!</v>
      </c>
      <c r="U128" s="144" t="e">
        <f t="shared" si="93"/>
        <v>#REF!</v>
      </c>
      <c r="V128" s="144" t="e">
        <f t="shared" si="93"/>
        <v>#REF!</v>
      </c>
      <c r="W128" s="144" t="e">
        <f t="shared" si="93"/>
        <v>#REF!</v>
      </c>
      <c r="X128" s="144" t="e">
        <f t="shared" si="93"/>
        <v>#REF!</v>
      </c>
      <c r="Y128" s="145" t="e">
        <f t="shared" si="93"/>
        <v>#REF!</v>
      </c>
      <c r="Z128" s="144" t="e">
        <f t="shared" si="93"/>
        <v>#REF!</v>
      </c>
      <c r="AA128" s="233" t="e">
        <f t="shared" si="93"/>
        <v>#REF!</v>
      </c>
      <c r="AB128" s="144" t="e">
        <f t="shared" si="93"/>
        <v>#REF!</v>
      </c>
      <c r="AC128" s="144" t="e">
        <f t="shared" si="93"/>
        <v>#REF!</v>
      </c>
      <c r="AD128" s="144" t="e">
        <f t="shared" si="93"/>
        <v>#REF!</v>
      </c>
      <c r="AE128" s="144" t="e">
        <f t="shared" si="93"/>
        <v>#REF!</v>
      </c>
      <c r="AF128" s="144" t="e">
        <f t="shared" si="93"/>
        <v>#REF!</v>
      </c>
      <c r="AG128" s="144" t="e">
        <f t="shared" si="93"/>
        <v>#REF!</v>
      </c>
      <c r="AH128" s="144" t="e">
        <f t="shared" si="93"/>
        <v>#REF!</v>
      </c>
      <c r="AI128" s="144" t="e">
        <f t="shared" si="93"/>
        <v>#REF!</v>
      </c>
      <c r="AJ128" s="144" t="e">
        <f t="shared" si="93"/>
        <v>#REF!</v>
      </c>
      <c r="AK128" s="144" t="e">
        <f t="shared" si="93"/>
        <v>#REF!</v>
      </c>
      <c r="AL128" s="144" t="e">
        <f t="shared" si="93"/>
        <v>#REF!</v>
      </c>
      <c r="AM128" s="144" t="e">
        <f t="shared" si="93"/>
        <v>#REF!</v>
      </c>
      <c r="AN128" s="144" t="e">
        <f t="shared" si="93"/>
        <v>#REF!</v>
      </c>
      <c r="AO128" s="145" t="e">
        <f t="shared" si="93"/>
        <v>#REF!</v>
      </c>
    </row>
    <row r="129" spans="1:41">
      <c r="A129" t="s">
        <v>6</v>
      </c>
      <c r="B129" t="s">
        <v>376</v>
      </c>
      <c r="C129" t="s">
        <v>328</v>
      </c>
      <c r="D129" s="140" t="s">
        <v>377</v>
      </c>
      <c r="E129">
        <f>energy_data_per_scenario!L24*1000</f>
        <v>74790</v>
      </c>
      <c r="F129" s="103"/>
      <c r="G129" s="103"/>
      <c r="H129" s="103"/>
      <c r="I129" s="174">
        <f>E129/E140</f>
        <v>0.95896823623849814</v>
      </c>
      <c r="J129" s="99" t="e">
        <f>Overview!AD42*Overview!$AA42*Results_energy_scenarios!$E129</f>
        <v>#REF!</v>
      </c>
      <c r="K129" s="99" t="e">
        <f>Overview!AE42*Overview!$AA42*Results_energy_scenarios!$E129</f>
        <v>#REF!</v>
      </c>
      <c r="L129" s="99" t="e">
        <f>Overview!AF42*Overview!$AA42*Results_energy_scenarios!$E129</f>
        <v>#REF!</v>
      </c>
      <c r="M129" s="99" t="e">
        <f>Overview!AG42*Overview!$AA42*Results_energy_scenarios!$E129</f>
        <v>#REF!</v>
      </c>
      <c r="N129" s="99" t="e">
        <f>Overview!AH42*Overview!$AA42*Results_energy_scenarios!$E129</f>
        <v>#REF!</v>
      </c>
      <c r="O129" s="99" t="e">
        <f>Overview!AI42*Overview!$AA42*Results_energy_scenarios!$E129</f>
        <v>#REF!</v>
      </c>
      <c r="P129" s="99" t="e">
        <f>Overview!AJ42*Overview!$AA42*Results_energy_scenarios!$E129</f>
        <v>#REF!</v>
      </c>
      <c r="Q129" s="99" t="e">
        <f>Overview!AK42*Overview!$AA42*Results_energy_scenarios!$E129</f>
        <v>#REF!</v>
      </c>
      <c r="R129" s="99" t="e">
        <f>Overview!AL42*Overview!$AA42*Results_energy_scenarios!$E129</f>
        <v>#REF!</v>
      </c>
      <c r="S129" s="99" t="e">
        <f>Overview!AM42*Overview!$AA42*Results_energy_scenarios!$E129</f>
        <v>#REF!</v>
      </c>
      <c r="T129" s="99" t="e">
        <f>Overview!AN42*Overview!$AA42*Results_energy_scenarios!$E129</f>
        <v>#REF!</v>
      </c>
      <c r="U129" s="99" t="e">
        <f>Overview!AO42*Overview!$AA42*Results_energy_scenarios!$E129</f>
        <v>#REF!</v>
      </c>
      <c r="V129" s="99" t="e">
        <f>Overview!AP42*Overview!$AA42*Results_energy_scenarios!$E129</f>
        <v>#REF!</v>
      </c>
      <c r="W129" s="99" t="e">
        <f>Overview!AQ42*Overview!$AA42*Results_energy_scenarios!$E129</f>
        <v>#REF!</v>
      </c>
      <c r="X129" s="99" t="e">
        <f>Overview!AR42*Overview!$AA42*Results_energy_scenarios!$E129</f>
        <v>#REF!</v>
      </c>
      <c r="Y129" s="101" t="e">
        <f>Overview!AS42*Overview!$AA42*Results_energy_scenarios!$E129</f>
        <v>#REF!</v>
      </c>
      <c r="Z129" s="99" t="e">
        <f>Overview!CP42*Overview!$AA42*Results_energy_scenarios!$E129</f>
        <v>#REF!</v>
      </c>
      <c r="AA129" s="99" t="e">
        <f>Overview!CQ42*Overview!$AA42*Results_energy_scenarios!$E129</f>
        <v>#REF!</v>
      </c>
      <c r="AB129" s="99" t="e">
        <f>Overview!CR42*Overview!$AA42*Results_energy_scenarios!$E129</f>
        <v>#REF!</v>
      </c>
      <c r="AC129" s="99" t="e">
        <f>Overview!CS42*Overview!$AA42*Results_energy_scenarios!$E129</f>
        <v>#REF!</v>
      </c>
      <c r="AD129" s="99" t="e">
        <f>Overview!CT42*Overview!$AA42*Results_energy_scenarios!$E129</f>
        <v>#REF!</v>
      </c>
      <c r="AE129" s="99" t="e">
        <f>Overview!CU42*Overview!$AA42*Results_energy_scenarios!$E129</f>
        <v>#REF!</v>
      </c>
      <c r="AF129" s="99" t="e">
        <f>Overview!CV42*Overview!$AA42*Results_energy_scenarios!$E129</f>
        <v>#REF!</v>
      </c>
      <c r="AG129" s="99" t="e">
        <f>Overview!CW42*Overview!$AA42*Results_energy_scenarios!$E129</f>
        <v>#REF!</v>
      </c>
      <c r="AH129" s="99" t="e">
        <f>Overview!CX42*Overview!$AA42*Results_energy_scenarios!$E129</f>
        <v>#REF!</v>
      </c>
      <c r="AI129" s="99" t="e">
        <f>Overview!CY42*Overview!$AA42*Results_energy_scenarios!$E129</f>
        <v>#REF!</v>
      </c>
      <c r="AJ129" s="99" t="e">
        <f>Overview!CZ42*Overview!$AA42*Results_energy_scenarios!$E129</f>
        <v>#REF!</v>
      </c>
      <c r="AK129" s="99" t="e">
        <f>Overview!DA42*Overview!$AA42*Results_energy_scenarios!$E129</f>
        <v>#REF!</v>
      </c>
      <c r="AL129" s="99" t="e">
        <f>Overview!DB42*Overview!$AA42*Results_energy_scenarios!$E129</f>
        <v>#REF!</v>
      </c>
      <c r="AM129" s="99" t="e">
        <f>Overview!DC42*Overview!$AA42*Results_energy_scenarios!$E129</f>
        <v>#REF!</v>
      </c>
      <c r="AN129" s="99" t="e">
        <f>Overview!DD42*Overview!$AA42*Results_energy_scenarios!$E129</f>
        <v>#REF!</v>
      </c>
      <c r="AO129" s="101" t="e">
        <f>Overview!DE42*Overview!$AA42*Results_energy_scenarios!$E129</f>
        <v>#REF!</v>
      </c>
    </row>
    <row r="130" spans="1:41">
      <c r="A130" t="s">
        <v>6</v>
      </c>
      <c r="B130" t="s">
        <v>376</v>
      </c>
      <c r="C130" t="s">
        <v>328</v>
      </c>
      <c r="D130" s="114" t="s">
        <v>389</v>
      </c>
      <c r="E130" s="103"/>
      <c r="F130" s="103"/>
      <c r="G130">
        <v>12774</v>
      </c>
      <c r="H130" s="103"/>
      <c r="I130" s="174"/>
      <c r="J130" s="99" t="e">
        <f>$G130*J128</f>
        <v>#REF!</v>
      </c>
      <c r="K130" s="99" t="e">
        <f t="shared" ref="K130:AO130" si="94">$G130*K128</f>
        <v>#REF!</v>
      </c>
      <c r="L130" s="99" t="e">
        <f t="shared" si="94"/>
        <v>#REF!</v>
      </c>
      <c r="M130" s="99" t="e">
        <f t="shared" si="94"/>
        <v>#REF!</v>
      </c>
      <c r="N130" s="99" t="e">
        <f t="shared" si="94"/>
        <v>#REF!</v>
      </c>
      <c r="O130" s="99" t="e">
        <f t="shared" si="94"/>
        <v>#REF!</v>
      </c>
      <c r="P130" s="99" t="e">
        <f t="shared" si="94"/>
        <v>#REF!</v>
      </c>
      <c r="Q130" s="99" t="e">
        <f t="shared" si="94"/>
        <v>#REF!</v>
      </c>
      <c r="R130" s="99" t="e">
        <f t="shared" si="94"/>
        <v>#REF!</v>
      </c>
      <c r="S130" s="99" t="e">
        <f t="shared" si="94"/>
        <v>#REF!</v>
      </c>
      <c r="T130" s="99" t="e">
        <f t="shared" si="94"/>
        <v>#REF!</v>
      </c>
      <c r="U130" s="99" t="e">
        <f t="shared" si="94"/>
        <v>#REF!</v>
      </c>
      <c r="V130" s="99" t="e">
        <f t="shared" si="94"/>
        <v>#REF!</v>
      </c>
      <c r="W130" s="99" t="e">
        <f t="shared" si="94"/>
        <v>#REF!</v>
      </c>
      <c r="X130" s="99" t="e">
        <f t="shared" si="94"/>
        <v>#REF!</v>
      </c>
      <c r="Y130" s="101" t="e">
        <f t="shared" si="94"/>
        <v>#REF!</v>
      </c>
      <c r="Z130" s="99" t="e">
        <f>$G130*Z128</f>
        <v>#REF!</v>
      </c>
      <c r="AA130" s="99" t="e">
        <f t="shared" si="94"/>
        <v>#REF!</v>
      </c>
      <c r="AB130" s="99" t="e">
        <f t="shared" si="94"/>
        <v>#REF!</v>
      </c>
      <c r="AC130" s="99" t="e">
        <f t="shared" si="94"/>
        <v>#REF!</v>
      </c>
      <c r="AD130" s="99" t="e">
        <f t="shared" si="94"/>
        <v>#REF!</v>
      </c>
      <c r="AE130" s="99" t="e">
        <f t="shared" si="94"/>
        <v>#REF!</v>
      </c>
      <c r="AF130" s="99" t="e">
        <f t="shared" si="94"/>
        <v>#REF!</v>
      </c>
      <c r="AG130" s="99" t="e">
        <f t="shared" si="94"/>
        <v>#REF!</v>
      </c>
      <c r="AH130" s="99" t="e">
        <f t="shared" si="94"/>
        <v>#REF!</v>
      </c>
      <c r="AI130" s="99" t="e">
        <f t="shared" si="94"/>
        <v>#REF!</v>
      </c>
      <c r="AJ130" s="99" t="e">
        <f t="shared" si="94"/>
        <v>#REF!</v>
      </c>
      <c r="AK130" s="99" t="e">
        <f t="shared" si="94"/>
        <v>#REF!</v>
      </c>
      <c r="AL130" s="99" t="e">
        <f t="shared" si="94"/>
        <v>#REF!</v>
      </c>
      <c r="AM130" s="99" t="e">
        <f t="shared" si="94"/>
        <v>#REF!</v>
      </c>
      <c r="AN130" s="99" t="e">
        <f t="shared" si="94"/>
        <v>#REF!</v>
      </c>
      <c r="AO130" s="101" t="e">
        <f t="shared" si="94"/>
        <v>#REF!</v>
      </c>
    </row>
    <row r="131" spans="1:41">
      <c r="A131" t="s">
        <v>6</v>
      </c>
      <c r="B131" t="s">
        <v>376</v>
      </c>
      <c r="C131" t="s">
        <v>328</v>
      </c>
      <c r="D131" s="140" t="s">
        <v>415</v>
      </c>
      <c r="E131">
        <f>Overview!I43</f>
        <v>3.1692762170420899E-2</v>
      </c>
      <c r="F131" s="103"/>
      <c r="G131" s="103"/>
      <c r="H131" s="103"/>
      <c r="I131" s="174">
        <f>E131/E140</f>
        <v>4.0636919695273064E-7</v>
      </c>
      <c r="J131" s="99" t="e">
        <f>Overview!AD43*Overview!$AA43*Results_energy_scenarios!$E131</f>
        <v>#REF!</v>
      </c>
      <c r="K131" s="99" t="e">
        <f>Overview!AE43*Overview!$AA43*Results_energy_scenarios!$E131</f>
        <v>#REF!</v>
      </c>
      <c r="L131" s="99" t="e">
        <f>Overview!AF43*Overview!$AA43*Results_energy_scenarios!$E131</f>
        <v>#REF!</v>
      </c>
      <c r="M131" s="99" t="e">
        <f>Overview!AG43*Overview!$AA43*Results_energy_scenarios!$E131</f>
        <v>#REF!</v>
      </c>
      <c r="N131" s="99" t="e">
        <f>Overview!AH43*Overview!$AA43*Results_energy_scenarios!$E131</f>
        <v>#REF!</v>
      </c>
      <c r="O131" s="99" t="e">
        <f>Overview!AI43*Overview!$AA43*Results_energy_scenarios!$E131</f>
        <v>#REF!</v>
      </c>
      <c r="P131" s="99" t="e">
        <f>Overview!AJ43*Overview!$AA43*Results_energy_scenarios!$E131</f>
        <v>#REF!</v>
      </c>
      <c r="Q131" s="99" t="e">
        <f>Overview!AK43*Overview!$AA43*Results_energy_scenarios!$E131</f>
        <v>#REF!</v>
      </c>
      <c r="R131" s="99" t="e">
        <f>Overview!AL43*Overview!$AA43*Results_energy_scenarios!$E131</f>
        <v>#REF!</v>
      </c>
      <c r="S131" s="99" t="e">
        <f>Overview!AM43*Overview!$AA43*Results_energy_scenarios!$E131</f>
        <v>#REF!</v>
      </c>
      <c r="T131" s="99" t="e">
        <f>Overview!AN43*Overview!$AA43*Results_energy_scenarios!$E131</f>
        <v>#REF!</v>
      </c>
      <c r="U131" s="99" t="e">
        <f>Overview!AO43*Overview!$AA43*Results_energy_scenarios!$E131</f>
        <v>#REF!</v>
      </c>
      <c r="V131" s="99" t="e">
        <f>Overview!AP43*Overview!$AA43*Results_energy_scenarios!$E131</f>
        <v>#REF!</v>
      </c>
      <c r="W131" s="99" t="e">
        <f>Overview!AQ43*Overview!$AA43*Results_energy_scenarios!$E131</f>
        <v>#REF!</v>
      </c>
      <c r="X131" s="99" t="e">
        <f>Overview!AR43*Overview!$AA43*Results_energy_scenarios!$E131</f>
        <v>#REF!</v>
      </c>
      <c r="Y131" s="101" t="e">
        <f>Overview!AS43*Overview!$AA43*Results_energy_scenarios!$E131</f>
        <v>#REF!</v>
      </c>
      <c r="Z131" s="99" t="e">
        <f>Overview!CP43*Overview!$AA43*Results_energy_scenarios!$E131</f>
        <v>#REF!</v>
      </c>
      <c r="AA131" s="99" t="e">
        <f>Overview!CQ43*Overview!$AA43*Results_energy_scenarios!$E131</f>
        <v>#REF!</v>
      </c>
      <c r="AB131" s="99" t="e">
        <f>Overview!CR43*Overview!$AA43*Results_energy_scenarios!$E131</f>
        <v>#REF!</v>
      </c>
      <c r="AC131" s="99" t="e">
        <f>Overview!CS43*Overview!$AA43*Results_energy_scenarios!$E131</f>
        <v>#REF!</v>
      </c>
      <c r="AD131" s="99" t="e">
        <f>Overview!CT43*Overview!$AA43*Results_energy_scenarios!$E131</f>
        <v>#REF!</v>
      </c>
      <c r="AE131" s="99" t="e">
        <f>Overview!CU43*Overview!$AA43*Results_energy_scenarios!$E131</f>
        <v>#REF!</v>
      </c>
      <c r="AF131" s="99" t="e">
        <f>Overview!CV43*Overview!$AA43*Results_energy_scenarios!$E131</f>
        <v>#REF!</v>
      </c>
      <c r="AG131" s="99" t="e">
        <f>Overview!CW43*Overview!$AA43*Results_energy_scenarios!$E131</f>
        <v>#REF!</v>
      </c>
      <c r="AH131" s="99" t="e">
        <f>Overview!CX43*Overview!$AA43*Results_energy_scenarios!$E131</f>
        <v>#REF!</v>
      </c>
      <c r="AI131" s="99" t="e">
        <f>Overview!CY43*Overview!$AA43*Results_energy_scenarios!$E131</f>
        <v>#REF!</v>
      </c>
      <c r="AJ131" s="99" t="e">
        <f>Overview!CZ43*Overview!$AA43*Results_energy_scenarios!$E131</f>
        <v>#REF!</v>
      </c>
      <c r="AK131" s="99" t="e">
        <f>Overview!DA43*Overview!$AA43*Results_energy_scenarios!$E131</f>
        <v>#REF!</v>
      </c>
      <c r="AL131" s="99" t="e">
        <f>Overview!DB43*Overview!$AA43*Results_energy_scenarios!$E131</f>
        <v>#REF!</v>
      </c>
      <c r="AM131" s="99" t="e">
        <f>Overview!DC43*Overview!$AA43*Results_energy_scenarios!$E131</f>
        <v>#REF!</v>
      </c>
      <c r="AN131" s="99" t="e">
        <f>Overview!DD43*Overview!$AA43*Results_energy_scenarios!$E131</f>
        <v>#REF!</v>
      </c>
      <c r="AO131" s="101" t="e">
        <f>Overview!DE43*Overview!$AA43*Results_energy_scenarios!$E131</f>
        <v>#REF!</v>
      </c>
    </row>
    <row r="132" spans="1:41">
      <c r="A132" t="s">
        <v>6</v>
      </c>
      <c r="B132" t="s">
        <v>376</v>
      </c>
      <c r="C132" t="s">
        <v>328</v>
      </c>
      <c r="D132" s="140" t="s">
        <v>417</v>
      </c>
      <c r="E132" s="103"/>
      <c r="F132" s="103"/>
      <c r="G132">
        <f>-Overview!I30</f>
        <v>8.2467924590416582E-3</v>
      </c>
      <c r="H132" s="103"/>
      <c r="I132" s="174"/>
      <c r="J132" s="99" t="e">
        <f>Overview!AD30*Overview!$Z30/7*Overview!$E26/Overview!$I26*Results_energy_scenarios!$G132+Overview!$I27*Results_energy_scenarios!$G132*Results_energy_scenarios!J128</f>
        <v>#REF!</v>
      </c>
      <c r="K132" s="99" t="e">
        <f>Overview!AE30*Overview!$Z30/7*Overview!$E26/Overview!$I26*Results_energy_scenarios!$G132+Overview!$I27*Results_energy_scenarios!$G132*Results_energy_scenarios!K128</f>
        <v>#REF!</v>
      </c>
      <c r="L132" s="99" t="e">
        <f>Overview!AF30*Overview!$Z30/7*Overview!$E26/Overview!$I26*Results_energy_scenarios!$G132+Overview!$I27*Results_energy_scenarios!$G132*Results_energy_scenarios!L128</f>
        <v>#REF!</v>
      </c>
      <c r="M132" s="99" t="e">
        <f>Overview!AG30*Overview!$Z30/7*Overview!$E26/Overview!$I26*Results_energy_scenarios!$G132+Overview!$I27*Results_energy_scenarios!$G132*Results_energy_scenarios!M128</f>
        <v>#REF!</v>
      </c>
      <c r="N132" s="99" t="e">
        <f>Overview!AH30*Overview!$Z30/7*Overview!$E26/Overview!$I26*Results_energy_scenarios!$G132+Overview!$I27*Results_energy_scenarios!$G132*Results_energy_scenarios!N128</f>
        <v>#REF!</v>
      </c>
      <c r="O132" s="99" t="e">
        <f>Overview!AI30*Overview!$Z30/7*Overview!$E26/Overview!$I26*Results_energy_scenarios!$G132+Overview!$I27*Results_energy_scenarios!$G132*Results_energy_scenarios!O128</f>
        <v>#REF!</v>
      </c>
      <c r="P132" s="99" t="e">
        <f>Overview!AJ30*Overview!$Z30/7*Overview!$E26/Overview!$I26*Results_energy_scenarios!$G132+Overview!$I27*Results_energy_scenarios!$G132*Results_energy_scenarios!P128</f>
        <v>#REF!</v>
      </c>
      <c r="Q132" s="99" t="e">
        <f>Overview!AK30*Overview!$Z30/7*Overview!$E26/Overview!$I26*Results_energy_scenarios!$G132+Overview!$I27*Results_energy_scenarios!$G132*Results_energy_scenarios!Q128</f>
        <v>#REF!</v>
      </c>
      <c r="R132" s="99" t="e">
        <f>Overview!AL30*Overview!$Z30/7*Overview!$E26/Overview!$I26*Results_energy_scenarios!$G132+Overview!$I27*Results_energy_scenarios!$G132*Results_energy_scenarios!R128</f>
        <v>#REF!</v>
      </c>
      <c r="S132" s="99" t="e">
        <f>Overview!AM30*Overview!$Z30/7*Overview!$E26/Overview!$I26*Results_energy_scenarios!$G132+Overview!$I27*Results_energy_scenarios!$G132*Results_energy_scenarios!S128</f>
        <v>#REF!</v>
      </c>
      <c r="T132" s="99" t="e">
        <f>Overview!AN30*Overview!$Z30/7*Overview!$E26/Overview!$I26*Results_energy_scenarios!$G132+Overview!$I27*Results_energy_scenarios!$G132*Results_energy_scenarios!T128</f>
        <v>#REF!</v>
      </c>
      <c r="U132" s="99" t="e">
        <f>Overview!AO30*Overview!$Z30/7*Overview!$E26/Overview!$I26*Results_energy_scenarios!$G132+Overview!$I27*Results_energy_scenarios!$G132*Results_energy_scenarios!U128</f>
        <v>#REF!</v>
      </c>
      <c r="V132" s="99" t="e">
        <f>Overview!AP30*Overview!$Z30/7*Overview!$E26/Overview!$I26*Results_energy_scenarios!$G132+Overview!$I27*Results_energy_scenarios!$G132*Results_energy_scenarios!V128</f>
        <v>#REF!</v>
      </c>
      <c r="W132" s="99" t="e">
        <f>Overview!AQ30*Overview!$Z30/7*Overview!$E26/Overview!$I26*Results_energy_scenarios!$G132+Overview!$I27*Results_energy_scenarios!$G132*Results_energy_scenarios!W128</f>
        <v>#REF!</v>
      </c>
      <c r="X132" s="99" t="e">
        <f>Overview!AR30*Overview!$Z30/7*Overview!$E26/Overview!$I26*Results_energy_scenarios!$G132+Overview!$I27*Results_energy_scenarios!$G132*Results_energy_scenarios!X128</f>
        <v>#REF!</v>
      </c>
      <c r="Y132" s="101" t="e">
        <f>Overview!AS30*Overview!$Z30/7*Overview!$E26/Overview!$I26*Results_energy_scenarios!$G132+Overview!$I27*Results_energy_scenarios!$G132*Results_energy_scenarios!Y128</f>
        <v>#REF!</v>
      </c>
      <c r="Z132" s="99" t="e">
        <f>Overview!CP30*Overview!$Z30/7*Overview!$E26/Overview!$I26*Results_energy_scenarios!$G132+Overview!$I27*Results_energy_scenarios!$G132*Results_energy_scenarios!Z128</f>
        <v>#REF!</v>
      </c>
      <c r="AA132" s="99" t="e">
        <f>Overview!CQ30*Overview!$Z30/7*Overview!$E26/Overview!$I26*Results_energy_scenarios!$G132+Overview!$I27*Results_energy_scenarios!$G132*Results_energy_scenarios!AA128</f>
        <v>#REF!</v>
      </c>
      <c r="AB132" s="99" t="e">
        <f>Overview!CR30*Overview!$Z30/7*Overview!$E26/Overview!$I26*Results_energy_scenarios!$G132+Overview!$I27*Results_energy_scenarios!$G132*Results_energy_scenarios!AB128</f>
        <v>#REF!</v>
      </c>
      <c r="AC132" s="99" t="e">
        <f>Overview!CS30*Overview!$Z30/7*Overview!$E26/Overview!$I26*Results_energy_scenarios!$G132+Overview!$I27*Results_energy_scenarios!$G132*Results_energy_scenarios!AC128</f>
        <v>#REF!</v>
      </c>
      <c r="AD132" s="99" t="e">
        <f>Overview!CT30*Overview!$Z30/7*Overview!$E26/Overview!$I26*Results_energy_scenarios!$G132+Overview!$I27*Results_energy_scenarios!$G132*Results_energy_scenarios!AD128</f>
        <v>#REF!</v>
      </c>
      <c r="AE132" s="99" t="e">
        <f>Overview!CU30*Overview!$Z30/7*Overview!$E26/Overview!$I26*Results_energy_scenarios!$G132+Overview!$I27*Results_energy_scenarios!$G132*Results_energy_scenarios!AE128</f>
        <v>#REF!</v>
      </c>
      <c r="AF132" s="99" t="e">
        <f>Overview!CV30*Overview!$Z30/7*Overview!$E26/Overview!$I26*Results_energy_scenarios!$G132+Overview!$I27*Results_energy_scenarios!$G132*Results_energy_scenarios!AF128</f>
        <v>#REF!</v>
      </c>
      <c r="AG132" s="99" t="e">
        <f>Overview!CW30*Overview!$Z30/7*Overview!$E26/Overview!$I26*Results_energy_scenarios!$G132+Overview!$I27*Results_energy_scenarios!$G132*Results_energy_scenarios!AG128</f>
        <v>#REF!</v>
      </c>
      <c r="AH132" s="99" t="e">
        <f>Overview!CX30*Overview!$Z30/7*Overview!$E26/Overview!$I26*Results_energy_scenarios!$G132+Overview!$I27*Results_energy_scenarios!$G132*Results_energy_scenarios!AH128</f>
        <v>#REF!</v>
      </c>
      <c r="AI132" s="99" t="e">
        <f>Overview!CY30*Overview!$Z30/7*Overview!$E26/Overview!$I26*Results_energy_scenarios!$G132+Overview!$I27*Results_energy_scenarios!$G132*Results_energy_scenarios!AI128</f>
        <v>#REF!</v>
      </c>
      <c r="AJ132" s="99" t="e">
        <f>Overview!CZ30*Overview!$Z30/7*Overview!$E26/Overview!$I26*Results_energy_scenarios!$G132+Overview!$I27*Results_energy_scenarios!$G132*Results_energy_scenarios!AJ128</f>
        <v>#REF!</v>
      </c>
      <c r="AK132" s="99" t="e">
        <f>Overview!DA30*Overview!$Z30/7*Overview!$E26/Overview!$I26*Results_energy_scenarios!$G132+Overview!$I27*Results_energy_scenarios!$G132*Results_energy_scenarios!AK128</f>
        <v>#REF!</v>
      </c>
      <c r="AL132" s="99" t="e">
        <f>Overview!DB30*Overview!$Z30/7*Overview!$E26/Overview!$I26*Results_energy_scenarios!$G132+Overview!$I27*Results_energy_scenarios!$G132*Results_energy_scenarios!AL128</f>
        <v>#REF!</v>
      </c>
      <c r="AM132" s="99" t="e">
        <f>Overview!DC30*Overview!$Z30/7*Overview!$E26/Overview!$I26*Results_energy_scenarios!$G132+Overview!$I27*Results_energy_scenarios!$G132*Results_energy_scenarios!AM128</f>
        <v>#REF!</v>
      </c>
      <c r="AN132" s="99" t="e">
        <f>Overview!DD30*Overview!$Z30/7*Overview!$E26/Overview!$I26*Results_energy_scenarios!$G132+Overview!$I27*Results_energy_scenarios!$G132*Results_energy_scenarios!AN128</f>
        <v>#REF!</v>
      </c>
      <c r="AO132" s="101" t="e">
        <f>Overview!DE30*Overview!$Z30/7*Overview!$E26/Overview!$I26*Results_energy_scenarios!$G132+Overview!$I27*Results_energy_scenarios!$G132*Results_energy_scenarios!AO128</f>
        <v>#REF!</v>
      </c>
    </row>
    <row r="133" spans="1:41">
      <c r="A133" t="s">
        <v>6</v>
      </c>
      <c r="B133" t="s">
        <v>376</v>
      </c>
      <c r="C133" t="s">
        <v>328</v>
      </c>
      <c r="D133" s="140" t="s">
        <v>449</v>
      </c>
      <c r="E133" s="103"/>
      <c r="F133" s="103"/>
      <c r="G133">
        <f>Overview!I39</f>
        <v>1.658698082699581E-2</v>
      </c>
      <c r="H133" s="103"/>
      <c r="I133" s="174"/>
      <c r="J133" s="99" t="e">
        <f>Overview!AD39*Overview!$Z39*Results_energy_scenarios!$G133</f>
        <v>#REF!</v>
      </c>
      <c r="K133" s="99" t="e">
        <f>Overview!AE39*Overview!$Z39*Results_energy_scenarios!$G133</f>
        <v>#REF!</v>
      </c>
      <c r="L133" s="99" t="e">
        <f>Overview!AF39*Overview!$Z39*Results_energy_scenarios!$G133</f>
        <v>#REF!</v>
      </c>
      <c r="M133" s="99" t="e">
        <f>Overview!AG39*Overview!$Z39*Results_energy_scenarios!$G133</f>
        <v>#REF!</v>
      </c>
      <c r="N133" s="99" t="e">
        <f>Overview!AH39*Overview!$Z39*Results_energy_scenarios!$G133</f>
        <v>#REF!</v>
      </c>
      <c r="O133" s="99" t="e">
        <f>Overview!AI39*Overview!$Z39*Results_energy_scenarios!$G133</f>
        <v>#REF!</v>
      </c>
      <c r="P133" s="99" t="e">
        <f>Overview!AJ39*Overview!$Z39*Results_energy_scenarios!$G133</f>
        <v>#REF!</v>
      </c>
      <c r="Q133" s="99" t="e">
        <f>Overview!AK39*Overview!$Z39*Results_energy_scenarios!$G133</f>
        <v>#REF!</v>
      </c>
      <c r="R133" s="99" t="e">
        <f>Overview!AL39*Overview!$Z39*Results_energy_scenarios!$G133</f>
        <v>#REF!</v>
      </c>
      <c r="S133" s="99" t="e">
        <f>Overview!AM39*Overview!$Z39*Results_energy_scenarios!$G133</f>
        <v>#REF!</v>
      </c>
      <c r="T133" s="99" t="e">
        <f>Overview!AN39*Overview!$Z39*Results_energy_scenarios!$G133</f>
        <v>#REF!</v>
      </c>
      <c r="U133" s="99" t="e">
        <f>Overview!AO39*Overview!$Z39*Results_energy_scenarios!$G133</f>
        <v>#REF!</v>
      </c>
      <c r="V133" s="99" t="e">
        <f>Overview!AP39*Overview!$Z39*Results_energy_scenarios!$G133</f>
        <v>#REF!</v>
      </c>
      <c r="W133" s="99" t="e">
        <f>Overview!AQ39*Overview!$Z39*Results_energy_scenarios!$G133</f>
        <v>#REF!</v>
      </c>
      <c r="X133" s="99" t="e">
        <f>Overview!AR39*Overview!$Z39*Results_energy_scenarios!$G133</f>
        <v>#REF!</v>
      </c>
      <c r="Y133" s="101" t="e">
        <f>Overview!AS39*Overview!$Z39*Results_energy_scenarios!$G133</f>
        <v>#REF!</v>
      </c>
      <c r="Z133" s="99" t="e">
        <f>Overview!CP39*Overview!$Z39*Results_energy_scenarios!$G133</f>
        <v>#REF!</v>
      </c>
      <c r="AA133" s="99" t="e">
        <f>Overview!CQ39*Overview!$Z39*Results_energy_scenarios!$G133</f>
        <v>#REF!</v>
      </c>
      <c r="AB133" s="99" t="e">
        <f>Overview!CR39*Overview!$Z39*Results_energy_scenarios!$G133</f>
        <v>#REF!</v>
      </c>
      <c r="AC133" s="99" t="e">
        <f>Overview!CS39*Overview!$Z39*Results_energy_scenarios!$G133</f>
        <v>#REF!</v>
      </c>
      <c r="AD133" s="99" t="e">
        <f>Overview!CT39*Overview!$Z39*Results_energy_scenarios!$G133</f>
        <v>#REF!</v>
      </c>
      <c r="AE133" s="99" t="e">
        <f>Overview!CU39*Overview!$Z39*Results_energy_scenarios!$G133</f>
        <v>#REF!</v>
      </c>
      <c r="AF133" s="99" t="e">
        <f>Overview!CV39*Overview!$Z39*Results_energy_scenarios!$G133</f>
        <v>#REF!</v>
      </c>
      <c r="AG133" s="99" t="e">
        <f>Overview!CW39*Overview!$Z39*Results_energy_scenarios!$G133</f>
        <v>#REF!</v>
      </c>
      <c r="AH133" s="99" t="e">
        <f>Overview!CX39*Overview!$Z39*Results_energy_scenarios!$G133</f>
        <v>#REF!</v>
      </c>
      <c r="AI133" s="99" t="e">
        <f>Overview!CY39*Overview!$Z39*Results_energy_scenarios!$G133</f>
        <v>#REF!</v>
      </c>
      <c r="AJ133" s="99" t="e">
        <f>Overview!CZ39*Overview!$Z39*Results_energy_scenarios!$G133</f>
        <v>#REF!</v>
      </c>
      <c r="AK133" s="99" t="e">
        <f>Overview!DA39*Overview!$Z39*Results_energy_scenarios!$G133</f>
        <v>#REF!</v>
      </c>
      <c r="AL133" s="99" t="e">
        <f>Overview!DB39*Overview!$Z39*Results_energy_scenarios!$G133</f>
        <v>#REF!</v>
      </c>
      <c r="AM133" s="99" t="e">
        <f>Overview!DC39*Overview!$Z39*Results_energy_scenarios!$G133</f>
        <v>#REF!</v>
      </c>
      <c r="AN133" s="99" t="e">
        <f>Overview!DD39*Overview!$Z39*Results_energy_scenarios!$G133</f>
        <v>#REF!</v>
      </c>
      <c r="AO133" s="101" t="e">
        <f>Overview!DE39*Overview!$Z39*Results_energy_scenarios!$G133</f>
        <v>#REF!</v>
      </c>
    </row>
    <row r="134" spans="1:41">
      <c r="A134" t="s">
        <v>6</v>
      </c>
      <c r="B134" t="s">
        <v>376</v>
      </c>
      <c r="C134" t="s">
        <v>328</v>
      </c>
      <c r="D134" s="140" t="s">
        <v>416</v>
      </c>
      <c r="E134">
        <f>Overview!I44</f>
        <v>2.1608223735463641E-2</v>
      </c>
      <c r="F134" s="103"/>
      <c r="G134" s="103"/>
      <c r="H134" s="103"/>
      <c r="I134" s="174">
        <f>E134/E140</f>
        <v>2.7706378130558119E-7</v>
      </c>
      <c r="J134" s="99" t="e">
        <f>Overview!AD44*Overview!$AA44*Results_energy_scenarios!$E134</f>
        <v>#REF!</v>
      </c>
      <c r="K134" s="99" t="e">
        <f>Overview!AE44*Overview!$AA44*Results_energy_scenarios!$E134</f>
        <v>#REF!</v>
      </c>
      <c r="L134" s="99" t="e">
        <f>Overview!AF44*Overview!$AA44*Results_energy_scenarios!$E134</f>
        <v>#REF!</v>
      </c>
      <c r="M134" s="99" t="e">
        <f>Overview!AG44*Overview!$AA44*Results_energy_scenarios!$E134</f>
        <v>#REF!</v>
      </c>
      <c r="N134" s="99" t="e">
        <f>Overview!AH44*Overview!$AA44*Results_energy_scenarios!$E134</f>
        <v>#REF!</v>
      </c>
      <c r="O134" s="99" t="e">
        <f>Overview!AI44*Overview!$AA44*Results_energy_scenarios!$E134</f>
        <v>#REF!</v>
      </c>
      <c r="P134" s="99" t="e">
        <f>Overview!AJ44*Overview!$AA44*Results_energy_scenarios!$E134</f>
        <v>#REF!</v>
      </c>
      <c r="Q134" s="99" t="e">
        <f>Overview!AK44*Overview!$AA44*Results_energy_scenarios!$E134</f>
        <v>#REF!</v>
      </c>
      <c r="R134" s="99" t="e">
        <f>Overview!AL44*Overview!$AA44*Results_energy_scenarios!$E134</f>
        <v>#REF!</v>
      </c>
      <c r="S134" s="99" t="e">
        <f>Overview!AM44*Overview!$AA44*Results_energy_scenarios!$E134</f>
        <v>#REF!</v>
      </c>
      <c r="T134" s="99" t="e">
        <f>Overview!AN44*Overview!$AA44*Results_energy_scenarios!$E134</f>
        <v>#REF!</v>
      </c>
      <c r="U134" s="99" t="e">
        <f>Overview!AO44*Overview!$AA44*Results_energy_scenarios!$E134</f>
        <v>#REF!</v>
      </c>
      <c r="V134" s="99" t="e">
        <f>Overview!AP44*Overview!$AA44*Results_energy_scenarios!$E134</f>
        <v>#REF!</v>
      </c>
      <c r="W134" s="99" t="e">
        <f>Overview!AQ44*Overview!$AA44*Results_energy_scenarios!$E134</f>
        <v>#REF!</v>
      </c>
      <c r="X134" s="99" t="e">
        <f>Overview!AR44*Overview!$AA44*Results_energy_scenarios!$E134</f>
        <v>#REF!</v>
      </c>
      <c r="Y134" s="101" t="e">
        <f>Overview!AS44*Overview!$AA44*Results_energy_scenarios!$E134</f>
        <v>#REF!</v>
      </c>
      <c r="Z134" s="99" t="e">
        <f>Overview!CP44*Overview!$AA44*Results_energy_scenarios!$E134</f>
        <v>#REF!</v>
      </c>
      <c r="AA134" s="99" t="e">
        <f>Overview!CQ44*Overview!$AA44*Results_energy_scenarios!$E134</f>
        <v>#REF!</v>
      </c>
      <c r="AB134" s="99" t="e">
        <f>Overview!CR44*Overview!$AA44*Results_energy_scenarios!$E134</f>
        <v>#REF!</v>
      </c>
      <c r="AC134" s="99" t="e">
        <f>Overview!CS44*Overview!$AA44*Results_energy_scenarios!$E134</f>
        <v>#REF!</v>
      </c>
      <c r="AD134" s="99" t="e">
        <f>Overview!CT44*Overview!$AA44*Results_energy_scenarios!$E134</f>
        <v>#REF!</v>
      </c>
      <c r="AE134" s="99" t="e">
        <f>Overview!CU44*Overview!$AA44*Results_energy_scenarios!$E134</f>
        <v>#REF!</v>
      </c>
      <c r="AF134" s="99" t="e">
        <f>Overview!CV44*Overview!$AA44*Results_energy_scenarios!$E134</f>
        <v>#REF!</v>
      </c>
      <c r="AG134" s="99" t="e">
        <f>Overview!CW44*Overview!$AA44*Results_energy_scenarios!$E134</f>
        <v>#REF!</v>
      </c>
      <c r="AH134" s="99" t="e">
        <f>Overview!CX44*Overview!$AA44*Results_energy_scenarios!$E134</f>
        <v>#REF!</v>
      </c>
      <c r="AI134" s="99" t="e">
        <f>Overview!CY44*Overview!$AA44*Results_energy_scenarios!$E134</f>
        <v>#REF!</v>
      </c>
      <c r="AJ134" s="99" t="e">
        <f>Overview!CZ44*Overview!$AA44*Results_energy_scenarios!$E134</f>
        <v>#REF!</v>
      </c>
      <c r="AK134" s="99" t="e">
        <f>Overview!DA44*Overview!$AA44*Results_energy_scenarios!$E134</f>
        <v>#REF!</v>
      </c>
      <c r="AL134" s="99" t="e">
        <f>Overview!DB44*Overview!$AA44*Results_energy_scenarios!$E134</f>
        <v>#REF!</v>
      </c>
      <c r="AM134" s="99" t="e">
        <f>Overview!DC44*Overview!$AA44*Results_energy_scenarios!$E134</f>
        <v>#REF!</v>
      </c>
      <c r="AN134" s="99" t="e">
        <f>Overview!DD44*Overview!$AA44*Results_energy_scenarios!$E134</f>
        <v>#REF!</v>
      </c>
      <c r="AO134" s="101" t="e">
        <f>Overview!DE44*Overview!$AA44*Results_energy_scenarios!$E134</f>
        <v>#REF!</v>
      </c>
    </row>
    <row r="135" spans="1:41">
      <c r="A135" t="s">
        <v>6</v>
      </c>
      <c r="B135" t="s">
        <v>376</v>
      </c>
      <c r="C135" t="s">
        <v>328</v>
      </c>
      <c r="D135" s="140" t="s">
        <v>418</v>
      </c>
      <c r="E135" s="103"/>
      <c r="F135" s="103"/>
      <c r="G135">
        <f>Overview!I8</f>
        <v>1.001444935168532E-2</v>
      </c>
      <c r="H135" s="103"/>
      <c r="I135" s="174"/>
      <c r="J135" s="99" t="e">
        <f>Overview!AD8*Overview!$Z8*Results_energy_scenarios!$G135</f>
        <v>#REF!</v>
      </c>
      <c r="K135" s="99" t="e">
        <f>Overview!AE8*Overview!$Z8*Results_energy_scenarios!$G135</f>
        <v>#REF!</v>
      </c>
      <c r="L135" s="99" t="e">
        <f>Overview!AF8*Overview!$Z8*Results_energy_scenarios!$G135</f>
        <v>#REF!</v>
      </c>
      <c r="M135" s="99" t="e">
        <f>Overview!AG8*Overview!$Z8*Results_energy_scenarios!$G135</f>
        <v>#REF!</v>
      </c>
      <c r="N135" s="99" t="e">
        <f>Overview!AH8*Overview!$Z8*Results_energy_scenarios!$G135</f>
        <v>#REF!</v>
      </c>
      <c r="O135" s="99" t="e">
        <f>Overview!AI8*Overview!$Z8*Results_energy_scenarios!$G135</f>
        <v>#REF!</v>
      </c>
      <c r="P135" s="99" t="e">
        <f>Overview!AJ8*Overview!$Z8*Results_energy_scenarios!$G135</f>
        <v>#REF!</v>
      </c>
      <c r="Q135" s="99" t="e">
        <f>Overview!AK8*Overview!$Z8*Results_energy_scenarios!$G135</f>
        <v>#REF!</v>
      </c>
      <c r="R135" s="99" t="e">
        <f>Overview!AL8*Overview!$Z8*Results_energy_scenarios!$G135</f>
        <v>#REF!</v>
      </c>
      <c r="S135" s="99" t="e">
        <f>Overview!AM8*Overview!$Z8*Results_energy_scenarios!$G135</f>
        <v>#REF!</v>
      </c>
      <c r="T135" s="99" t="e">
        <f>Overview!AN8*Overview!$Z8*Results_energy_scenarios!$G135</f>
        <v>#REF!</v>
      </c>
      <c r="U135" s="99" t="e">
        <f>Overview!AO8*Overview!$Z8*Results_energy_scenarios!$G135</f>
        <v>#REF!</v>
      </c>
      <c r="V135" s="99" t="e">
        <f>Overview!AP8*Overview!$Z8*Results_energy_scenarios!$G135</f>
        <v>#REF!</v>
      </c>
      <c r="W135" s="99" t="e">
        <f>Overview!AQ8*Overview!$Z8*Results_energy_scenarios!$G135</f>
        <v>#REF!</v>
      </c>
      <c r="X135" s="99" t="e">
        <f>Overview!AR8*Overview!$Z8*Results_energy_scenarios!$G135</f>
        <v>#REF!</v>
      </c>
      <c r="Y135" s="101" t="e">
        <f>Overview!AS8*Overview!$Z8*Results_energy_scenarios!$G135</f>
        <v>#REF!</v>
      </c>
      <c r="Z135" s="99" t="e">
        <f>Overview!CP8*Overview!$Z8*Results_energy_scenarios!$G135</f>
        <v>#REF!</v>
      </c>
      <c r="AA135" s="99" t="e">
        <f>Overview!CQ8*Overview!$Z8*Results_energy_scenarios!$G135</f>
        <v>#REF!</v>
      </c>
      <c r="AB135" s="99" t="e">
        <f>Overview!CR8*Overview!$Z8*Results_energy_scenarios!$G135</f>
        <v>#REF!</v>
      </c>
      <c r="AC135" s="99" t="e">
        <f>Overview!CS8*Overview!$Z8*Results_energy_scenarios!$G135</f>
        <v>#REF!</v>
      </c>
      <c r="AD135" s="99" t="e">
        <f>Overview!CT8*Overview!$Z8*Results_energy_scenarios!$G135</f>
        <v>#REF!</v>
      </c>
      <c r="AE135" s="99" t="e">
        <f>Overview!CU8*Overview!$Z8*Results_energy_scenarios!$G135</f>
        <v>#REF!</v>
      </c>
      <c r="AF135" s="99" t="e">
        <f>Overview!CV8*Overview!$Z8*Results_energy_scenarios!$G135</f>
        <v>#REF!</v>
      </c>
      <c r="AG135" s="99" t="e">
        <f>Overview!CW8*Overview!$Z8*Results_energy_scenarios!$G135</f>
        <v>#REF!</v>
      </c>
      <c r="AH135" s="99" t="e">
        <f>Overview!CX8*Overview!$Z8*Results_energy_scenarios!$G135</f>
        <v>#REF!</v>
      </c>
      <c r="AI135" s="99" t="e">
        <f>Overview!CY8*Overview!$Z8*Results_energy_scenarios!$G135</f>
        <v>#REF!</v>
      </c>
      <c r="AJ135" s="99" t="e">
        <f>Overview!CZ8*Overview!$Z8*Results_energy_scenarios!$G135</f>
        <v>#REF!</v>
      </c>
      <c r="AK135" s="99" t="e">
        <f>Overview!DA8*Overview!$Z8*Results_energy_scenarios!$G135</f>
        <v>#REF!</v>
      </c>
      <c r="AL135" s="99" t="e">
        <f>Overview!DB8*Overview!$Z8*Results_energy_scenarios!$G135</f>
        <v>#REF!</v>
      </c>
      <c r="AM135" s="99" t="e">
        <f>Overview!DC8*Overview!$Z8*Results_energy_scenarios!$G135</f>
        <v>#REF!</v>
      </c>
      <c r="AN135" s="99" t="e">
        <f>Overview!DD8*Overview!$Z8*Results_energy_scenarios!$G135</f>
        <v>#REF!</v>
      </c>
      <c r="AO135" s="101" t="e">
        <f>Overview!DE8*Overview!$Z8*Results_energy_scenarios!$G135</f>
        <v>#REF!</v>
      </c>
    </row>
    <row r="136" spans="1:41">
      <c r="A136" t="s">
        <v>6</v>
      </c>
      <c r="B136" t="s">
        <v>376</v>
      </c>
      <c r="C136" t="s">
        <v>327</v>
      </c>
      <c r="D136" s="140" t="s">
        <v>377</v>
      </c>
      <c r="E136">
        <f>energy_data_per_scenario!L15*1000</f>
        <v>3200</v>
      </c>
      <c r="F136" s="103"/>
      <c r="G136" s="103"/>
      <c r="H136" s="103"/>
      <c r="I136" s="174">
        <f>E136/E140</f>
        <v>4.1030864500109558E-2</v>
      </c>
      <c r="J136" s="99" t="e">
        <f>Overview!AD32*Overview!$AA32*Results_energy_scenarios!$E136</f>
        <v>#REF!</v>
      </c>
      <c r="K136" s="99" t="e">
        <f>Overview!AE32*Overview!$AA32*Results_energy_scenarios!$E136</f>
        <v>#REF!</v>
      </c>
      <c r="L136" s="99" t="e">
        <f>Overview!AF32*Overview!$AA32*Results_energy_scenarios!$E136</f>
        <v>#REF!</v>
      </c>
      <c r="M136" s="99" t="e">
        <f>Overview!AG32*Overview!$AA32*Results_energy_scenarios!$E136</f>
        <v>#REF!</v>
      </c>
      <c r="N136" s="99" t="e">
        <f>Overview!AH32*Overview!$AA32*Results_energy_scenarios!$E136</f>
        <v>#REF!</v>
      </c>
      <c r="O136" s="99" t="e">
        <f>Overview!AI32*Overview!$AA32*Results_energy_scenarios!$E136</f>
        <v>#REF!</v>
      </c>
      <c r="P136" s="99" t="e">
        <f>Overview!AJ32*Overview!$AA32*Results_energy_scenarios!$E136</f>
        <v>#REF!</v>
      </c>
      <c r="Q136" s="99" t="e">
        <f>Overview!AK32*Overview!$AA32*Results_energy_scenarios!$E136</f>
        <v>#REF!</v>
      </c>
      <c r="R136" s="99" t="e">
        <f>Overview!AL32*Overview!$AA32*Results_energy_scenarios!$E136</f>
        <v>#REF!</v>
      </c>
      <c r="S136" s="99" t="e">
        <f>Overview!AM32*Overview!$AA32*Results_energy_scenarios!$E136</f>
        <v>#REF!</v>
      </c>
      <c r="T136" s="99" t="e">
        <f>Overview!AN32*Overview!$AA32*Results_energy_scenarios!$E136</f>
        <v>#REF!</v>
      </c>
      <c r="U136" s="99" t="e">
        <f>Overview!AO32*Overview!$AA32*Results_energy_scenarios!$E136</f>
        <v>#REF!</v>
      </c>
      <c r="V136" s="99" t="e">
        <f>Overview!AP32*Overview!$AA32*Results_energy_scenarios!$E136</f>
        <v>#REF!</v>
      </c>
      <c r="W136" s="99" t="e">
        <f>Overview!AQ32*Overview!$AA32*Results_energy_scenarios!$E136</f>
        <v>#REF!</v>
      </c>
      <c r="X136" s="99" t="e">
        <f>Overview!AR32*Overview!$AA32*Results_energy_scenarios!$E136</f>
        <v>#REF!</v>
      </c>
      <c r="Y136" s="101" t="e">
        <f>Overview!AS32*Overview!$AA32*Results_energy_scenarios!$E136</f>
        <v>#REF!</v>
      </c>
      <c r="Z136" s="99" t="e">
        <f>Overview!CP32*Overview!$AA32*Results_energy_scenarios!$E136</f>
        <v>#REF!</v>
      </c>
      <c r="AA136" s="99" t="e">
        <f>Overview!CQ32*Overview!$AA32*Results_energy_scenarios!$E136</f>
        <v>#REF!</v>
      </c>
      <c r="AB136" s="99" t="e">
        <f>Overview!CR32*Overview!$AA32*Results_energy_scenarios!$E136</f>
        <v>#REF!</v>
      </c>
      <c r="AC136" s="99" t="e">
        <f>Overview!CS32*Overview!$AA32*Results_energy_scenarios!$E136</f>
        <v>#REF!</v>
      </c>
      <c r="AD136" s="99" t="e">
        <f>Overview!CT32*Overview!$AA32*Results_energy_scenarios!$E136</f>
        <v>#REF!</v>
      </c>
      <c r="AE136" s="99" t="e">
        <f>Overview!CU32*Overview!$AA32*Results_energy_scenarios!$E136</f>
        <v>#REF!</v>
      </c>
      <c r="AF136" s="99" t="e">
        <f>Overview!CV32*Overview!$AA32*Results_energy_scenarios!$E136</f>
        <v>#REF!</v>
      </c>
      <c r="AG136" s="99" t="e">
        <f>Overview!CW32*Overview!$AA32*Results_energy_scenarios!$E136</f>
        <v>#REF!</v>
      </c>
      <c r="AH136" s="99" t="e">
        <f>Overview!CX32*Overview!$AA32*Results_energy_scenarios!$E136</f>
        <v>#REF!</v>
      </c>
      <c r="AI136" s="99" t="e">
        <f>Overview!CY32*Overview!$AA32*Results_energy_scenarios!$E136</f>
        <v>#REF!</v>
      </c>
      <c r="AJ136" s="99" t="e">
        <f>Overview!CZ32*Overview!$AA32*Results_energy_scenarios!$E136</f>
        <v>#REF!</v>
      </c>
      <c r="AK136" s="99" t="e">
        <f>Overview!DA32*Overview!$AA32*Results_energy_scenarios!$E136</f>
        <v>#REF!</v>
      </c>
      <c r="AL136" s="99" t="e">
        <f>Overview!DB32*Overview!$AA32*Results_energy_scenarios!$E136</f>
        <v>#REF!</v>
      </c>
      <c r="AM136" s="99" t="e">
        <f>Overview!DC32*Overview!$AA32*Results_energy_scenarios!$E136</f>
        <v>#REF!</v>
      </c>
      <c r="AN136" s="99" t="e">
        <f>Overview!DD32*Overview!$AA32*Results_energy_scenarios!$E136</f>
        <v>#REF!</v>
      </c>
      <c r="AO136" s="101" t="e">
        <f>Overview!DE32*Overview!$AA32*Results_energy_scenarios!$E136</f>
        <v>#REF!</v>
      </c>
    </row>
    <row r="137" spans="1:41">
      <c r="A137" t="s">
        <v>6</v>
      </c>
      <c r="B137" t="s">
        <v>376</v>
      </c>
      <c r="C137" t="s">
        <v>327</v>
      </c>
      <c r="D137" s="114" t="s">
        <v>390</v>
      </c>
      <c r="E137" s="103"/>
      <c r="F137" s="103"/>
      <c r="G137">
        <v>3201</v>
      </c>
      <c r="H137" s="103"/>
      <c r="I137" s="174"/>
      <c r="J137" s="99" t="e">
        <f>$G137*J128</f>
        <v>#REF!</v>
      </c>
      <c r="K137" s="99" t="e">
        <f t="shared" ref="K137:AO137" si="95">$G137*K128</f>
        <v>#REF!</v>
      </c>
      <c r="L137" s="99" t="e">
        <f t="shared" si="95"/>
        <v>#REF!</v>
      </c>
      <c r="M137" s="99" t="e">
        <f t="shared" si="95"/>
        <v>#REF!</v>
      </c>
      <c r="N137" s="99" t="e">
        <f t="shared" si="95"/>
        <v>#REF!</v>
      </c>
      <c r="O137" s="99" t="e">
        <f t="shared" si="95"/>
        <v>#REF!</v>
      </c>
      <c r="P137" s="99" t="e">
        <f t="shared" si="95"/>
        <v>#REF!</v>
      </c>
      <c r="Q137" s="99" t="e">
        <f t="shared" si="95"/>
        <v>#REF!</v>
      </c>
      <c r="R137" s="99" t="e">
        <f t="shared" si="95"/>
        <v>#REF!</v>
      </c>
      <c r="S137" s="99" t="e">
        <f t="shared" si="95"/>
        <v>#REF!</v>
      </c>
      <c r="T137" s="99" t="e">
        <f t="shared" si="95"/>
        <v>#REF!</v>
      </c>
      <c r="U137" s="99" t="e">
        <f t="shared" si="95"/>
        <v>#REF!</v>
      </c>
      <c r="V137" s="99" t="e">
        <f t="shared" si="95"/>
        <v>#REF!</v>
      </c>
      <c r="W137" s="99" t="e">
        <f t="shared" si="95"/>
        <v>#REF!</v>
      </c>
      <c r="X137" s="99" t="e">
        <f t="shared" si="95"/>
        <v>#REF!</v>
      </c>
      <c r="Y137" s="101" t="e">
        <f t="shared" si="95"/>
        <v>#REF!</v>
      </c>
      <c r="Z137" s="99" t="e">
        <f t="shared" si="95"/>
        <v>#REF!</v>
      </c>
      <c r="AA137" s="99" t="e">
        <f t="shared" si="95"/>
        <v>#REF!</v>
      </c>
      <c r="AB137" s="99" t="e">
        <f t="shared" si="95"/>
        <v>#REF!</v>
      </c>
      <c r="AC137" s="99" t="e">
        <f t="shared" si="95"/>
        <v>#REF!</v>
      </c>
      <c r="AD137" s="99" t="e">
        <f t="shared" si="95"/>
        <v>#REF!</v>
      </c>
      <c r="AE137" s="99" t="e">
        <f t="shared" si="95"/>
        <v>#REF!</v>
      </c>
      <c r="AF137" s="99" t="e">
        <f t="shared" si="95"/>
        <v>#REF!</v>
      </c>
      <c r="AG137" s="99" t="e">
        <f t="shared" si="95"/>
        <v>#REF!</v>
      </c>
      <c r="AH137" s="99" t="e">
        <f t="shared" si="95"/>
        <v>#REF!</v>
      </c>
      <c r="AI137" s="99" t="e">
        <f t="shared" si="95"/>
        <v>#REF!</v>
      </c>
      <c r="AJ137" s="99" t="e">
        <f t="shared" si="95"/>
        <v>#REF!</v>
      </c>
      <c r="AK137" s="99" t="e">
        <f t="shared" si="95"/>
        <v>#REF!</v>
      </c>
      <c r="AL137" s="99" t="e">
        <f t="shared" si="95"/>
        <v>#REF!</v>
      </c>
      <c r="AM137" s="99" t="e">
        <f t="shared" si="95"/>
        <v>#REF!</v>
      </c>
      <c r="AN137" s="99" t="e">
        <f t="shared" si="95"/>
        <v>#REF!</v>
      </c>
      <c r="AO137" s="101" t="e">
        <f t="shared" si="95"/>
        <v>#REF!</v>
      </c>
    </row>
    <row r="138" spans="1:41">
      <c r="A138" t="s">
        <v>6</v>
      </c>
      <c r="B138" t="s">
        <v>376</v>
      </c>
      <c r="C138" t="s">
        <v>327</v>
      </c>
      <c r="D138" s="140" t="s">
        <v>415</v>
      </c>
      <c r="E138">
        <f>Overview!I33</f>
        <v>1.6832473153690321E-2</v>
      </c>
      <c r="F138" s="103"/>
      <c r="G138" s="103"/>
      <c r="H138" s="103"/>
      <c r="I138" s="174">
        <f>E138/E140</f>
        <v>2.1582841411587481E-7</v>
      </c>
      <c r="J138" s="99" t="e">
        <f>Overview!AD33*Overview!$AA33*Results_energy_scenarios!$E138</f>
        <v>#REF!</v>
      </c>
      <c r="K138" s="99" t="e">
        <f>Overview!AE33*Overview!$AA33*Results_energy_scenarios!$E138</f>
        <v>#REF!</v>
      </c>
      <c r="L138" s="99" t="e">
        <f>Overview!AF33*Overview!$AA33*Results_energy_scenarios!$E138</f>
        <v>#REF!</v>
      </c>
      <c r="M138" s="99" t="e">
        <f>Overview!AG33*Overview!$AA33*Results_energy_scenarios!$E138</f>
        <v>#REF!</v>
      </c>
      <c r="N138" s="99" t="e">
        <f>Overview!AH33*Overview!$AA33*Results_energy_scenarios!$E138</f>
        <v>#REF!</v>
      </c>
      <c r="O138" s="99" t="e">
        <f>Overview!AI33*Overview!$AA33*Results_energy_scenarios!$E138</f>
        <v>#REF!</v>
      </c>
      <c r="P138" s="99" t="e">
        <f>Overview!AJ33*Overview!$AA33*Results_energy_scenarios!$E138</f>
        <v>#REF!</v>
      </c>
      <c r="Q138" s="99" t="e">
        <f>Overview!AK33*Overview!$AA33*Results_energy_scenarios!$E138</f>
        <v>#REF!</v>
      </c>
      <c r="R138" s="99" t="e">
        <f>Overview!AL33*Overview!$AA33*Results_energy_scenarios!$E138</f>
        <v>#REF!</v>
      </c>
      <c r="S138" s="99" t="e">
        <f>Overview!AM33*Overview!$AA33*Results_energy_scenarios!$E138</f>
        <v>#REF!</v>
      </c>
      <c r="T138" s="99" t="e">
        <f>Overview!AN33*Overview!$AA33*Results_energy_scenarios!$E138</f>
        <v>#REF!</v>
      </c>
      <c r="U138" s="99" t="e">
        <f>Overview!AO33*Overview!$AA33*Results_energy_scenarios!$E138</f>
        <v>#REF!</v>
      </c>
      <c r="V138" s="99" t="e">
        <f>Overview!AP33*Overview!$AA33*Results_energy_scenarios!$E138</f>
        <v>#REF!</v>
      </c>
      <c r="W138" s="99" t="e">
        <f>Overview!AQ33*Overview!$AA33*Results_energy_scenarios!$E138</f>
        <v>#REF!</v>
      </c>
      <c r="X138" s="99" t="e">
        <f>Overview!AR33*Overview!$AA33*Results_energy_scenarios!$E138</f>
        <v>#REF!</v>
      </c>
      <c r="Y138" s="101" t="e">
        <f>Overview!AS33*Overview!$AA33*Results_energy_scenarios!$E138</f>
        <v>#REF!</v>
      </c>
      <c r="Z138" s="99" t="e">
        <f>Overview!CP33*Overview!$AA33*Results_energy_scenarios!$E138</f>
        <v>#REF!</v>
      </c>
      <c r="AA138" s="99" t="e">
        <f>Overview!CQ33*Overview!$AA33*Results_energy_scenarios!$E138</f>
        <v>#REF!</v>
      </c>
      <c r="AB138" s="99" t="e">
        <f>Overview!CR33*Overview!$AA33*Results_energy_scenarios!$E138</f>
        <v>#REF!</v>
      </c>
      <c r="AC138" s="99" t="e">
        <f>Overview!CS33*Overview!$AA33*Results_energy_scenarios!$E138</f>
        <v>#REF!</v>
      </c>
      <c r="AD138" s="99" t="e">
        <f>Overview!CT33*Overview!$AA33*Results_energy_scenarios!$E138</f>
        <v>#REF!</v>
      </c>
      <c r="AE138" s="99" t="e">
        <f>Overview!CU33*Overview!$AA33*Results_energy_scenarios!$E138</f>
        <v>#REF!</v>
      </c>
      <c r="AF138" s="99" t="e">
        <f>Overview!CV33*Overview!$AA33*Results_energy_scenarios!$E138</f>
        <v>#REF!</v>
      </c>
      <c r="AG138" s="99" t="e">
        <f>Overview!CW33*Overview!$AA33*Results_energy_scenarios!$E138</f>
        <v>#REF!</v>
      </c>
      <c r="AH138" s="99" t="e">
        <f>Overview!CX33*Overview!$AA33*Results_energy_scenarios!$E138</f>
        <v>#REF!</v>
      </c>
      <c r="AI138" s="99" t="e">
        <f>Overview!CY33*Overview!$AA33*Results_energy_scenarios!$E138</f>
        <v>#REF!</v>
      </c>
      <c r="AJ138" s="99" t="e">
        <f>Overview!CZ33*Overview!$AA33*Results_energy_scenarios!$E138</f>
        <v>#REF!</v>
      </c>
      <c r="AK138" s="99" t="e">
        <f>Overview!DA33*Overview!$AA33*Results_energy_scenarios!$E138</f>
        <v>#REF!</v>
      </c>
      <c r="AL138" s="99" t="e">
        <f>Overview!DB33*Overview!$AA33*Results_energy_scenarios!$E138</f>
        <v>#REF!</v>
      </c>
      <c r="AM138" s="99" t="e">
        <f>Overview!DC33*Overview!$AA33*Results_energy_scenarios!$E138</f>
        <v>#REF!</v>
      </c>
      <c r="AN138" s="99" t="e">
        <f>Overview!DD33*Overview!$AA33*Results_energy_scenarios!$E138</f>
        <v>#REF!</v>
      </c>
      <c r="AO138" s="101" t="e">
        <f>Overview!DE33*Overview!$AA33*Results_energy_scenarios!$E138</f>
        <v>#REF!</v>
      </c>
    </row>
    <row r="139" spans="1:41">
      <c r="A139" t="s">
        <v>6</v>
      </c>
      <c r="B139" t="s">
        <v>376</v>
      </c>
      <c r="C139" t="s">
        <v>327</v>
      </c>
      <c r="D139" s="140" t="s">
        <v>417</v>
      </c>
      <c r="E139" s="103"/>
      <c r="F139" s="103"/>
      <c r="G139">
        <f>-Overview!I31</f>
        <v>2.0570676252943801E-2</v>
      </c>
      <c r="H139" s="103"/>
      <c r="I139" s="174"/>
      <c r="J139" s="99" t="e">
        <f>Overview!AD31*Overview!$Z31/7*Overview!$E26/Overview!$I26*Results_energy_scenarios!$G139+Overview!$I27*Results_energy_scenarios!$G139*Results_energy_scenarios!J128</f>
        <v>#REF!</v>
      </c>
      <c r="K139" s="99" t="e">
        <f>Overview!AE31*Overview!$Z31/7*Overview!$E26/Overview!$I26*Results_energy_scenarios!$G139+Overview!$I27*Results_energy_scenarios!$G139*Results_energy_scenarios!K128</f>
        <v>#REF!</v>
      </c>
      <c r="L139" s="99" t="e">
        <f>Overview!AF31*Overview!$Z31/7*Overview!$E26/Overview!$I26*Results_energy_scenarios!$G139+Overview!$I27*Results_energy_scenarios!$G139*Results_energy_scenarios!L128</f>
        <v>#REF!</v>
      </c>
      <c r="M139" s="99" t="e">
        <f>Overview!AG31*Overview!$Z31/7*Overview!$E26/Overview!$I26*Results_energy_scenarios!$G139+Overview!$I27*Results_energy_scenarios!$G139*Results_energy_scenarios!M128</f>
        <v>#REF!</v>
      </c>
      <c r="N139" s="99" t="e">
        <f>Overview!AH31*Overview!$Z31/7*Overview!$E26/Overview!$I26*Results_energy_scenarios!$G139+Overview!$I27*Results_energy_scenarios!$G139*Results_energy_scenarios!N128</f>
        <v>#REF!</v>
      </c>
      <c r="O139" s="99" t="e">
        <f>Overview!AI31*Overview!$Z31/7*Overview!$E26/Overview!$I26*Results_energy_scenarios!$G139+Overview!$I27*Results_energy_scenarios!$G139*Results_energy_scenarios!O128</f>
        <v>#REF!</v>
      </c>
      <c r="P139" s="99" t="e">
        <f>Overview!AJ31*Overview!$Z31/7*Overview!$E26/Overview!$I26*Results_energy_scenarios!$G139+Overview!$I27*Results_energy_scenarios!$G139*Results_energy_scenarios!P128</f>
        <v>#REF!</v>
      </c>
      <c r="Q139" s="99" t="e">
        <f>Overview!AK31*Overview!$Z31/7*Overview!$E26/Overview!$I26*Results_energy_scenarios!$G139+Overview!$I27*Results_energy_scenarios!$G139*Results_energy_scenarios!Q128</f>
        <v>#REF!</v>
      </c>
      <c r="R139" s="99" t="e">
        <f>Overview!AL31*Overview!$Z31/7*Overview!$E26/Overview!$I26*Results_energy_scenarios!$G139+Overview!$I27*Results_energy_scenarios!$G139*Results_energy_scenarios!R128</f>
        <v>#REF!</v>
      </c>
      <c r="S139" s="99" t="e">
        <f>Overview!AM31*Overview!$Z31/7*Overview!$E26/Overview!$I26*Results_energy_scenarios!$G139+Overview!$I27*Results_energy_scenarios!$G139*Results_energy_scenarios!S128</f>
        <v>#REF!</v>
      </c>
      <c r="T139" s="99" t="e">
        <f>Overview!AN31*Overview!$Z31/7*Overview!$E26/Overview!$I26*Results_energy_scenarios!$G139+Overview!$I27*Results_energy_scenarios!$G139*Results_energy_scenarios!T128</f>
        <v>#REF!</v>
      </c>
      <c r="U139" s="99" t="e">
        <f>Overview!AO31*Overview!$Z31/7*Overview!$E26/Overview!$I26*Results_energy_scenarios!$G139+Overview!$I27*Results_energy_scenarios!$G139*Results_energy_scenarios!U128</f>
        <v>#REF!</v>
      </c>
      <c r="V139" s="99" t="e">
        <f>Overview!AP31*Overview!$Z31/7*Overview!$E26/Overview!$I26*Results_energy_scenarios!$G139+Overview!$I27*Results_energy_scenarios!$G139*Results_energy_scenarios!V128</f>
        <v>#REF!</v>
      </c>
      <c r="W139" s="99" t="e">
        <f>Overview!AQ31*Overview!$Z31/7*Overview!$E26/Overview!$I26*Results_energy_scenarios!$G139+Overview!$I27*Results_energy_scenarios!$G139*Results_energy_scenarios!W128</f>
        <v>#REF!</v>
      </c>
      <c r="X139" s="99" t="e">
        <f>Overview!AR31*Overview!$Z31/7*Overview!$E26/Overview!$I26*Results_energy_scenarios!$G139+Overview!$I27*Results_energy_scenarios!$G139*Results_energy_scenarios!X128</f>
        <v>#REF!</v>
      </c>
      <c r="Y139" s="101" t="e">
        <f>Overview!AS31*Overview!$Z31/7*Overview!$E26/Overview!$I26*Results_energy_scenarios!$G139+Overview!$I27*Results_energy_scenarios!$G139*Results_energy_scenarios!Y128</f>
        <v>#REF!</v>
      </c>
      <c r="Z139" s="99" t="e">
        <f>Overview!CP31*Overview!$Z31/7*Overview!$E26/Overview!$I26*Results_energy_scenarios!$G139+Overview!$I27*Results_energy_scenarios!$G139*Results_energy_scenarios!Z128</f>
        <v>#REF!</v>
      </c>
      <c r="AA139" s="99" t="e">
        <f>Overview!CQ31*Overview!$Z31/7*Overview!$E26/Overview!$I26*Results_energy_scenarios!$G139+Overview!$I27*Results_energy_scenarios!$G139*Results_energy_scenarios!AA128</f>
        <v>#REF!</v>
      </c>
      <c r="AB139" s="99" t="e">
        <f>Overview!CR31*Overview!$Z31/7*Overview!$E26/Overview!$I26*Results_energy_scenarios!$G139+Overview!$I27*Results_energy_scenarios!$G139*Results_energy_scenarios!AB128</f>
        <v>#REF!</v>
      </c>
      <c r="AC139" s="99" t="e">
        <f>Overview!CS31*Overview!$Z31/7*Overview!$E26/Overview!$I26*Results_energy_scenarios!$G139+Overview!$I27*Results_energy_scenarios!$G139*Results_energy_scenarios!AC128</f>
        <v>#REF!</v>
      </c>
      <c r="AD139" s="99" t="e">
        <f>Overview!CT31*Overview!$Z31/7*Overview!$E26/Overview!$I26*Results_energy_scenarios!$G139+Overview!$I27*Results_energy_scenarios!$G139*Results_energy_scenarios!AD128</f>
        <v>#REF!</v>
      </c>
      <c r="AE139" s="99" t="e">
        <f>Overview!CU31*Overview!$Z31/7*Overview!$E26/Overview!$I26*Results_energy_scenarios!$G139+Overview!$I27*Results_energy_scenarios!$G139*Results_energy_scenarios!AE128</f>
        <v>#REF!</v>
      </c>
      <c r="AF139" s="99" t="e">
        <f>Overview!CV31*Overview!$Z31/7*Overview!$E26/Overview!$I26*Results_energy_scenarios!$G139+Overview!$I27*Results_energy_scenarios!$G139*Results_energy_scenarios!AF128</f>
        <v>#REF!</v>
      </c>
      <c r="AG139" s="99" t="e">
        <f>Overview!CW31*Overview!$Z31/7*Overview!$E26/Overview!$I26*Results_energy_scenarios!$G139+Overview!$I27*Results_energy_scenarios!$G139*Results_energy_scenarios!AG128</f>
        <v>#REF!</v>
      </c>
      <c r="AH139" s="99" t="e">
        <f>Overview!CX31*Overview!$Z31/7*Overview!$E26/Overview!$I26*Results_energy_scenarios!$G139+Overview!$I27*Results_energy_scenarios!$G139*Results_energy_scenarios!AH128</f>
        <v>#REF!</v>
      </c>
      <c r="AI139" s="99" t="e">
        <f>Overview!CY31*Overview!$Z31/7*Overview!$E26/Overview!$I26*Results_energy_scenarios!$G139+Overview!$I27*Results_energy_scenarios!$G139*Results_energy_scenarios!AI128</f>
        <v>#REF!</v>
      </c>
      <c r="AJ139" s="99" t="e">
        <f>Overview!CZ31*Overview!$Z31/7*Overview!$E26/Overview!$I26*Results_energy_scenarios!$G139+Overview!$I27*Results_energy_scenarios!$G139*Results_energy_scenarios!AJ128</f>
        <v>#REF!</v>
      </c>
      <c r="AK139" s="99" t="e">
        <f>Overview!DA31*Overview!$Z31/7*Overview!$E26/Overview!$I26*Results_energy_scenarios!$G139+Overview!$I27*Results_energy_scenarios!$G139*Results_energy_scenarios!AK128</f>
        <v>#REF!</v>
      </c>
      <c r="AL139" s="99" t="e">
        <f>Overview!DB31*Overview!$Z31/7*Overview!$E26/Overview!$I26*Results_energy_scenarios!$G139+Overview!$I27*Results_energy_scenarios!$G139*Results_energy_scenarios!AL128</f>
        <v>#REF!</v>
      </c>
      <c r="AM139" s="99" t="e">
        <f>Overview!DC31*Overview!$Z31/7*Overview!$E26/Overview!$I26*Results_energy_scenarios!$G139+Overview!$I27*Results_energy_scenarios!$G139*Results_energy_scenarios!AM128</f>
        <v>#REF!</v>
      </c>
      <c r="AN139" s="99" t="e">
        <f>Overview!DD31*Overview!$Z31/7*Overview!$E26/Overview!$I26*Results_energy_scenarios!$G139+Overview!$I27*Results_energy_scenarios!$G139*Results_energy_scenarios!AN128</f>
        <v>#REF!</v>
      </c>
      <c r="AO139" s="101" t="e">
        <f>Overview!DE31*Overview!$Z31/7*Overview!$E26/Overview!$I26*Results_energy_scenarios!$G139+Overview!$I27*Results_energy_scenarios!$G139*Results_energy_scenarios!AO128</f>
        <v>#REF!</v>
      </c>
    </row>
    <row r="140" spans="1:41" s="90" customFormat="1">
      <c r="A140" s="90" t="s">
        <v>6</v>
      </c>
      <c r="B140" s="90" t="s">
        <v>376</v>
      </c>
      <c r="C140" s="90" t="s">
        <v>337</v>
      </c>
      <c r="E140" s="90">
        <f>SUM(E129:E138)</f>
        <v>77990.070133459056</v>
      </c>
      <c r="F140" s="109"/>
      <c r="G140" s="109"/>
      <c r="H140" s="109"/>
      <c r="I140" s="175">
        <f>SUM(I129:I139)</f>
        <v>1</v>
      </c>
      <c r="J140" s="125" t="e">
        <f>SUM(J129:J139)</f>
        <v>#REF!</v>
      </c>
      <c r="K140" s="125" t="e">
        <f t="shared" ref="K140:AO140" si="96">SUM(K129:K139)</f>
        <v>#REF!</v>
      </c>
      <c r="L140" s="125" t="e">
        <f t="shared" si="96"/>
        <v>#REF!</v>
      </c>
      <c r="M140" s="125" t="e">
        <f t="shared" si="96"/>
        <v>#REF!</v>
      </c>
      <c r="N140" s="125" t="e">
        <f t="shared" si="96"/>
        <v>#REF!</v>
      </c>
      <c r="O140" s="125" t="e">
        <f t="shared" si="96"/>
        <v>#REF!</v>
      </c>
      <c r="P140" s="125" t="e">
        <f t="shared" si="96"/>
        <v>#REF!</v>
      </c>
      <c r="Q140" s="125" t="e">
        <f t="shared" si="96"/>
        <v>#REF!</v>
      </c>
      <c r="R140" s="125" t="e">
        <f t="shared" si="96"/>
        <v>#REF!</v>
      </c>
      <c r="S140" s="125" t="e">
        <f t="shared" si="96"/>
        <v>#REF!</v>
      </c>
      <c r="T140" s="125" t="e">
        <f t="shared" si="96"/>
        <v>#REF!</v>
      </c>
      <c r="U140" s="125" t="e">
        <f t="shared" si="96"/>
        <v>#REF!</v>
      </c>
      <c r="V140" s="125" t="e">
        <f t="shared" si="96"/>
        <v>#REF!</v>
      </c>
      <c r="W140" s="125" t="e">
        <f t="shared" si="96"/>
        <v>#REF!</v>
      </c>
      <c r="X140" s="125" t="e">
        <f t="shared" si="96"/>
        <v>#REF!</v>
      </c>
      <c r="Y140" s="123" t="e">
        <f t="shared" si="96"/>
        <v>#REF!</v>
      </c>
      <c r="Z140" s="125" t="e">
        <f t="shared" si="96"/>
        <v>#REF!</v>
      </c>
      <c r="AA140" s="125" t="e">
        <f t="shared" si="96"/>
        <v>#REF!</v>
      </c>
      <c r="AB140" s="125" t="e">
        <f t="shared" si="96"/>
        <v>#REF!</v>
      </c>
      <c r="AC140" s="125" t="e">
        <f t="shared" si="96"/>
        <v>#REF!</v>
      </c>
      <c r="AD140" s="125" t="e">
        <f t="shared" si="96"/>
        <v>#REF!</v>
      </c>
      <c r="AE140" s="125" t="e">
        <f t="shared" si="96"/>
        <v>#REF!</v>
      </c>
      <c r="AF140" s="125" t="e">
        <f t="shared" si="96"/>
        <v>#REF!</v>
      </c>
      <c r="AG140" s="125" t="e">
        <f t="shared" si="96"/>
        <v>#REF!</v>
      </c>
      <c r="AH140" s="125" t="e">
        <f t="shared" si="96"/>
        <v>#REF!</v>
      </c>
      <c r="AI140" s="125" t="e">
        <f t="shared" si="96"/>
        <v>#REF!</v>
      </c>
      <c r="AJ140" s="125" t="e">
        <f t="shared" si="96"/>
        <v>#REF!</v>
      </c>
      <c r="AK140" s="125" t="e">
        <f t="shared" si="96"/>
        <v>#REF!</v>
      </c>
      <c r="AL140" s="125" t="e">
        <f t="shared" si="96"/>
        <v>#REF!</v>
      </c>
      <c r="AM140" s="125" t="e">
        <f t="shared" si="96"/>
        <v>#REF!</v>
      </c>
      <c r="AN140" s="125" t="e">
        <f t="shared" si="96"/>
        <v>#REF!</v>
      </c>
      <c r="AO140" s="123" t="e">
        <f t="shared" si="96"/>
        <v>#REF!</v>
      </c>
    </row>
    <row r="141" spans="1:41" s="90" customFormat="1" ht="15" thickBot="1">
      <c r="A141" s="134" t="s">
        <v>6</v>
      </c>
      <c r="B141" s="134" t="s">
        <v>376</v>
      </c>
      <c r="C141" s="134" t="s">
        <v>391</v>
      </c>
      <c r="D141" s="134"/>
      <c r="E141" s="134">
        <v>1</v>
      </c>
      <c r="F141" s="135"/>
      <c r="G141" s="135"/>
      <c r="H141" s="135"/>
      <c r="I141" s="168"/>
      <c r="J141" s="137" t="e">
        <f>J140/$E140</f>
        <v>#REF!</v>
      </c>
      <c r="K141" s="137" t="e">
        <f t="shared" ref="K141:AO141" si="97">K140/$E140</f>
        <v>#REF!</v>
      </c>
      <c r="L141" s="137" t="e">
        <f t="shared" si="97"/>
        <v>#REF!</v>
      </c>
      <c r="M141" s="137" t="e">
        <f t="shared" si="97"/>
        <v>#REF!</v>
      </c>
      <c r="N141" s="137" t="e">
        <f t="shared" si="97"/>
        <v>#REF!</v>
      </c>
      <c r="O141" s="137" t="e">
        <f t="shared" si="97"/>
        <v>#REF!</v>
      </c>
      <c r="P141" s="137" t="e">
        <f t="shared" si="97"/>
        <v>#REF!</v>
      </c>
      <c r="Q141" s="137" t="e">
        <f t="shared" si="97"/>
        <v>#REF!</v>
      </c>
      <c r="R141" s="137" t="e">
        <f t="shared" si="97"/>
        <v>#REF!</v>
      </c>
      <c r="S141" s="137" t="e">
        <f t="shared" si="97"/>
        <v>#REF!</v>
      </c>
      <c r="T141" s="137" t="e">
        <f t="shared" si="97"/>
        <v>#REF!</v>
      </c>
      <c r="U141" s="137" t="e">
        <f t="shared" si="97"/>
        <v>#REF!</v>
      </c>
      <c r="V141" s="137" t="e">
        <f t="shared" si="97"/>
        <v>#REF!</v>
      </c>
      <c r="W141" s="137" t="e">
        <f t="shared" si="97"/>
        <v>#REF!</v>
      </c>
      <c r="X141" s="137" t="e">
        <f t="shared" si="97"/>
        <v>#REF!</v>
      </c>
      <c r="Y141" s="138" t="e">
        <f t="shared" si="97"/>
        <v>#REF!</v>
      </c>
      <c r="Z141" s="137" t="e">
        <f t="shared" si="97"/>
        <v>#REF!</v>
      </c>
      <c r="AA141" s="137" t="e">
        <f t="shared" si="97"/>
        <v>#REF!</v>
      </c>
      <c r="AB141" s="137" t="e">
        <f t="shared" si="97"/>
        <v>#REF!</v>
      </c>
      <c r="AC141" s="137" t="e">
        <f t="shared" si="97"/>
        <v>#REF!</v>
      </c>
      <c r="AD141" s="137" t="e">
        <f t="shared" si="97"/>
        <v>#REF!</v>
      </c>
      <c r="AE141" s="137" t="e">
        <f t="shared" si="97"/>
        <v>#REF!</v>
      </c>
      <c r="AF141" s="137" t="e">
        <f t="shared" si="97"/>
        <v>#REF!</v>
      </c>
      <c r="AG141" s="137" t="e">
        <f t="shared" si="97"/>
        <v>#REF!</v>
      </c>
      <c r="AH141" s="137" t="e">
        <f t="shared" si="97"/>
        <v>#REF!</v>
      </c>
      <c r="AI141" s="137" t="e">
        <f t="shared" si="97"/>
        <v>#REF!</v>
      </c>
      <c r="AJ141" s="137" t="e">
        <f t="shared" si="97"/>
        <v>#REF!</v>
      </c>
      <c r="AK141" s="137" t="e">
        <f t="shared" si="97"/>
        <v>#REF!</v>
      </c>
      <c r="AL141" s="137" t="e">
        <f t="shared" si="97"/>
        <v>#REF!</v>
      </c>
      <c r="AM141" s="137" t="e">
        <f t="shared" si="97"/>
        <v>#REF!</v>
      </c>
      <c r="AN141" s="137" t="e">
        <f t="shared" si="97"/>
        <v>#REF!</v>
      </c>
      <c r="AO141" s="138" t="e">
        <f t="shared" si="97"/>
        <v>#REF!</v>
      </c>
    </row>
    <row r="142" spans="1:41">
      <c r="A142" t="s">
        <v>520</v>
      </c>
      <c r="D142" s="115" t="s">
        <v>322</v>
      </c>
      <c r="E142" s="103"/>
      <c r="F142" s="103"/>
      <c r="G142">
        <v>29518</v>
      </c>
      <c r="H142" s="103"/>
      <c r="J142" s="189" t="e">
        <f>SUM(J145:J150)</f>
        <v>#REF!</v>
      </c>
      <c r="K142" s="148" t="e">
        <f t="shared" ref="K142:AO142" si="98">SUM(K145:K150)</f>
        <v>#REF!</v>
      </c>
      <c r="L142" s="148" t="e">
        <f t="shared" si="98"/>
        <v>#REF!</v>
      </c>
      <c r="M142" s="148" t="e">
        <f t="shared" si="98"/>
        <v>#REF!</v>
      </c>
      <c r="N142" s="148" t="e">
        <f t="shared" si="98"/>
        <v>#REF!</v>
      </c>
      <c r="O142" s="148" t="e">
        <f t="shared" si="98"/>
        <v>#REF!</v>
      </c>
      <c r="P142" s="148" t="e">
        <f t="shared" si="98"/>
        <v>#REF!</v>
      </c>
      <c r="Q142" s="148" t="e">
        <f t="shared" si="98"/>
        <v>#REF!</v>
      </c>
      <c r="R142" s="148" t="e">
        <f t="shared" si="98"/>
        <v>#REF!</v>
      </c>
      <c r="S142" s="148" t="e">
        <f t="shared" si="98"/>
        <v>#REF!</v>
      </c>
      <c r="T142" s="148" t="e">
        <f t="shared" si="98"/>
        <v>#REF!</v>
      </c>
      <c r="U142" s="148" t="e">
        <f t="shared" si="98"/>
        <v>#REF!</v>
      </c>
      <c r="V142" s="148" t="e">
        <f t="shared" si="98"/>
        <v>#REF!</v>
      </c>
      <c r="W142" s="148" t="e">
        <f t="shared" si="98"/>
        <v>#REF!</v>
      </c>
      <c r="X142" s="148" t="e">
        <f t="shared" si="98"/>
        <v>#REF!</v>
      </c>
      <c r="Y142" s="148" t="e">
        <f t="shared" si="98"/>
        <v>#REF!</v>
      </c>
      <c r="Z142" s="100" t="e">
        <f t="shared" si="98"/>
        <v>#REF!</v>
      </c>
      <c r="AA142" s="148" t="e">
        <f t="shared" si="98"/>
        <v>#REF!</v>
      </c>
      <c r="AB142" s="148" t="e">
        <f t="shared" si="98"/>
        <v>#REF!</v>
      </c>
      <c r="AC142" s="148" t="e">
        <f t="shared" si="98"/>
        <v>#REF!</v>
      </c>
      <c r="AD142" s="148" t="e">
        <f t="shared" si="98"/>
        <v>#REF!</v>
      </c>
      <c r="AE142" s="148" t="e">
        <f t="shared" si="98"/>
        <v>#REF!</v>
      </c>
      <c r="AF142" s="148" t="e">
        <f t="shared" si="98"/>
        <v>#REF!</v>
      </c>
      <c r="AG142" s="148" t="e">
        <f t="shared" si="98"/>
        <v>#REF!</v>
      </c>
      <c r="AH142" s="148" t="e">
        <f t="shared" si="98"/>
        <v>#REF!</v>
      </c>
      <c r="AI142" s="148" t="e">
        <f t="shared" si="98"/>
        <v>#REF!</v>
      </c>
      <c r="AJ142" s="148" t="e">
        <f t="shared" si="98"/>
        <v>#REF!</v>
      </c>
      <c r="AK142" s="148" t="e">
        <f t="shared" si="98"/>
        <v>#REF!</v>
      </c>
      <c r="AL142" s="148" t="e">
        <f t="shared" si="98"/>
        <v>#REF!</v>
      </c>
      <c r="AM142" s="148" t="e">
        <f t="shared" si="98"/>
        <v>#REF!</v>
      </c>
      <c r="AN142" s="148" t="e">
        <f t="shared" si="98"/>
        <v>#REF!</v>
      </c>
      <c r="AO142" s="146" t="e">
        <f t="shared" si="98"/>
        <v>#REF!</v>
      </c>
    </row>
    <row r="143" spans="1:41">
      <c r="A143" t="s">
        <v>520</v>
      </c>
      <c r="D143" s="115" t="s">
        <v>406</v>
      </c>
      <c r="E143" s="103"/>
      <c r="F143" s="103"/>
      <c r="G143">
        <v>29518</v>
      </c>
      <c r="H143" s="103"/>
      <c r="J143" s="189" t="e">
        <f>SUM(J145:J146,J148,J152/$G152*$G150)</f>
        <v>#REF!</v>
      </c>
      <c r="K143" s="148" t="e">
        <f t="shared" ref="K143:AO143" si="99">SUM(K145:K146,K148,K152/$G152*$G150)</f>
        <v>#REF!</v>
      </c>
      <c r="L143" s="148" t="e">
        <f t="shared" si="99"/>
        <v>#REF!</v>
      </c>
      <c r="M143" s="148" t="e">
        <f t="shared" si="99"/>
        <v>#REF!</v>
      </c>
      <c r="N143" s="148" t="e">
        <f t="shared" si="99"/>
        <v>#REF!</v>
      </c>
      <c r="O143" s="148" t="e">
        <f t="shared" si="99"/>
        <v>#REF!</v>
      </c>
      <c r="P143" s="148" t="e">
        <f t="shared" si="99"/>
        <v>#REF!</v>
      </c>
      <c r="Q143" s="148" t="e">
        <f t="shared" si="99"/>
        <v>#REF!</v>
      </c>
      <c r="R143" s="148" t="e">
        <f t="shared" si="99"/>
        <v>#REF!</v>
      </c>
      <c r="S143" s="148" t="e">
        <f t="shared" si="99"/>
        <v>#REF!</v>
      </c>
      <c r="T143" s="148" t="e">
        <f t="shared" si="99"/>
        <v>#REF!</v>
      </c>
      <c r="U143" s="148" t="e">
        <f t="shared" si="99"/>
        <v>#REF!</v>
      </c>
      <c r="V143" s="148" t="e">
        <f t="shared" si="99"/>
        <v>#REF!</v>
      </c>
      <c r="W143" s="148" t="e">
        <f t="shared" si="99"/>
        <v>#REF!</v>
      </c>
      <c r="X143" s="148" t="e">
        <f t="shared" si="99"/>
        <v>#REF!</v>
      </c>
      <c r="Y143" s="101" t="e">
        <f t="shared" si="99"/>
        <v>#REF!</v>
      </c>
      <c r="Z143" s="148" t="e">
        <f t="shared" si="99"/>
        <v>#REF!</v>
      </c>
      <c r="AA143" s="148" t="e">
        <f t="shared" si="99"/>
        <v>#REF!</v>
      </c>
      <c r="AB143" s="148" t="e">
        <f t="shared" si="99"/>
        <v>#REF!</v>
      </c>
      <c r="AC143" s="148" t="e">
        <f t="shared" si="99"/>
        <v>#REF!</v>
      </c>
      <c r="AD143" s="148" t="e">
        <f t="shared" si="99"/>
        <v>#REF!</v>
      </c>
      <c r="AE143" s="148" t="e">
        <f t="shared" si="99"/>
        <v>#REF!</v>
      </c>
      <c r="AF143" s="148" t="e">
        <f t="shared" si="99"/>
        <v>#REF!</v>
      </c>
      <c r="AG143" s="148" t="e">
        <f t="shared" si="99"/>
        <v>#REF!</v>
      </c>
      <c r="AH143" s="148" t="e">
        <f t="shared" si="99"/>
        <v>#REF!</v>
      </c>
      <c r="AI143" s="148" t="e">
        <f t="shared" si="99"/>
        <v>#REF!</v>
      </c>
      <c r="AJ143" s="148" t="e">
        <f t="shared" si="99"/>
        <v>#REF!</v>
      </c>
      <c r="AK143" s="148" t="e">
        <f t="shared" si="99"/>
        <v>#REF!</v>
      </c>
      <c r="AL143" s="148" t="e">
        <f t="shared" si="99"/>
        <v>#REF!</v>
      </c>
      <c r="AM143" s="148" t="e">
        <f t="shared" si="99"/>
        <v>#REF!</v>
      </c>
      <c r="AN143" s="148" t="e">
        <f t="shared" si="99"/>
        <v>#REF!</v>
      </c>
      <c r="AO143" s="146" t="e">
        <f t="shared" si="99"/>
        <v>#REF!</v>
      </c>
    </row>
    <row r="144" spans="1:41">
      <c r="A144" t="s">
        <v>520</v>
      </c>
      <c r="D144" s="114" t="s">
        <v>528</v>
      </c>
      <c r="E144" s="103"/>
      <c r="F144" s="103"/>
      <c r="G144">
        <f>G155/G151*G150+G147+G149</f>
        <v>15370.951825128261</v>
      </c>
      <c r="H144" s="103"/>
      <c r="J144" s="189" t="e">
        <f>J155/$G151*$G150+J147+J149</f>
        <v>#REF!</v>
      </c>
      <c r="K144" s="148" t="e">
        <f t="shared" ref="K144:AO144" si="100">K155/$G151*$G150+K147+K149</f>
        <v>#REF!</v>
      </c>
      <c r="L144" s="148" t="e">
        <f t="shared" si="100"/>
        <v>#REF!</v>
      </c>
      <c r="M144" s="148" t="e">
        <f t="shared" si="100"/>
        <v>#REF!</v>
      </c>
      <c r="N144" s="148" t="e">
        <f t="shared" si="100"/>
        <v>#REF!</v>
      </c>
      <c r="O144" s="148" t="e">
        <f t="shared" si="100"/>
        <v>#REF!</v>
      </c>
      <c r="P144" s="148" t="e">
        <f t="shared" si="100"/>
        <v>#REF!</v>
      </c>
      <c r="Q144" s="148" t="e">
        <f t="shared" si="100"/>
        <v>#REF!</v>
      </c>
      <c r="R144" s="148" t="e">
        <f t="shared" si="100"/>
        <v>#REF!</v>
      </c>
      <c r="S144" s="148" t="e">
        <f t="shared" si="100"/>
        <v>#REF!</v>
      </c>
      <c r="T144" s="148" t="e">
        <f t="shared" si="100"/>
        <v>#REF!</v>
      </c>
      <c r="U144" s="148" t="e">
        <f t="shared" si="100"/>
        <v>#REF!</v>
      </c>
      <c r="V144" s="148" t="e">
        <f t="shared" si="100"/>
        <v>#REF!</v>
      </c>
      <c r="W144" s="148" t="e">
        <f t="shared" si="100"/>
        <v>#REF!</v>
      </c>
      <c r="X144" s="148" t="e">
        <f t="shared" si="100"/>
        <v>#REF!</v>
      </c>
      <c r="Y144" s="101" t="e">
        <f t="shared" si="100"/>
        <v>#REF!</v>
      </c>
      <c r="Z144" s="148" t="e">
        <f t="shared" si="100"/>
        <v>#REF!</v>
      </c>
      <c r="AA144" s="148" t="e">
        <f t="shared" si="100"/>
        <v>#REF!</v>
      </c>
      <c r="AB144" s="148" t="e">
        <f t="shared" si="100"/>
        <v>#REF!</v>
      </c>
      <c r="AC144" s="148" t="e">
        <f t="shared" si="100"/>
        <v>#REF!</v>
      </c>
      <c r="AD144" s="148" t="e">
        <f t="shared" si="100"/>
        <v>#REF!</v>
      </c>
      <c r="AE144" s="148" t="e">
        <f t="shared" si="100"/>
        <v>#REF!</v>
      </c>
      <c r="AF144" s="148" t="e">
        <f t="shared" si="100"/>
        <v>#REF!</v>
      </c>
      <c r="AG144" s="148" t="e">
        <f t="shared" si="100"/>
        <v>#REF!</v>
      </c>
      <c r="AH144" s="148" t="e">
        <f t="shared" si="100"/>
        <v>#REF!</v>
      </c>
      <c r="AI144" s="148" t="e">
        <f t="shared" si="100"/>
        <v>#REF!</v>
      </c>
      <c r="AJ144" s="148" t="e">
        <f t="shared" si="100"/>
        <v>#REF!</v>
      </c>
      <c r="AK144" s="148" t="e">
        <f t="shared" si="100"/>
        <v>#REF!</v>
      </c>
      <c r="AL144" s="148" t="e">
        <f t="shared" si="100"/>
        <v>#REF!</v>
      </c>
      <c r="AM144" s="148" t="e">
        <f t="shared" si="100"/>
        <v>#REF!</v>
      </c>
      <c r="AN144" s="148" t="e">
        <f t="shared" si="100"/>
        <v>#REF!</v>
      </c>
      <c r="AO144" s="146" t="e">
        <f t="shared" si="100"/>
        <v>#REF!</v>
      </c>
    </row>
    <row r="145" spans="1:41">
      <c r="A145" t="s">
        <v>520</v>
      </c>
      <c r="D145" s="115" t="s">
        <v>395</v>
      </c>
      <c r="E145" s="103"/>
      <c r="F145" s="103"/>
      <c r="G145">
        <f>Overview!J40</f>
        <v>7598.0081874911839</v>
      </c>
      <c r="H145" s="103"/>
      <c r="J145" s="189" t="e">
        <f>Overview!AD40*Overview!$Z40*Results_energy_scenarios!$G145</f>
        <v>#REF!</v>
      </c>
      <c r="K145" s="148" t="e">
        <f>Overview!AE40*Overview!$Z40*Results_energy_scenarios!$G145</f>
        <v>#REF!</v>
      </c>
      <c r="L145" s="148" t="e">
        <f>Overview!AF40*Overview!$Z40*Results_energy_scenarios!$G145</f>
        <v>#REF!</v>
      </c>
      <c r="M145" s="148" t="e">
        <f>Overview!AG40*Overview!$Z40*Results_energy_scenarios!$G145</f>
        <v>#REF!</v>
      </c>
      <c r="N145" s="148" t="e">
        <f>Overview!AH40*Overview!$Z40*Results_energy_scenarios!$G145</f>
        <v>#REF!</v>
      </c>
      <c r="O145" s="148" t="e">
        <f>Overview!AI40*Overview!$Z40*Results_energy_scenarios!$G145</f>
        <v>#REF!</v>
      </c>
      <c r="P145" s="148" t="e">
        <f>Overview!AJ40*Overview!$Z40*Results_energy_scenarios!$G145</f>
        <v>#REF!</v>
      </c>
      <c r="Q145" s="148" t="e">
        <f>Overview!AK40*Overview!$Z40*Results_energy_scenarios!$G145</f>
        <v>#REF!</v>
      </c>
      <c r="R145" s="148" t="e">
        <f>Overview!AL40*Overview!$Z40*Results_energy_scenarios!$G145</f>
        <v>#REF!</v>
      </c>
      <c r="S145" s="148" t="e">
        <f>Overview!AM40*Overview!$Z40*Results_energy_scenarios!$G145</f>
        <v>#REF!</v>
      </c>
      <c r="T145" s="148" t="e">
        <f>Overview!AN40*Overview!$Z40*Results_energy_scenarios!$G145</f>
        <v>#REF!</v>
      </c>
      <c r="U145" s="148" t="e">
        <f>Overview!AO40*Overview!$Z40*Results_energy_scenarios!$G145</f>
        <v>#REF!</v>
      </c>
      <c r="V145" s="148" t="e">
        <f>Overview!AP40*Overview!$Z40*Results_energy_scenarios!$G145</f>
        <v>#REF!</v>
      </c>
      <c r="W145" s="148" t="e">
        <f>Overview!AQ40*Overview!$Z40*Results_energy_scenarios!$G145</f>
        <v>#REF!</v>
      </c>
      <c r="X145" s="148" t="e">
        <f>Overview!AR40*Overview!$Z40*Results_energy_scenarios!$G145</f>
        <v>#REF!</v>
      </c>
      <c r="Y145" s="101" t="e">
        <f>Overview!AS40*Overview!$Z40*Results_energy_scenarios!$G145</f>
        <v>#REF!</v>
      </c>
      <c r="Z145" s="148" t="e">
        <f>Overview!CP40*Overview!$Z40*Results_energy_scenarios!$G145</f>
        <v>#REF!</v>
      </c>
      <c r="AA145" s="148" t="e">
        <f>Overview!CQ40*Overview!$Z40*Results_energy_scenarios!$G145</f>
        <v>#REF!</v>
      </c>
      <c r="AB145" s="148" t="e">
        <f>Overview!CR40*Overview!$Z40*Results_energy_scenarios!$G145</f>
        <v>#REF!</v>
      </c>
      <c r="AC145" s="148" t="e">
        <f>Overview!CS40*Overview!$Z40*Results_energy_scenarios!$G145</f>
        <v>#REF!</v>
      </c>
      <c r="AD145" s="148" t="e">
        <f>Overview!CT40*Overview!$Z40*Results_energy_scenarios!$G145</f>
        <v>#REF!</v>
      </c>
      <c r="AE145" s="148" t="e">
        <f>Overview!CU40*Overview!$Z40*Results_energy_scenarios!$G145</f>
        <v>#REF!</v>
      </c>
      <c r="AF145" s="148" t="e">
        <f>Overview!CV40*Overview!$Z40*Results_energy_scenarios!$G145</f>
        <v>#REF!</v>
      </c>
      <c r="AG145" s="148" t="e">
        <f>Overview!CW40*Overview!$Z40*Results_energy_scenarios!$G145</f>
        <v>#REF!</v>
      </c>
      <c r="AH145" s="148" t="e">
        <f>Overview!CX40*Overview!$Z40*Results_energy_scenarios!$G145</f>
        <v>#REF!</v>
      </c>
      <c r="AI145" s="148" t="e">
        <f>Overview!CY40*Overview!$Z40*Results_energy_scenarios!$G145</f>
        <v>#REF!</v>
      </c>
      <c r="AJ145" s="148" t="e">
        <f>Overview!CZ40*Overview!$Z40*Results_energy_scenarios!$G145</f>
        <v>#REF!</v>
      </c>
      <c r="AK145" s="148" t="e">
        <f>Overview!DA40*Overview!$Z40*Results_energy_scenarios!$G145</f>
        <v>#REF!</v>
      </c>
      <c r="AL145" s="148" t="e">
        <f>Overview!DB40*Overview!$Z40*Results_energy_scenarios!$G145</f>
        <v>#REF!</v>
      </c>
      <c r="AM145" s="148" t="e">
        <f>Overview!DC40*Overview!$Z40*Results_energy_scenarios!$G145</f>
        <v>#REF!</v>
      </c>
      <c r="AN145" s="148" t="e">
        <f>Overview!DD40*Overview!$Z40*Results_energy_scenarios!$G145</f>
        <v>#REF!</v>
      </c>
      <c r="AO145" s="146" t="e">
        <f>Overview!DE40*Overview!$Z40*Results_energy_scenarios!$G145</f>
        <v>#REF!</v>
      </c>
    </row>
    <row r="146" spans="1:41">
      <c r="A146" t="s">
        <v>520</v>
      </c>
      <c r="D146" s="117" t="s">
        <v>81</v>
      </c>
      <c r="E146" s="103"/>
      <c r="F146">
        <f>Overview!J23</f>
        <v>2425150.6634538602</v>
      </c>
      <c r="G146" s="103"/>
      <c r="H146" s="103"/>
      <c r="J146" s="189" t="e">
        <f>Overview!AD23*Overview!$AB23*Results_energy_scenarios!$F146</f>
        <v>#REF!</v>
      </c>
      <c r="K146" s="148" t="e">
        <f>Overview!AE23*Overview!$AB23*Results_energy_scenarios!$F146</f>
        <v>#REF!</v>
      </c>
      <c r="L146" s="148" t="e">
        <f>Overview!AF23*Overview!$AB23*Results_energy_scenarios!$F146</f>
        <v>#REF!</v>
      </c>
      <c r="M146" s="148" t="e">
        <f>Overview!AG23*Overview!$AB23*Results_energy_scenarios!$F146</f>
        <v>#REF!</v>
      </c>
      <c r="N146" s="148" t="e">
        <f>Overview!AH23*Overview!$AB23*Results_energy_scenarios!$F146</f>
        <v>#REF!</v>
      </c>
      <c r="O146" s="148" t="e">
        <f>Overview!AI23*Overview!$AB23*Results_energy_scenarios!$F146</f>
        <v>#REF!</v>
      </c>
      <c r="P146" s="148" t="e">
        <f>Overview!AJ23*Overview!$AB23*Results_energy_scenarios!$F146</f>
        <v>#REF!</v>
      </c>
      <c r="Q146" s="148" t="e">
        <f>Overview!AK23*Overview!$AB23*Results_energy_scenarios!$F146</f>
        <v>#REF!</v>
      </c>
      <c r="R146" s="148" t="e">
        <f>Overview!AL23*Overview!$AB23*Results_energy_scenarios!$F146</f>
        <v>#REF!</v>
      </c>
      <c r="S146" s="148" t="e">
        <f>Overview!AM23*Overview!$AB23*Results_energy_scenarios!$F146</f>
        <v>#REF!</v>
      </c>
      <c r="T146" s="148" t="e">
        <f>Overview!AN23*Overview!$AB23*Results_energy_scenarios!$F146</f>
        <v>#REF!</v>
      </c>
      <c r="U146" s="148" t="e">
        <f>Overview!AO23*Overview!$AB23*Results_energy_scenarios!$F146</f>
        <v>#REF!</v>
      </c>
      <c r="V146" s="148" t="e">
        <f>Overview!AP23*Overview!$AB23*Results_energy_scenarios!$F146</f>
        <v>#REF!</v>
      </c>
      <c r="W146" s="148" t="e">
        <f>Overview!AQ23*Overview!$AB23*Results_energy_scenarios!$F146</f>
        <v>#REF!</v>
      </c>
      <c r="X146" s="148" t="e">
        <f>Overview!AR23*Overview!$AB23*Results_energy_scenarios!$F146</f>
        <v>#REF!</v>
      </c>
      <c r="Y146" s="101" t="e">
        <f>Overview!AS23*Overview!$AB23*Results_energy_scenarios!$F146</f>
        <v>#REF!</v>
      </c>
      <c r="Z146" s="148" t="e">
        <f>Overview!CP23*Overview!$AB23*Results_energy_scenarios!$F146</f>
        <v>#REF!</v>
      </c>
      <c r="AA146" s="148" t="e">
        <f>Overview!CQ23*Overview!$AB23*Results_energy_scenarios!$F146</f>
        <v>#REF!</v>
      </c>
      <c r="AB146" s="148" t="e">
        <f>Overview!CR23*Overview!$AB23*Results_energy_scenarios!$F146</f>
        <v>#REF!</v>
      </c>
      <c r="AC146" s="148" t="e">
        <f>Overview!CS23*Overview!$AB23*Results_energy_scenarios!$F146</f>
        <v>#REF!</v>
      </c>
      <c r="AD146" s="148" t="e">
        <f>Overview!CT23*Overview!$AB23*Results_energy_scenarios!$F146</f>
        <v>#REF!</v>
      </c>
      <c r="AE146" s="148" t="e">
        <f>Overview!CU23*Overview!$AB23*Results_energy_scenarios!$F146</f>
        <v>#REF!</v>
      </c>
      <c r="AF146" s="148" t="e">
        <f>Overview!CV23*Overview!$AB23*Results_energy_scenarios!$F146</f>
        <v>#REF!</v>
      </c>
      <c r="AG146" s="148" t="e">
        <f>Overview!CW23*Overview!$AB23*Results_energy_scenarios!$F146</f>
        <v>#REF!</v>
      </c>
      <c r="AH146" s="148" t="e">
        <f>Overview!CX23*Overview!$AB23*Results_energy_scenarios!$F146</f>
        <v>#REF!</v>
      </c>
      <c r="AI146" s="148" t="e">
        <f>Overview!CY23*Overview!$AB23*Results_energy_scenarios!$F146</f>
        <v>#REF!</v>
      </c>
      <c r="AJ146" s="148" t="e">
        <f>Overview!CZ23*Overview!$AB23*Results_energy_scenarios!$F146</f>
        <v>#REF!</v>
      </c>
      <c r="AK146" s="148" t="e">
        <f>Overview!DA23*Overview!$AB23*Results_energy_scenarios!$F146</f>
        <v>#REF!</v>
      </c>
      <c r="AL146" s="148" t="e">
        <f>Overview!DB23*Overview!$AB23*Results_energy_scenarios!$F146</f>
        <v>#REF!</v>
      </c>
      <c r="AM146" s="148" t="e">
        <f>Overview!DC23*Overview!$AB23*Results_energy_scenarios!$F146</f>
        <v>#REF!</v>
      </c>
      <c r="AN146" s="148" t="e">
        <f>Overview!DD23*Overview!$AB23*Results_energy_scenarios!$F146</f>
        <v>#REF!</v>
      </c>
      <c r="AO146" s="146" t="e">
        <f>Overview!DE23*Overview!$AB23*Results_energy_scenarios!$F146</f>
        <v>#REF!</v>
      </c>
    </row>
    <row r="147" spans="1:41">
      <c r="A147" t="s">
        <v>520</v>
      </c>
      <c r="D147" s="114" t="s">
        <v>385</v>
      </c>
      <c r="E147" s="103"/>
      <c r="F147" s="103"/>
      <c r="G147">
        <v>1213</v>
      </c>
      <c r="H147" s="103"/>
      <c r="J147" s="189" t="e">
        <f t="shared" ref="J147:AO147" si="101">J185*$G147</f>
        <v>#REF!</v>
      </c>
      <c r="K147" s="148" t="e">
        <f t="shared" si="101"/>
        <v>#REF!</v>
      </c>
      <c r="L147" s="148" t="e">
        <f t="shared" si="101"/>
        <v>#REF!</v>
      </c>
      <c r="M147" s="148" t="e">
        <f t="shared" si="101"/>
        <v>#REF!</v>
      </c>
      <c r="N147" s="148" t="e">
        <f t="shared" si="101"/>
        <v>#REF!</v>
      </c>
      <c r="O147" s="148" t="e">
        <f t="shared" si="101"/>
        <v>#REF!</v>
      </c>
      <c r="P147" s="148" t="e">
        <f t="shared" si="101"/>
        <v>#REF!</v>
      </c>
      <c r="Q147" s="148" t="e">
        <f t="shared" si="101"/>
        <v>#REF!</v>
      </c>
      <c r="R147" s="148" t="e">
        <f t="shared" si="101"/>
        <v>#REF!</v>
      </c>
      <c r="S147" s="148" t="e">
        <f t="shared" si="101"/>
        <v>#REF!</v>
      </c>
      <c r="T147" s="148" t="e">
        <f t="shared" si="101"/>
        <v>#REF!</v>
      </c>
      <c r="U147" s="148" t="e">
        <f t="shared" si="101"/>
        <v>#REF!</v>
      </c>
      <c r="V147" s="148" t="e">
        <f t="shared" si="101"/>
        <v>#REF!</v>
      </c>
      <c r="W147" s="148" t="e">
        <f t="shared" si="101"/>
        <v>#REF!</v>
      </c>
      <c r="X147" s="148" t="e">
        <f t="shared" si="101"/>
        <v>#REF!</v>
      </c>
      <c r="Y147" s="101" t="e">
        <f t="shared" si="101"/>
        <v>#REF!</v>
      </c>
      <c r="Z147" s="148" t="e">
        <f t="shared" si="101"/>
        <v>#REF!</v>
      </c>
      <c r="AA147" s="148" t="e">
        <f t="shared" si="101"/>
        <v>#REF!</v>
      </c>
      <c r="AB147" s="148" t="e">
        <f t="shared" si="101"/>
        <v>#REF!</v>
      </c>
      <c r="AC147" s="148" t="e">
        <f t="shared" si="101"/>
        <v>#REF!</v>
      </c>
      <c r="AD147" s="148" t="e">
        <f t="shared" si="101"/>
        <v>#REF!</v>
      </c>
      <c r="AE147" s="148" t="e">
        <f t="shared" si="101"/>
        <v>#REF!</v>
      </c>
      <c r="AF147" s="148" t="e">
        <f t="shared" si="101"/>
        <v>#REF!</v>
      </c>
      <c r="AG147" s="148" t="e">
        <f t="shared" si="101"/>
        <v>#REF!</v>
      </c>
      <c r="AH147" s="148" t="e">
        <f t="shared" si="101"/>
        <v>#REF!</v>
      </c>
      <c r="AI147" s="148" t="e">
        <f t="shared" si="101"/>
        <v>#REF!</v>
      </c>
      <c r="AJ147" s="148" t="e">
        <f t="shared" si="101"/>
        <v>#REF!</v>
      </c>
      <c r="AK147" s="148" t="e">
        <f t="shared" si="101"/>
        <v>#REF!</v>
      </c>
      <c r="AL147" s="148" t="e">
        <f t="shared" si="101"/>
        <v>#REF!</v>
      </c>
      <c r="AM147" s="148" t="e">
        <f t="shared" si="101"/>
        <v>#REF!</v>
      </c>
      <c r="AN147" s="148" t="e">
        <f t="shared" si="101"/>
        <v>#REF!</v>
      </c>
      <c r="AO147" s="146" t="e">
        <f t="shared" si="101"/>
        <v>#REF!</v>
      </c>
    </row>
    <row r="148" spans="1:41">
      <c r="A148" t="s">
        <v>520</v>
      </c>
      <c r="D148" s="112" t="s">
        <v>358</v>
      </c>
      <c r="E148" s="103"/>
      <c r="F148" s="103"/>
      <c r="G148">
        <v>3637</v>
      </c>
      <c r="H148">
        <f>Overview!F35/(Results_energy_scenarios!G148+Results_energy_scenarios!G162+Results_energy_scenarios!G172)*Results_energy_scenarios!G148</f>
        <v>0.51026700462484276</v>
      </c>
      <c r="J148" s="189" t="e">
        <f>Overview!AD35*Overview!$Z35/20*Results_energy_scenarios!$H148</f>
        <v>#REF!</v>
      </c>
      <c r="K148" s="148" t="e">
        <f>Overview!AE35*Overview!$Z35/20*Results_energy_scenarios!$H148</f>
        <v>#REF!</v>
      </c>
      <c r="L148" s="148" t="e">
        <f>Overview!AF35*Overview!$Z35/20*Results_energy_scenarios!$H148</f>
        <v>#REF!</v>
      </c>
      <c r="M148" s="148" t="e">
        <f>Overview!AG35*Overview!$Z35/20*Results_energy_scenarios!$H148</f>
        <v>#REF!</v>
      </c>
      <c r="N148" s="148" t="e">
        <f>Overview!AH35*Overview!$Z35/20*Results_energy_scenarios!$H148</f>
        <v>#REF!</v>
      </c>
      <c r="O148" s="148" t="e">
        <f>Overview!AI35*Overview!$Z35/20*Results_energy_scenarios!$H148</f>
        <v>#REF!</v>
      </c>
      <c r="P148" s="148" t="e">
        <f>Overview!AJ35*Overview!$Z35/20*Results_energy_scenarios!$H148</f>
        <v>#REF!</v>
      </c>
      <c r="Q148" s="148" t="e">
        <f>Overview!AK35*Overview!$Z35/20*Results_energy_scenarios!$H148</f>
        <v>#REF!</v>
      </c>
      <c r="R148" s="148" t="e">
        <f>Overview!AL35*Overview!$Z35/20*Results_energy_scenarios!$H148</f>
        <v>#REF!</v>
      </c>
      <c r="S148" s="148" t="e">
        <f>Overview!AM35*Overview!$Z35/20*Results_energy_scenarios!$H148</f>
        <v>#REF!</v>
      </c>
      <c r="T148" s="148" t="e">
        <f>Overview!AN35*Overview!$Z35/20*Results_energy_scenarios!$H148</f>
        <v>#REF!</v>
      </c>
      <c r="U148" s="148" t="e">
        <f>Overview!AO35*Overview!$Z35/20*Results_energy_scenarios!$H148</f>
        <v>#REF!</v>
      </c>
      <c r="V148" s="148" t="e">
        <f>Overview!AP35*Overview!$Z35/20*Results_energy_scenarios!$H148</f>
        <v>#REF!</v>
      </c>
      <c r="W148" s="148" t="e">
        <f>Overview!AQ35*Overview!$Z35/20*Results_energy_scenarios!$H148</f>
        <v>#REF!</v>
      </c>
      <c r="X148" s="148" t="e">
        <f>Overview!AR35*Overview!$Z35/20*Results_energy_scenarios!$H148</f>
        <v>#REF!</v>
      </c>
      <c r="Y148" s="101" t="e">
        <f>Overview!AS35*Overview!$Z35/20*Results_energy_scenarios!$H148</f>
        <v>#REF!</v>
      </c>
      <c r="Z148" s="148" t="e">
        <f>Overview!CP35*Overview!$Z35/20*Results_energy_scenarios!$H148</f>
        <v>#REF!</v>
      </c>
      <c r="AA148" s="148" t="e">
        <f>Overview!CQ35*Overview!$Z35/20*Results_energy_scenarios!$H148</f>
        <v>#REF!</v>
      </c>
      <c r="AB148" s="148" t="e">
        <f>Overview!CR35*Overview!$Z35/20*Results_energy_scenarios!$H148</f>
        <v>#REF!</v>
      </c>
      <c r="AC148" s="148" t="e">
        <f>Overview!CS35*Overview!$Z35/20*Results_energy_scenarios!$H148</f>
        <v>#REF!</v>
      </c>
      <c r="AD148" s="148" t="e">
        <f>Overview!CT35*Overview!$Z35/20*Results_energy_scenarios!$H148</f>
        <v>#REF!</v>
      </c>
      <c r="AE148" s="148" t="e">
        <f>Overview!CU35*Overview!$Z35/20*Results_energy_scenarios!$H148</f>
        <v>#REF!</v>
      </c>
      <c r="AF148" s="148" t="e">
        <f>Overview!CV35*Overview!$Z35/20*Results_energy_scenarios!$H148</f>
        <v>#REF!</v>
      </c>
      <c r="AG148" s="148" t="e">
        <f>Overview!CW35*Overview!$Z35/20*Results_energy_scenarios!$H148</f>
        <v>#REF!</v>
      </c>
      <c r="AH148" s="148" t="e">
        <f>Overview!CX35*Overview!$Z35/20*Results_energy_scenarios!$H148</f>
        <v>#REF!</v>
      </c>
      <c r="AI148" s="148" t="e">
        <f>Overview!CY35*Overview!$Z35/20*Results_energy_scenarios!$H148</f>
        <v>#REF!</v>
      </c>
      <c r="AJ148" s="148" t="e">
        <f>Overview!CZ35*Overview!$Z35/20*Results_energy_scenarios!$H148</f>
        <v>#REF!</v>
      </c>
      <c r="AK148" s="148" t="e">
        <f>Overview!DA35*Overview!$Z35/20*Results_energy_scenarios!$H148</f>
        <v>#REF!</v>
      </c>
      <c r="AL148" s="148" t="e">
        <f>Overview!DB35*Overview!$Z35/20*Results_energy_scenarios!$H148</f>
        <v>#REF!</v>
      </c>
      <c r="AM148" s="148" t="e">
        <f>Overview!DC35*Overview!$Z35/20*Results_energy_scenarios!$H148</f>
        <v>#REF!</v>
      </c>
      <c r="AN148" s="148" t="e">
        <f>Overview!DD35*Overview!$Z35/20*Results_energy_scenarios!$H148</f>
        <v>#REF!</v>
      </c>
      <c r="AO148" s="146" t="e">
        <f>Overview!DE35*Overview!$Z35/20*Results_energy_scenarios!$H148</f>
        <v>#REF!</v>
      </c>
    </row>
    <row r="149" spans="1:41">
      <c r="A149" t="s">
        <v>520</v>
      </c>
      <c r="D149" s="114" t="s">
        <v>378</v>
      </c>
      <c r="E149" s="103"/>
      <c r="F149" s="103"/>
      <c r="G149">
        <f>2243/(G172+G162+G148)*G148</f>
        <v>853.5039757271395</v>
      </c>
      <c r="H149" s="103"/>
      <c r="J149" s="189" t="e">
        <f t="shared" ref="J149:AO149" si="102">J185*$G149</f>
        <v>#REF!</v>
      </c>
      <c r="K149" s="148" t="e">
        <f t="shared" si="102"/>
        <v>#REF!</v>
      </c>
      <c r="L149" s="148" t="e">
        <f t="shared" si="102"/>
        <v>#REF!</v>
      </c>
      <c r="M149" s="148" t="e">
        <f t="shared" si="102"/>
        <v>#REF!</v>
      </c>
      <c r="N149" s="148" t="e">
        <f t="shared" si="102"/>
        <v>#REF!</v>
      </c>
      <c r="O149" s="148" t="e">
        <f t="shared" si="102"/>
        <v>#REF!</v>
      </c>
      <c r="P149" s="148" t="e">
        <f t="shared" si="102"/>
        <v>#REF!</v>
      </c>
      <c r="Q149" s="148" t="e">
        <f t="shared" si="102"/>
        <v>#REF!</v>
      </c>
      <c r="R149" s="148" t="e">
        <f t="shared" si="102"/>
        <v>#REF!</v>
      </c>
      <c r="S149" s="148" t="e">
        <f t="shared" si="102"/>
        <v>#REF!</v>
      </c>
      <c r="T149" s="148" t="e">
        <f t="shared" si="102"/>
        <v>#REF!</v>
      </c>
      <c r="U149" s="148" t="e">
        <f t="shared" si="102"/>
        <v>#REF!</v>
      </c>
      <c r="V149" s="148" t="e">
        <f t="shared" si="102"/>
        <v>#REF!</v>
      </c>
      <c r="W149" s="148" t="e">
        <f t="shared" si="102"/>
        <v>#REF!</v>
      </c>
      <c r="X149" s="148" t="e">
        <f t="shared" si="102"/>
        <v>#REF!</v>
      </c>
      <c r="Y149" s="101" t="e">
        <f t="shared" si="102"/>
        <v>#REF!</v>
      </c>
      <c r="Z149" s="148" t="e">
        <f t="shared" si="102"/>
        <v>#REF!</v>
      </c>
      <c r="AA149" s="148" t="e">
        <f t="shared" si="102"/>
        <v>#REF!</v>
      </c>
      <c r="AB149" s="148" t="e">
        <f t="shared" si="102"/>
        <v>#REF!</v>
      </c>
      <c r="AC149" s="148" t="e">
        <f t="shared" si="102"/>
        <v>#REF!</v>
      </c>
      <c r="AD149" s="148" t="e">
        <f t="shared" si="102"/>
        <v>#REF!</v>
      </c>
      <c r="AE149" s="148" t="e">
        <f t="shared" si="102"/>
        <v>#REF!</v>
      </c>
      <c r="AF149" s="148" t="e">
        <f t="shared" si="102"/>
        <v>#REF!</v>
      </c>
      <c r="AG149" s="148" t="e">
        <f t="shared" si="102"/>
        <v>#REF!</v>
      </c>
      <c r="AH149" s="148" t="e">
        <f t="shared" si="102"/>
        <v>#REF!</v>
      </c>
      <c r="AI149" s="148" t="e">
        <f t="shared" si="102"/>
        <v>#REF!</v>
      </c>
      <c r="AJ149" s="148" t="e">
        <f t="shared" si="102"/>
        <v>#REF!</v>
      </c>
      <c r="AK149" s="148" t="e">
        <f t="shared" si="102"/>
        <v>#REF!</v>
      </c>
      <c r="AL149" s="148" t="e">
        <f t="shared" si="102"/>
        <v>#REF!</v>
      </c>
      <c r="AM149" s="148" t="e">
        <f t="shared" si="102"/>
        <v>#REF!</v>
      </c>
      <c r="AN149" s="148" t="e">
        <f t="shared" si="102"/>
        <v>#REF!</v>
      </c>
      <c r="AO149" s="146" t="e">
        <f t="shared" si="102"/>
        <v>#REF!</v>
      </c>
    </row>
    <row r="150" spans="1:41">
      <c r="A150" t="s">
        <v>520</v>
      </c>
      <c r="D150" s="117" t="s">
        <v>523</v>
      </c>
      <c r="E150" s="103"/>
      <c r="F150" s="103"/>
      <c r="G150">
        <v>18116</v>
      </c>
      <c r="H150" s="103"/>
      <c r="J150" s="189" t="e">
        <f>J151/$G151*$G150</f>
        <v>#REF!</v>
      </c>
      <c r="K150" t="e">
        <f t="shared" ref="K150:AO150" si="103">K151/$G151*$G150</f>
        <v>#REF!</v>
      </c>
      <c r="L150" t="e">
        <f t="shared" si="103"/>
        <v>#REF!</v>
      </c>
      <c r="M150" t="e">
        <f t="shared" si="103"/>
        <v>#REF!</v>
      </c>
      <c r="N150" t="e">
        <f t="shared" si="103"/>
        <v>#REF!</v>
      </c>
      <c r="O150" t="e">
        <f t="shared" si="103"/>
        <v>#REF!</v>
      </c>
      <c r="P150" t="e">
        <f t="shared" si="103"/>
        <v>#REF!</v>
      </c>
      <c r="Q150" t="e">
        <f t="shared" si="103"/>
        <v>#REF!</v>
      </c>
      <c r="R150" t="e">
        <f t="shared" si="103"/>
        <v>#REF!</v>
      </c>
      <c r="S150" t="e">
        <f t="shared" si="103"/>
        <v>#REF!</v>
      </c>
      <c r="T150" t="e">
        <f t="shared" si="103"/>
        <v>#REF!</v>
      </c>
      <c r="U150" t="e">
        <f t="shared" si="103"/>
        <v>#REF!</v>
      </c>
      <c r="V150" t="e">
        <f t="shared" si="103"/>
        <v>#REF!</v>
      </c>
      <c r="W150" t="e">
        <f t="shared" si="103"/>
        <v>#REF!</v>
      </c>
      <c r="X150" t="e">
        <f t="shared" si="103"/>
        <v>#REF!</v>
      </c>
      <c r="Y150" s="101" t="e">
        <f t="shared" si="103"/>
        <v>#REF!</v>
      </c>
      <c r="Z150" s="99" t="e">
        <f t="shared" si="103"/>
        <v>#REF!</v>
      </c>
      <c r="AA150" t="e">
        <f t="shared" si="103"/>
        <v>#REF!</v>
      </c>
      <c r="AB150" t="e">
        <f t="shared" si="103"/>
        <v>#REF!</v>
      </c>
      <c r="AC150" t="e">
        <f t="shared" si="103"/>
        <v>#REF!</v>
      </c>
      <c r="AD150" t="e">
        <f t="shared" si="103"/>
        <v>#REF!</v>
      </c>
      <c r="AE150" t="e">
        <f t="shared" si="103"/>
        <v>#REF!</v>
      </c>
      <c r="AF150" t="e">
        <f t="shared" si="103"/>
        <v>#REF!</v>
      </c>
      <c r="AG150" t="e">
        <f t="shared" si="103"/>
        <v>#REF!</v>
      </c>
      <c r="AH150" t="e">
        <f t="shared" si="103"/>
        <v>#REF!</v>
      </c>
      <c r="AI150" t="e">
        <f t="shared" si="103"/>
        <v>#REF!</v>
      </c>
      <c r="AJ150" t="e">
        <f t="shared" si="103"/>
        <v>#REF!</v>
      </c>
      <c r="AK150" t="e">
        <f t="shared" si="103"/>
        <v>#REF!</v>
      </c>
      <c r="AL150" t="e">
        <f t="shared" si="103"/>
        <v>#REF!</v>
      </c>
      <c r="AM150" t="e">
        <f t="shared" si="103"/>
        <v>#REF!</v>
      </c>
      <c r="AN150" t="e">
        <f t="shared" si="103"/>
        <v>#REF!</v>
      </c>
      <c r="AO150" s="146" t="e">
        <f t="shared" si="103"/>
        <v>#REF!</v>
      </c>
    </row>
    <row r="151" spans="1:41">
      <c r="A151" s="203" t="s">
        <v>520</v>
      </c>
      <c r="B151" s="203"/>
      <c r="C151" s="203"/>
      <c r="D151" s="211" t="s">
        <v>523</v>
      </c>
      <c r="E151" s="209"/>
      <c r="F151" s="209"/>
      <c r="G151" s="203">
        <f>SUM(G153:G154)</f>
        <v>23481.652417019519</v>
      </c>
      <c r="H151" s="209"/>
      <c r="I151" s="203"/>
      <c r="J151" s="206" t="e">
        <f>SUM(J153:J155)</f>
        <v>#REF!</v>
      </c>
      <c r="K151" s="204" t="e">
        <f t="shared" ref="K151:AO151" si="104">SUM(K153:K155)</f>
        <v>#REF!</v>
      </c>
      <c r="L151" s="204" t="e">
        <f t="shared" si="104"/>
        <v>#REF!</v>
      </c>
      <c r="M151" s="204" t="e">
        <f t="shared" si="104"/>
        <v>#REF!</v>
      </c>
      <c r="N151" s="204" t="e">
        <f t="shared" si="104"/>
        <v>#REF!</v>
      </c>
      <c r="O151" s="204" t="e">
        <f t="shared" si="104"/>
        <v>#REF!</v>
      </c>
      <c r="P151" s="204" t="e">
        <f t="shared" si="104"/>
        <v>#REF!</v>
      </c>
      <c r="Q151" s="204" t="e">
        <f t="shared" si="104"/>
        <v>#REF!</v>
      </c>
      <c r="R151" s="204" t="e">
        <f t="shared" si="104"/>
        <v>#REF!</v>
      </c>
      <c r="S151" s="204" t="e">
        <f t="shared" si="104"/>
        <v>#REF!</v>
      </c>
      <c r="T151" s="204" t="e">
        <f t="shared" si="104"/>
        <v>#REF!</v>
      </c>
      <c r="U151" s="204" t="e">
        <f t="shared" si="104"/>
        <v>#REF!</v>
      </c>
      <c r="V151" s="204" t="e">
        <f t="shared" si="104"/>
        <v>#REF!</v>
      </c>
      <c r="W151" s="204" t="e">
        <f t="shared" si="104"/>
        <v>#REF!</v>
      </c>
      <c r="X151" s="204" t="e">
        <f t="shared" si="104"/>
        <v>#REF!</v>
      </c>
      <c r="Y151" s="143" t="e">
        <f t="shared" si="104"/>
        <v>#REF!</v>
      </c>
      <c r="Z151" s="204" t="e">
        <f t="shared" si="104"/>
        <v>#REF!</v>
      </c>
      <c r="AA151" s="204" t="e">
        <f t="shared" si="104"/>
        <v>#REF!</v>
      </c>
      <c r="AB151" s="204" t="e">
        <f t="shared" si="104"/>
        <v>#REF!</v>
      </c>
      <c r="AC151" s="204" t="e">
        <f t="shared" si="104"/>
        <v>#REF!</v>
      </c>
      <c r="AD151" s="204" t="e">
        <f t="shared" si="104"/>
        <v>#REF!</v>
      </c>
      <c r="AE151" s="204" t="e">
        <f t="shared" si="104"/>
        <v>#REF!</v>
      </c>
      <c r="AF151" s="204" t="e">
        <f t="shared" si="104"/>
        <v>#REF!</v>
      </c>
      <c r="AG151" s="204" t="e">
        <f t="shared" si="104"/>
        <v>#REF!</v>
      </c>
      <c r="AH151" s="204" t="e">
        <f t="shared" si="104"/>
        <v>#REF!</v>
      </c>
      <c r="AI151" s="204" t="e">
        <f t="shared" si="104"/>
        <v>#REF!</v>
      </c>
      <c r="AJ151" s="204" t="e">
        <f t="shared" si="104"/>
        <v>#REF!</v>
      </c>
      <c r="AK151" s="204" t="e">
        <f t="shared" si="104"/>
        <v>#REF!</v>
      </c>
      <c r="AL151" s="204" t="e">
        <f t="shared" si="104"/>
        <v>#REF!</v>
      </c>
      <c r="AM151" s="204" t="e">
        <f t="shared" si="104"/>
        <v>#REF!</v>
      </c>
      <c r="AN151" s="204" t="e">
        <f t="shared" si="104"/>
        <v>#REF!</v>
      </c>
      <c r="AO151" s="207" t="e">
        <f t="shared" si="104"/>
        <v>#REF!</v>
      </c>
    </row>
    <row r="152" spans="1:41">
      <c r="A152" t="s">
        <v>520</v>
      </c>
      <c r="C152" s="157"/>
      <c r="D152" s="117" t="s">
        <v>527</v>
      </c>
      <c r="E152" s="103"/>
      <c r="F152" s="103"/>
      <c r="G152">
        <f>SUM(G153:G154)</f>
        <v>23481.652417019519</v>
      </c>
      <c r="H152" s="103"/>
      <c r="J152" s="189" t="e">
        <f>SUM(J153:J154)</f>
        <v>#REF!</v>
      </c>
      <c r="K152" s="148" t="e">
        <f t="shared" ref="K152:AO152" si="105">SUM(K153:K154)</f>
        <v>#REF!</v>
      </c>
      <c r="L152" s="148" t="e">
        <f t="shared" si="105"/>
        <v>#REF!</v>
      </c>
      <c r="M152" s="148" t="e">
        <f t="shared" si="105"/>
        <v>#REF!</v>
      </c>
      <c r="N152" s="148" t="e">
        <f t="shared" si="105"/>
        <v>#REF!</v>
      </c>
      <c r="O152" s="148" t="e">
        <f t="shared" si="105"/>
        <v>#REF!</v>
      </c>
      <c r="P152" s="148" t="e">
        <f t="shared" si="105"/>
        <v>#REF!</v>
      </c>
      <c r="Q152" s="148" t="e">
        <f t="shared" si="105"/>
        <v>#REF!</v>
      </c>
      <c r="R152" s="148" t="e">
        <f t="shared" si="105"/>
        <v>#REF!</v>
      </c>
      <c r="S152" s="148" t="e">
        <f t="shared" si="105"/>
        <v>#REF!</v>
      </c>
      <c r="T152" s="148" t="e">
        <f t="shared" si="105"/>
        <v>#REF!</v>
      </c>
      <c r="U152" s="148" t="e">
        <f t="shared" si="105"/>
        <v>#REF!</v>
      </c>
      <c r="V152" s="148" t="e">
        <f t="shared" si="105"/>
        <v>#REF!</v>
      </c>
      <c r="W152" s="148" t="e">
        <f t="shared" si="105"/>
        <v>#REF!</v>
      </c>
      <c r="X152" s="148" t="e">
        <f t="shared" si="105"/>
        <v>#REF!</v>
      </c>
      <c r="Y152" s="101" t="e">
        <f t="shared" si="105"/>
        <v>#REF!</v>
      </c>
      <c r="Z152" s="148" t="e">
        <f t="shared" si="105"/>
        <v>#REF!</v>
      </c>
      <c r="AA152" s="148" t="e">
        <f t="shared" si="105"/>
        <v>#REF!</v>
      </c>
      <c r="AB152" s="148" t="e">
        <f t="shared" si="105"/>
        <v>#REF!</v>
      </c>
      <c r="AC152" s="148" t="e">
        <f t="shared" si="105"/>
        <v>#REF!</v>
      </c>
      <c r="AD152" s="148" t="e">
        <f t="shared" si="105"/>
        <v>#REF!</v>
      </c>
      <c r="AE152" s="148" t="e">
        <f t="shared" si="105"/>
        <v>#REF!</v>
      </c>
      <c r="AF152" s="148" t="e">
        <f t="shared" si="105"/>
        <v>#REF!</v>
      </c>
      <c r="AG152" s="148" t="e">
        <f t="shared" si="105"/>
        <v>#REF!</v>
      </c>
      <c r="AH152" s="148" t="e">
        <f t="shared" si="105"/>
        <v>#REF!</v>
      </c>
      <c r="AI152" s="148" t="e">
        <f t="shared" si="105"/>
        <v>#REF!</v>
      </c>
      <c r="AJ152" s="148" t="e">
        <f t="shared" si="105"/>
        <v>#REF!</v>
      </c>
      <c r="AK152" s="148" t="e">
        <f t="shared" si="105"/>
        <v>#REF!</v>
      </c>
      <c r="AL152" s="148" t="e">
        <f t="shared" si="105"/>
        <v>#REF!</v>
      </c>
      <c r="AM152" s="148" t="e">
        <f t="shared" si="105"/>
        <v>#REF!</v>
      </c>
      <c r="AN152" s="148" t="e">
        <f t="shared" si="105"/>
        <v>#REF!</v>
      </c>
      <c r="AO152" s="146" t="e">
        <f t="shared" si="105"/>
        <v>#REF!</v>
      </c>
    </row>
    <row r="153" spans="1:41">
      <c r="A153" t="s">
        <v>520</v>
      </c>
      <c r="C153" s="157"/>
      <c r="D153" s="117" t="s">
        <v>520</v>
      </c>
      <c r="E153" s="103"/>
      <c r="F153" s="103"/>
      <c r="G153">
        <f>Overview!J39</f>
        <v>11111.1186418303</v>
      </c>
      <c r="H153" s="103"/>
      <c r="J153" s="189" t="e">
        <f>Overview!AD39*Overview!$Z39*Results_energy_scenarios!$G153</f>
        <v>#REF!</v>
      </c>
      <c r="K153" s="148" t="e">
        <f>Overview!AE39*Overview!$Z39*Results_energy_scenarios!$G153</f>
        <v>#REF!</v>
      </c>
      <c r="L153" s="148" t="e">
        <f>Overview!AF39*Overview!$Z39*Results_energy_scenarios!$G153</f>
        <v>#REF!</v>
      </c>
      <c r="M153" s="148" t="e">
        <f>Overview!AG39*Overview!$Z39*Results_energy_scenarios!$G153</f>
        <v>#REF!</v>
      </c>
      <c r="N153" s="148" t="e">
        <f>Overview!AH39*Overview!$Z39*Results_energy_scenarios!$G153</f>
        <v>#REF!</v>
      </c>
      <c r="O153" s="148" t="e">
        <f>Overview!AI39*Overview!$Z39*Results_energy_scenarios!$G153</f>
        <v>#REF!</v>
      </c>
      <c r="P153" s="148" t="e">
        <f>Overview!AJ39*Overview!$Z39*Results_energy_scenarios!$G153</f>
        <v>#REF!</v>
      </c>
      <c r="Q153" s="148" t="e">
        <f>Overview!AK39*Overview!$Z39*Results_energy_scenarios!$G153</f>
        <v>#REF!</v>
      </c>
      <c r="R153" s="148" t="e">
        <f>Overview!AL39*Overview!$Z39*Results_energy_scenarios!$G153</f>
        <v>#REF!</v>
      </c>
      <c r="S153" s="148" t="e">
        <f>Overview!AM39*Overview!$Z39*Results_energy_scenarios!$G153</f>
        <v>#REF!</v>
      </c>
      <c r="T153" s="148" t="e">
        <f>Overview!AN39*Overview!$Z39*Results_energy_scenarios!$G153</f>
        <v>#REF!</v>
      </c>
      <c r="U153" s="148" t="e">
        <f>Overview!AO39*Overview!$Z39*Results_energy_scenarios!$G153</f>
        <v>#REF!</v>
      </c>
      <c r="V153" s="148" t="e">
        <f>Overview!AP39*Overview!$Z39*Results_energy_scenarios!$G153</f>
        <v>#REF!</v>
      </c>
      <c r="W153" s="148" t="e">
        <f>Overview!AQ39*Overview!$Z39*Results_energy_scenarios!$G153</f>
        <v>#REF!</v>
      </c>
      <c r="X153" s="148" t="e">
        <f>Overview!AR39*Overview!$Z39*Results_energy_scenarios!$G153</f>
        <v>#REF!</v>
      </c>
      <c r="Y153" s="101" t="e">
        <f>Overview!AS39*Overview!$Z39*Results_energy_scenarios!$G153</f>
        <v>#REF!</v>
      </c>
      <c r="Z153" s="148" t="e">
        <f>Overview!CP39*Overview!$Z39*Results_energy_scenarios!$G153</f>
        <v>#REF!</v>
      </c>
      <c r="AA153" s="148" t="e">
        <f>Overview!CQ39*Overview!$Z39*Results_energy_scenarios!$G153</f>
        <v>#REF!</v>
      </c>
      <c r="AB153" s="148" t="e">
        <f>Overview!CR39*Overview!$Z39*Results_energy_scenarios!$G153</f>
        <v>#REF!</v>
      </c>
      <c r="AC153" s="148" t="e">
        <f>Overview!CS39*Overview!$Z39*Results_energy_scenarios!$G153</f>
        <v>#REF!</v>
      </c>
      <c r="AD153" s="148" t="e">
        <f>Overview!CT39*Overview!$Z39*Results_energy_scenarios!$G153</f>
        <v>#REF!</v>
      </c>
      <c r="AE153" s="148" t="e">
        <f>Overview!CU39*Overview!$Z39*Results_energy_scenarios!$G153</f>
        <v>#REF!</v>
      </c>
      <c r="AF153" s="148" t="e">
        <f>Overview!CV39*Overview!$Z39*Results_energy_scenarios!$G153</f>
        <v>#REF!</v>
      </c>
      <c r="AG153" s="148" t="e">
        <f>Overview!CW39*Overview!$Z39*Results_energy_scenarios!$G153</f>
        <v>#REF!</v>
      </c>
      <c r="AH153" s="148" t="e">
        <f>Overview!CX39*Overview!$Z39*Results_energy_scenarios!$G153</f>
        <v>#REF!</v>
      </c>
      <c r="AI153" s="148" t="e">
        <f>Overview!CY39*Overview!$Z39*Results_energy_scenarios!$G153</f>
        <v>#REF!</v>
      </c>
      <c r="AJ153" s="148" t="e">
        <f>Overview!CZ39*Overview!$Z39*Results_energy_scenarios!$G153</f>
        <v>#REF!</v>
      </c>
      <c r="AK153" s="148" t="e">
        <f>Overview!DA39*Overview!$Z39*Results_energy_scenarios!$G153</f>
        <v>#REF!</v>
      </c>
      <c r="AL153" s="148" t="e">
        <f>Overview!DB39*Overview!$Z39*Results_energy_scenarios!$G153</f>
        <v>#REF!</v>
      </c>
      <c r="AM153" s="148" t="e">
        <f>Overview!DC39*Overview!$Z39*Results_energy_scenarios!$G153</f>
        <v>#REF!</v>
      </c>
      <c r="AN153" s="148" t="e">
        <f>Overview!DD39*Overview!$Z39*Results_energy_scenarios!$G153</f>
        <v>#REF!</v>
      </c>
      <c r="AO153" s="146" t="e">
        <f>Overview!DE39*Overview!$Z39*Results_energy_scenarios!$G153</f>
        <v>#REF!</v>
      </c>
    </row>
    <row r="154" spans="1:41">
      <c r="A154" t="s">
        <v>520</v>
      </c>
      <c r="D154" s="117" t="s">
        <v>338</v>
      </c>
      <c r="E154" s="103"/>
      <c r="F154" s="103"/>
      <c r="G154">
        <f>Overview!J26</f>
        <v>12370.53377518922</v>
      </c>
      <c r="H154">
        <f>Overview!F26</f>
        <v>2.8286482830531909</v>
      </c>
      <c r="J154" s="189" t="e">
        <f>Overview!AD26*Overview!$Z26/7*Results_energy_scenarios!$H154</f>
        <v>#REF!</v>
      </c>
      <c r="K154" s="148" t="e">
        <f>Overview!AE26*Overview!$Z26/7*Results_energy_scenarios!$H154</f>
        <v>#REF!</v>
      </c>
      <c r="L154" s="148" t="e">
        <f>Overview!AF26*Overview!$Z26/7*Results_energy_scenarios!$H154</f>
        <v>#REF!</v>
      </c>
      <c r="M154" s="148" t="e">
        <f>Overview!AG26*Overview!$Z26/7*Results_energy_scenarios!$H154</f>
        <v>#REF!</v>
      </c>
      <c r="N154" s="148" t="e">
        <f>Overview!AH26*Overview!$Z26/7*Results_energy_scenarios!$H154</f>
        <v>#REF!</v>
      </c>
      <c r="O154" s="148" t="e">
        <f>Overview!AI26*Overview!$Z26/7*Results_energy_scenarios!$H154</f>
        <v>#REF!</v>
      </c>
      <c r="P154" s="148" t="e">
        <f>Overview!AJ26*Overview!$Z26/7*Results_energy_scenarios!$H154</f>
        <v>#REF!</v>
      </c>
      <c r="Q154" s="148" t="e">
        <f>Overview!AK26*Overview!$Z26/7*Results_energy_scenarios!$H154</f>
        <v>#REF!</v>
      </c>
      <c r="R154" s="148" t="e">
        <f>Overview!AL26*Overview!$Z26/7*Results_energy_scenarios!$H154</f>
        <v>#REF!</v>
      </c>
      <c r="S154" s="148" t="e">
        <f>Overview!AM26*Overview!$Z26/7*Results_energy_scenarios!$H154</f>
        <v>#REF!</v>
      </c>
      <c r="T154" s="148" t="e">
        <f>Overview!AN26*Overview!$Z26/7*Results_energy_scenarios!$H154</f>
        <v>#REF!</v>
      </c>
      <c r="U154" s="148" t="e">
        <f>Overview!AO26*Overview!$Z26/7*Results_energy_scenarios!$H154</f>
        <v>#REF!</v>
      </c>
      <c r="V154" s="148" t="e">
        <f>Overview!AP26*Overview!$Z26/7*Results_energy_scenarios!$H154</f>
        <v>#REF!</v>
      </c>
      <c r="W154" s="148" t="e">
        <f>Overview!AQ26*Overview!$Z26/7*Results_energy_scenarios!$H154</f>
        <v>#REF!</v>
      </c>
      <c r="X154" s="148" t="e">
        <f>Overview!AR26*Overview!$Z26/7*Results_energy_scenarios!$H154</f>
        <v>#REF!</v>
      </c>
      <c r="Y154" s="101" t="e">
        <f>Overview!AS26*Overview!$Z26/7*Results_energy_scenarios!$H154</f>
        <v>#REF!</v>
      </c>
      <c r="Z154" s="148" t="e">
        <f>Overview!CP26*Overview!$Z26/7*Results_energy_scenarios!$H154</f>
        <v>#REF!</v>
      </c>
      <c r="AA154" s="148" t="e">
        <f>Overview!CQ26*Overview!$Z26/7*Results_energy_scenarios!$H154</f>
        <v>#REF!</v>
      </c>
      <c r="AB154" s="148" t="e">
        <f>Overview!CR26*Overview!$Z26/7*Results_energy_scenarios!$H154</f>
        <v>#REF!</v>
      </c>
      <c r="AC154" s="148" t="e">
        <f>Overview!CS26*Overview!$Z26/7*Results_energy_scenarios!$H154</f>
        <v>#REF!</v>
      </c>
      <c r="AD154" s="148" t="e">
        <f>Overview!CT26*Overview!$Z26/7*Results_energy_scenarios!$H154</f>
        <v>#REF!</v>
      </c>
      <c r="AE154" s="148" t="e">
        <f>Overview!CU26*Overview!$Z26/7*Results_energy_scenarios!$H154</f>
        <v>#REF!</v>
      </c>
      <c r="AF154" s="148" t="e">
        <f>Overview!CV26*Overview!$Z26/7*Results_energy_scenarios!$H154</f>
        <v>#REF!</v>
      </c>
      <c r="AG154" s="148" t="e">
        <f>Overview!CW26*Overview!$Z26/7*Results_energy_scenarios!$H154</f>
        <v>#REF!</v>
      </c>
      <c r="AH154" s="148" t="e">
        <f>Overview!CX26*Overview!$Z26/7*Results_energy_scenarios!$H154</f>
        <v>#REF!</v>
      </c>
      <c r="AI154" s="148" t="e">
        <f>Overview!CY26*Overview!$Z26/7*Results_energy_scenarios!$H154</f>
        <v>#REF!</v>
      </c>
      <c r="AJ154" s="148" t="e">
        <f>Overview!CZ26*Overview!$Z26/7*Results_energy_scenarios!$H154</f>
        <v>#REF!</v>
      </c>
      <c r="AK154" s="148" t="e">
        <f>Overview!DA26*Overview!$Z26/7*Results_energy_scenarios!$H154</f>
        <v>#REF!</v>
      </c>
      <c r="AL154" s="148" t="e">
        <f>Overview!DB26*Overview!$Z26/7*Results_energy_scenarios!$H154</f>
        <v>#REF!</v>
      </c>
      <c r="AM154" s="148" t="e">
        <f>Overview!DC26*Overview!$Z26/7*Results_energy_scenarios!$H154</f>
        <v>#REF!</v>
      </c>
      <c r="AN154" s="148" t="e">
        <f>Overview!DD26*Overview!$Z26/7*Results_energy_scenarios!$H154</f>
        <v>#REF!</v>
      </c>
      <c r="AO154" s="146" t="e">
        <f>Overview!DE26*Overview!$Z26/7*Results_energy_scenarios!$H154</f>
        <v>#REF!</v>
      </c>
    </row>
    <row r="155" spans="1:41">
      <c r="A155" t="s">
        <v>520</v>
      </c>
      <c r="D155" s="114" t="s">
        <v>386</v>
      </c>
      <c r="E155" s="103"/>
      <c r="F155" s="103"/>
      <c r="G155">
        <v>17245</v>
      </c>
      <c r="H155" s="103"/>
      <c r="J155" s="189" t="e">
        <f t="shared" ref="J155:AO155" si="106">J185*$G155</f>
        <v>#REF!</v>
      </c>
      <c r="K155" s="148" t="e">
        <f t="shared" si="106"/>
        <v>#REF!</v>
      </c>
      <c r="L155" s="148" t="e">
        <f t="shared" si="106"/>
        <v>#REF!</v>
      </c>
      <c r="M155" s="148" t="e">
        <f t="shared" si="106"/>
        <v>#REF!</v>
      </c>
      <c r="N155" s="148" t="e">
        <f t="shared" si="106"/>
        <v>#REF!</v>
      </c>
      <c r="O155" s="148" t="e">
        <f t="shared" si="106"/>
        <v>#REF!</v>
      </c>
      <c r="P155" s="148" t="e">
        <f t="shared" si="106"/>
        <v>#REF!</v>
      </c>
      <c r="Q155" s="148" t="e">
        <f t="shared" si="106"/>
        <v>#REF!</v>
      </c>
      <c r="R155" s="148" t="e">
        <f t="shared" si="106"/>
        <v>#REF!</v>
      </c>
      <c r="S155" s="148" t="e">
        <f t="shared" si="106"/>
        <v>#REF!</v>
      </c>
      <c r="T155" s="148" t="e">
        <f t="shared" si="106"/>
        <v>#REF!</v>
      </c>
      <c r="U155" s="148" t="e">
        <f t="shared" si="106"/>
        <v>#REF!</v>
      </c>
      <c r="V155" s="148" t="e">
        <f t="shared" si="106"/>
        <v>#REF!</v>
      </c>
      <c r="W155" s="148" t="e">
        <f t="shared" si="106"/>
        <v>#REF!</v>
      </c>
      <c r="X155" s="148" t="e">
        <f t="shared" si="106"/>
        <v>#REF!</v>
      </c>
      <c r="Y155" s="101" t="e">
        <f t="shared" si="106"/>
        <v>#REF!</v>
      </c>
      <c r="Z155" s="148" t="e">
        <f t="shared" si="106"/>
        <v>#REF!</v>
      </c>
      <c r="AA155" s="148" t="e">
        <f t="shared" si="106"/>
        <v>#REF!</v>
      </c>
      <c r="AB155" s="148" t="e">
        <f t="shared" si="106"/>
        <v>#REF!</v>
      </c>
      <c r="AC155" s="148" t="e">
        <f t="shared" si="106"/>
        <v>#REF!</v>
      </c>
      <c r="AD155" s="148" t="e">
        <f t="shared" si="106"/>
        <v>#REF!</v>
      </c>
      <c r="AE155" s="148" t="e">
        <f t="shared" si="106"/>
        <v>#REF!</v>
      </c>
      <c r="AF155" s="148" t="e">
        <f t="shared" si="106"/>
        <v>#REF!</v>
      </c>
      <c r="AG155" s="148" t="e">
        <f t="shared" si="106"/>
        <v>#REF!</v>
      </c>
      <c r="AH155" s="148" t="e">
        <f t="shared" si="106"/>
        <v>#REF!</v>
      </c>
      <c r="AI155" s="148" t="e">
        <f t="shared" si="106"/>
        <v>#REF!</v>
      </c>
      <c r="AJ155" s="148" t="e">
        <f t="shared" si="106"/>
        <v>#REF!</v>
      </c>
      <c r="AK155" s="148" t="e">
        <f t="shared" si="106"/>
        <v>#REF!</v>
      </c>
      <c r="AL155" s="148" t="e">
        <f t="shared" si="106"/>
        <v>#REF!</v>
      </c>
      <c r="AM155" s="148" t="e">
        <f t="shared" si="106"/>
        <v>#REF!</v>
      </c>
      <c r="AN155" s="148" t="e">
        <f t="shared" si="106"/>
        <v>#REF!</v>
      </c>
      <c r="AO155" s="146" t="e">
        <f t="shared" si="106"/>
        <v>#REF!</v>
      </c>
    </row>
    <row r="156" spans="1:41">
      <c r="A156" s="203" t="s">
        <v>520</v>
      </c>
      <c r="B156" s="203" t="s">
        <v>361</v>
      </c>
      <c r="C156" s="203" t="s">
        <v>357</v>
      </c>
      <c r="D156" s="210" t="s">
        <v>322</v>
      </c>
      <c r="E156" s="209"/>
      <c r="F156" s="209"/>
      <c r="G156" s="203">
        <v>18037</v>
      </c>
      <c r="H156" s="209"/>
      <c r="I156" s="203"/>
      <c r="J156" s="206" t="e">
        <f>J142/$G142*$G156</f>
        <v>#REF!</v>
      </c>
      <c r="K156" s="204" t="e">
        <f t="shared" ref="K156:AO156" si="107">K142/$G142*$G156</f>
        <v>#REF!</v>
      </c>
      <c r="L156" s="204" t="e">
        <f t="shared" si="107"/>
        <v>#REF!</v>
      </c>
      <c r="M156" s="204" t="e">
        <f t="shared" si="107"/>
        <v>#REF!</v>
      </c>
      <c r="N156" s="204" t="e">
        <f t="shared" si="107"/>
        <v>#REF!</v>
      </c>
      <c r="O156" s="204" t="e">
        <f t="shared" si="107"/>
        <v>#REF!</v>
      </c>
      <c r="P156" s="204" t="e">
        <f t="shared" si="107"/>
        <v>#REF!</v>
      </c>
      <c r="Q156" s="204" t="e">
        <f t="shared" si="107"/>
        <v>#REF!</v>
      </c>
      <c r="R156" s="204" t="e">
        <f t="shared" si="107"/>
        <v>#REF!</v>
      </c>
      <c r="S156" s="204" t="e">
        <f t="shared" si="107"/>
        <v>#REF!</v>
      </c>
      <c r="T156" s="204" t="e">
        <f t="shared" si="107"/>
        <v>#REF!</v>
      </c>
      <c r="U156" s="204" t="e">
        <f t="shared" si="107"/>
        <v>#REF!</v>
      </c>
      <c r="V156" s="204" t="e">
        <f t="shared" si="107"/>
        <v>#REF!</v>
      </c>
      <c r="W156" s="204" t="e">
        <f t="shared" si="107"/>
        <v>#REF!</v>
      </c>
      <c r="X156" s="204" t="e">
        <f t="shared" si="107"/>
        <v>#REF!</v>
      </c>
      <c r="Y156" s="143" t="e">
        <f t="shared" si="107"/>
        <v>#REF!</v>
      </c>
      <c r="Z156" s="204" t="e">
        <f t="shared" si="107"/>
        <v>#REF!</v>
      </c>
      <c r="AA156" s="204" t="e">
        <f t="shared" si="107"/>
        <v>#REF!</v>
      </c>
      <c r="AB156" s="204" t="e">
        <f t="shared" si="107"/>
        <v>#REF!</v>
      </c>
      <c r="AC156" s="204" t="e">
        <f t="shared" si="107"/>
        <v>#REF!</v>
      </c>
      <c r="AD156" s="204" t="e">
        <f t="shared" si="107"/>
        <v>#REF!</v>
      </c>
      <c r="AE156" s="204" t="e">
        <f t="shared" si="107"/>
        <v>#REF!</v>
      </c>
      <c r="AF156" s="204" t="e">
        <f t="shared" si="107"/>
        <v>#REF!</v>
      </c>
      <c r="AG156" s="204" t="e">
        <f t="shared" si="107"/>
        <v>#REF!</v>
      </c>
      <c r="AH156" s="204" t="e">
        <f t="shared" si="107"/>
        <v>#REF!</v>
      </c>
      <c r="AI156" s="204" t="e">
        <f t="shared" si="107"/>
        <v>#REF!</v>
      </c>
      <c r="AJ156" s="204" t="e">
        <f t="shared" si="107"/>
        <v>#REF!</v>
      </c>
      <c r="AK156" s="204" t="e">
        <f t="shared" si="107"/>
        <v>#REF!</v>
      </c>
      <c r="AL156" s="204" t="e">
        <f t="shared" si="107"/>
        <v>#REF!</v>
      </c>
      <c r="AM156" s="204" t="e">
        <f t="shared" si="107"/>
        <v>#REF!</v>
      </c>
      <c r="AN156" s="204" t="e">
        <f t="shared" si="107"/>
        <v>#REF!</v>
      </c>
      <c r="AO156" s="207" t="e">
        <f t="shared" si="107"/>
        <v>#REF!</v>
      </c>
    </row>
    <row r="157" spans="1:41">
      <c r="A157" t="s">
        <v>520</v>
      </c>
      <c r="B157" t="s">
        <v>361</v>
      </c>
      <c r="C157" t="s">
        <v>357</v>
      </c>
      <c r="D157" s="115" t="s">
        <v>343</v>
      </c>
      <c r="E157" s="103"/>
      <c r="F157" s="103"/>
      <c r="G157">
        <f>Overview!J12</f>
        <v>16232.87756873591</v>
      </c>
      <c r="H157">
        <f>Overview!F12</f>
        <v>4.9007100259151333</v>
      </c>
      <c r="J157" s="100" t="e">
        <f>Overview!AD12*Overview!$Z12/20*Results_energy_scenarios!$H157+Overview!AD15*Overview!$Z15*Results_energy_scenarios!$G157</f>
        <v>#REF!</v>
      </c>
      <c r="K157" s="148" t="e">
        <f>Overview!AE12*Overview!$Z12/20*Results_energy_scenarios!$H157+Overview!AE15*Overview!$Z15*Results_energy_scenarios!$G157</f>
        <v>#REF!</v>
      </c>
      <c r="L157" s="148" t="e">
        <f>Overview!AF12*Overview!$Z12/20*Results_energy_scenarios!$H157+Overview!AF15*Overview!$Z15*Results_energy_scenarios!$G157</f>
        <v>#REF!</v>
      </c>
      <c r="M157" s="148" t="e">
        <f>Overview!AG12*Overview!$Z12/20*Results_energy_scenarios!$H157+Overview!AG15*Overview!$Z15*Results_energy_scenarios!$G157</f>
        <v>#REF!</v>
      </c>
      <c r="N157" s="148" t="e">
        <f>Overview!AH12*Overview!$Z12/20*Results_energy_scenarios!$H157+Overview!AH15*Overview!$Z15*Results_energy_scenarios!$G157</f>
        <v>#REF!</v>
      </c>
      <c r="O157" s="148" t="e">
        <f>Overview!AI12*Overview!$Z12/20*Results_energy_scenarios!$H157+Overview!AI15*Overview!$Z15*Results_energy_scenarios!$G157</f>
        <v>#REF!</v>
      </c>
      <c r="P157" s="148" t="e">
        <f>Overview!AJ12*Overview!$Z12/20*Results_energy_scenarios!$H157+Overview!AJ15*Overview!$Z15*Results_energy_scenarios!$G157</f>
        <v>#REF!</v>
      </c>
      <c r="Q157" s="148" t="e">
        <f>Overview!AK12*Overview!$Z12/20*Results_energy_scenarios!$H157+Overview!AK15*Overview!$Z15*Results_energy_scenarios!$G157</f>
        <v>#REF!</v>
      </c>
      <c r="R157" s="148" t="e">
        <f>Overview!AL12*Overview!$Z12/20*Results_energy_scenarios!$H157+Overview!AL15*Overview!$Z15*Results_energy_scenarios!$G157</f>
        <v>#REF!</v>
      </c>
      <c r="S157" s="148" t="e">
        <f>Overview!AM12*Overview!$Z12/20*Results_energy_scenarios!$H157+Overview!AM15*Overview!$Z15*Results_energy_scenarios!$G157</f>
        <v>#REF!</v>
      </c>
      <c r="T157" s="148" t="e">
        <f>Overview!AN12*Overview!$Z12/20*Results_energy_scenarios!$H157+Overview!AN15*Overview!$Z15*Results_energy_scenarios!$G157</f>
        <v>#REF!</v>
      </c>
      <c r="U157" s="148" t="e">
        <f>Overview!AO12*Overview!$Z12/20*Results_energy_scenarios!$H157+Overview!AO15*Overview!$Z15*Results_energy_scenarios!$G157</f>
        <v>#REF!</v>
      </c>
      <c r="V157" s="148" t="e">
        <f>Overview!AP12*Overview!$Z12/20*Results_energy_scenarios!$H157+Overview!AP15*Overview!$Z15*Results_energy_scenarios!$G157</f>
        <v>#REF!</v>
      </c>
      <c r="W157" s="148" t="e">
        <f>Overview!AQ12*Overview!$Z12/20*Results_energy_scenarios!$H157+Overview!AQ15*Overview!$Z15*Results_energy_scenarios!$G157</f>
        <v>#REF!</v>
      </c>
      <c r="X157" s="148" t="e">
        <f>Overview!AR12*Overview!$Z12/20*Results_energy_scenarios!$H157+Overview!AR15*Overview!$Z15*Results_energy_scenarios!$G157</f>
        <v>#REF!</v>
      </c>
      <c r="Y157" s="101" t="e">
        <f>Overview!AS12*Overview!$Z12/20*Results_energy_scenarios!$H157+Overview!AS15*Overview!$Z15*Results_energy_scenarios!$G157</f>
        <v>#REF!</v>
      </c>
      <c r="Z157" s="148" t="e">
        <f>Overview!CP12*Overview!$Z12/20*Results_energy_scenarios!$H157+Overview!CP15*Overview!$Z15*Results_energy_scenarios!$G157</f>
        <v>#REF!</v>
      </c>
      <c r="AA157" s="148" t="e">
        <f>Overview!CQ12*Overview!$Z12/20*Results_energy_scenarios!$H157+Overview!CQ15*Overview!$Z15*Results_energy_scenarios!$G157</f>
        <v>#REF!</v>
      </c>
      <c r="AB157" s="148" t="e">
        <f>Overview!CR12*Overview!$Z12/20*Results_energy_scenarios!$H157+Overview!CR15*Overview!$Z15*Results_energy_scenarios!$G157</f>
        <v>#REF!</v>
      </c>
      <c r="AC157" s="148" t="e">
        <f>Overview!CS12*Overview!$Z12/20*Results_energy_scenarios!$H157+Overview!CS15*Overview!$Z15*Results_energy_scenarios!$G157</f>
        <v>#REF!</v>
      </c>
      <c r="AD157" s="148" t="e">
        <f>Overview!CT12*Overview!$Z12/20*Results_energy_scenarios!$H157+Overview!CT15*Overview!$Z15*Results_energy_scenarios!$G157</f>
        <v>#REF!</v>
      </c>
      <c r="AE157" s="148" t="e">
        <f>Overview!CU12*Overview!$Z12/20*Results_energy_scenarios!$H157+Overview!CU15*Overview!$Z15*Results_energy_scenarios!$G157</f>
        <v>#REF!</v>
      </c>
      <c r="AF157" s="148" t="e">
        <f>Overview!CV12*Overview!$Z12/20*Results_energy_scenarios!$H157+Overview!CV15*Overview!$Z15*Results_energy_scenarios!$G157</f>
        <v>#REF!</v>
      </c>
      <c r="AG157" s="148" t="e">
        <f>Overview!CW12*Overview!$Z12/20*Results_energy_scenarios!$H157+Overview!CW15*Overview!$Z15*Results_energy_scenarios!$G157</f>
        <v>#REF!</v>
      </c>
      <c r="AH157" s="148" t="e">
        <f>Overview!CX12*Overview!$Z12/20*Results_energy_scenarios!$H157+Overview!CX15*Overview!$Z15*Results_energy_scenarios!$G157</f>
        <v>#REF!</v>
      </c>
      <c r="AI157" s="148" t="e">
        <f>Overview!CY12*Overview!$Z12/20*Results_energy_scenarios!$H157+Overview!CY15*Overview!$Z15*Results_energy_scenarios!$G157</f>
        <v>#REF!</v>
      </c>
      <c r="AJ157" s="148" t="e">
        <f>Overview!CZ12*Overview!$Z12/20*Results_energy_scenarios!$H157+Overview!CZ15*Overview!$Z15*Results_energy_scenarios!$G157</f>
        <v>#REF!</v>
      </c>
      <c r="AK157" s="148" t="e">
        <f>Overview!DA12*Overview!$Z12/20*Results_energy_scenarios!$H157+Overview!DA15*Overview!$Z15*Results_energy_scenarios!$G157</f>
        <v>#REF!</v>
      </c>
      <c r="AL157" s="148" t="e">
        <f>Overview!DB12*Overview!$Z12/20*Results_energy_scenarios!$H157+Overview!DB15*Overview!$Z15*Results_energy_scenarios!$G157</f>
        <v>#REF!</v>
      </c>
      <c r="AM157" s="148" t="e">
        <f>Overview!DC12*Overview!$Z12/20*Results_energy_scenarios!$H157+Overview!DC15*Overview!$Z15*Results_energy_scenarios!$G157</f>
        <v>#REF!</v>
      </c>
      <c r="AN157" s="148" t="e">
        <f>Overview!DD12*Overview!$Z12/20*Results_energy_scenarios!$H157+Overview!DD15*Overview!$Z15*Results_energy_scenarios!$G157</f>
        <v>#REF!</v>
      </c>
      <c r="AO157" s="146" t="e">
        <f>Overview!DE12*Overview!$Z12/20*Results_energy_scenarios!$H157+Overview!DE15*Overview!$Z15*Results_energy_scenarios!$G157</f>
        <v>#REF!</v>
      </c>
    </row>
    <row r="158" spans="1:41">
      <c r="A158" t="s">
        <v>520</v>
      </c>
      <c r="B158" t="s">
        <v>361</v>
      </c>
      <c r="C158" t="s">
        <v>357</v>
      </c>
      <c r="D158" s="115" t="s">
        <v>322</v>
      </c>
      <c r="E158" s="103"/>
      <c r="F158" s="103"/>
      <c r="G158">
        <f>G143-G156-G164</f>
        <v>5330</v>
      </c>
      <c r="H158" s="103"/>
      <c r="J158" s="100" t="e">
        <f>J142/$G142*$G158</f>
        <v>#REF!</v>
      </c>
      <c r="K158" s="148" t="e">
        <f t="shared" ref="K158:AO158" si="108">K142/$G142*$G158</f>
        <v>#REF!</v>
      </c>
      <c r="L158" s="148" t="e">
        <f t="shared" si="108"/>
        <v>#REF!</v>
      </c>
      <c r="M158" s="148" t="e">
        <f t="shared" si="108"/>
        <v>#REF!</v>
      </c>
      <c r="N158" s="148" t="e">
        <f t="shared" si="108"/>
        <v>#REF!</v>
      </c>
      <c r="O158" s="148" t="e">
        <f t="shared" si="108"/>
        <v>#REF!</v>
      </c>
      <c r="P158" s="148" t="e">
        <f t="shared" si="108"/>
        <v>#REF!</v>
      </c>
      <c r="Q158" s="148" t="e">
        <f t="shared" si="108"/>
        <v>#REF!</v>
      </c>
      <c r="R158" s="148" t="e">
        <f t="shared" si="108"/>
        <v>#REF!</v>
      </c>
      <c r="S158" s="148" t="e">
        <f t="shared" si="108"/>
        <v>#REF!</v>
      </c>
      <c r="T158" s="148" t="e">
        <f t="shared" si="108"/>
        <v>#REF!</v>
      </c>
      <c r="U158" s="148" t="e">
        <f t="shared" si="108"/>
        <v>#REF!</v>
      </c>
      <c r="V158" s="148" t="e">
        <f t="shared" si="108"/>
        <v>#REF!</v>
      </c>
      <c r="W158" s="148" t="e">
        <f t="shared" si="108"/>
        <v>#REF!</v>
      </c>
      <c r="X158" s="148" t="e">
        <f t="shared" si="108"/>
        <v>#REF!</v>
      </c>
      <c r="Y158" s="101" t="e">
        <f t="shared" si="108"/>
        <v>#REF!</v>
      </c>
      <c r="Z158" s="148" t="e">
        <f t="shared" si="108"/>
        <v>#REF!</v>
      </c>
      <c r="AA158" s="148" t="e">
        <f t="shared" si="108"/>
        <v>#REF!</v>
      </c>
      <c r="AB158" s="148" t="e">
        <f t="shared" si="108"/>
        <v>#REF!</v>
      </c>
      <c r="AC158" s="148" t="e">
        <f t="shared" si="108"/>
        <v>#REF!</v>
      </c>
      <c r="AD158" s="148" t="e">
        <f t="shared" si="108"/>
        <v>#REF!</v>
      </c>
      <c r="AE158" s="148" t="e">
        <f t="shared" si="108"/>
        <v>#REF!</v>
      </c>
      <c r="AF158" s="148" t="e">
        <f t="shared" si="108"/>
        <v>#REF!</v>
      </c>
      <c r="AG158" s="148" t="e">
        <f t="shared" si="108"/>
        <v>#REF!</v>
      </c>
      <c r="AH158" s="148" t="e">
        <f t="shared" si="108"/>
        <v>#REF!</v>
      </c>
      <c r="AI158" s="148" t="e">
        <f t="shared" si="108"/>
        <v>#REF!</v>
      </c>
      <c r="AJ158" s="148" t="e">
        <f t="shared" si="108"/>
        <v>#REF!</v>
      </c>
      <c r="AK158" s="148" t="e">
        <f t="shared" si="108"/>
        <v>#REF!</v>
      </c>
      <c r="AL158" s="148" t="e">
        <f t="shared" si="108"/>
        <v>#REF!</v>
      </c>
      <c r="AM158" s="148" t="e">
        <f t="shared" si="108"/>
        <v>#REF!</v>
      </c>
      <c r="AN158" s="148" t="e">
        <f t="shared" si="108"/>
        <v>#REF!</v>
      </c>
      <c r="AO158" s="146" t="e">
        <f t="shared" si="108"/>
        <v>#REF!</v>
      </c>
    </row>
    <row r="159" spans="1:41">
      <c r="A159" t="s">
        <v>520</v>
      </c>
      <c r="B159" t="s">
        <v>361</v>
      </c>
      <c r="C159" t="s">
        <v>357</v>
      </c>
      <c r="D159" s="116" t="s">
        <v>348</v>
      </c>
      <c r="E159" s="103"/>
      <c r="F159" s="103"/>
      <c r="G159">
        <f>Overview!J21</f>
        <v>2451.820008733127</v>
      </c>
      <c r="H159">
        <f>Overview!F21</f>
        <v>0.67903385084054668</v>
      </c>
      <c r="I159" s="205"/>
      <c r="J159" s="100" t="e">
        <f>Overview!AD21*Overview!$Z21/20*Results_energy_scenarios!$H159</f>
        <v>#REF!</v>
      </c>
      <c r="K159" s="148" t="e">
        <f>Overview!AE21*Overview!$Z21/20*Results_energy_scenarios!$H159</f>
        <v>#REF!</v>
      </c>
      <c r="L159" s="148" t="e">
        <f>Overview!AF21*Overview!$Z21/20*Results_energy_scenarios!$H159</f>
        <v>#REF!</v>
      </c>
      <c r="M159" s="148" t="e">
        <f>Overview!AG21*Overview!$Z21/20*Results_energy_scenarios!$H159</f>
        <v>#REF!</v>
      </c>
      <c r="N159" s="148" t="e">
        <f>Overview!AH21*Overview!$Z21/20*Results_energy_scenarios!$H159</f>
        <v>#REF!</v>
      </c>
      <c r="O159" s="148" t="e">
        <f>Overview!AI21*Overview!$Z21/20*Results_energy_scenarios!$H159</f>
        <v>#REF!</v>
      </c>
      <c r="P159" s="148" t="e">
        <f>Overview!AJ21*Overview!$Z21/20*Results_energy_scenarios!$H159</f>
        <v>#REF!</v>
      </c>
      <c r="Q159" s="148" t="e">
        <f>Overview!AK21*Overview!$Z21/20*Results_energy_scenarios!$H159</f>
        <v>#REF!</v>
      </c>
      <c r="R159" s="148" t="e">
        <f>Overview!AL21*Overview!$Z21/20*Results_energy_scenarios!$H159</f>
        <v>#REF!</v>
      </c>
      <c r="S159" s="148" t="e">
        <f>Overview!AM21*Overview!$Z21/20*Results_energy_scenarios!$H159</f>
        <v>#REF!</v>
      </c>
      <c r="T159" s="148" t="e">
        <f>Overview!AN21*Overview!$Z21/20*Results_energy_scenarios!$H159</f>
        <v>#REF!</v>
      </c>
      <c r="U159" s="148" t="e">
        <f>Overview!AO21*Overview!$Z21/20*Results_energy_scenarios!$H159</f>
        <v>#REF!</v>
      </c>
      <c r="V159" s="148" t="e">
        <f>Overview!AP21*Overview!$Z21/20*Results_energy_scenarios!$H159</f>
        <v>#REF!</v>
      </c>
      <c r="W159" s="148" t="e">
        <f>Overview!AQ21*Overview!$Z21/20*Results_energy_scenarios!$H159</f>
        <v>#REF!</v>
      </c>
      <c r="X159" s="148" t="e">
        <f>Overview!AR21*Overview!$Z21/20*Results_energy_scenarios!$H159</f>
        <v>#REF!</v>
      </c>
      <c r="Y159" s="101" t="e">
        <f>Overview!AS21*Overview!$Z21/20*Results_energy_scenarios!$H159</f>
        <v>#REF!</v>
      </c>
      <c r="Z159" s="148" t="e">
        <f>Overview!CP21*Overview!$Z21/20*Results_energy_scenarios!$H159</f>
        <v>#REF!</v>
      </c>
      <c r="AA159" s="148" t="e">
        <f>Overview!CQ21*Overview!$Z21/20*Results_energy_scenarios!$H159</f>
        <v>#REF!</v>
      </c>
      <c r="AB159" s="148" t="e">
        <f>Overview!CR21*Overview!$Z21/20*Results_energy_scenarios!$H159</f>
        <v>#REF!</v>
      </c>
      <c r="AC159" s="148" t="e">
        <f>Overview!CS21*Overview!$Z21/20*Results_energy_scenarios!$H159</f>
        <v>#REF!</v>
      </c>
      <c r="AD159" s="148" t="e">
        <f>Overview!CT21*Overview!$Z21/20*Results_energy_scenarios!$H159</f>
        <v>#REF!</v>
      </c>
      <c r="AE159" s="148" t="e">
        <f>Overview!CU21*Overview!$Z21/20*Results_energy_scenarios!$H159</f>
        <v>#REF!</v>
      </c>
      <c r="AF159" s="148" t="e">
        <f>Overview!CV21*Overview!$Z21/20*Results_energy_scenarios!$H159</f>
        <v>#REF!</v>
      </c>
      <c r="AG159" s="148" t="e">
        <f>Overview!CW21*Overview!$Z21/20*Results_energy_scenarios!$H159</f>
        <v>#REF!</v>
      </c>
      <c r="AH159" s="148" t="e">
        <f>Overview!CX21*Overview!$Z21/20*Results_energy_scenarios!$H159</f>
        <v>#REF!</v>
      </c>
      <c r="AI159" s="148" t="e">
        <f>Overview!CY21*Overview!$Z21/20*Results_energy_scenarios!$H159</f>
        <v>#REF!</v>
      </c>
      <c r="AJ159" s="148" t="e">
        <f>Overview!CZ21*Overview!$Z21/20*Results_energy_scenarios!$H159</f>
        <v>#REF!</v>
      </c>
      <c r="AK159" s="148" t="e">
        <f>Overview!DA21*Overview!$Z21/20*Results_energy_scenarios!$H159</f>
        <v>#REF!</v>
      </c>
      <c r="AL159" s="148" t="e">
        <f>Overview!DB21*Overview!$Z21/20*Results_energy_scenarios!$H159</f>
        <v>#REF!</v>
      </c>
      <c r="AM159" s="148" t="e">
        <f>Overview!DC21*Overview!$Z21/20*Results_energy_scenarios!$H159</f>
        <v>#REF!</v>
      </c>
      <c r="AN159" s="148" t="e">
        <f>Overview!DD21*Overview!$Z21/20*Results_energy_scenarios!$H159</f>
        <v>#REF!</v>
      </c>
      <c r="AO159" s="146" t="e">
        <f>Overview!DE21*Overview!$Z21/20*Results_energy_scenarios!$H159</f>
        <v>#REF!</v>
      </c>
    </row>
    <row r="160" spans="1:41">
      <c r="A160" t="s">
        <v>520</v>
      </c>
      <c r="B160" t="s">
        <v>361</v>
      </c>
      <c r="C160" t="s">
        <v>357</v>
      </c>
      <c r="D160" s="113" t="s">
        <v>339</v>
      </c>
      <c r="E160" s="103"/>
      <c r="F160" s="103"/>
      <c r="G160">
        <v>41000</v>
      </c>
      <c r="H160" s="103"/>
      <c r="I160" s="205"/>
      <c r="J160" s="102" t="e">
        <f>Overview!AD5*Overview!$Z5*$G160</f>
        <v>#REF!</v>
      </c>
      <c r="K160" s="148" t="e">
        <f>Overview!AE5*Overview!$Z5*$G160</f>
        <v>#REF!</v>
      </c>
      <c r="L160" s="148" t="e">
        <f>Overview!AF5*Overview!$Z5*$G160</f>
        <v>#REF!</v>
      </c>
      <c r="M160" s="148" t="e">
        <f>Overview!AG5*Overview!$Z5*$G160</f>
        <v>#REF!</v>
      </c>
      <c r="N160" s="148" t="e">
        <f>Overview!AH5*Overview!$Z5*$G160</f>
        <v>#REF!</v>
      </c>
      <c r="O160" s="148" t="e">
        <f>Overview!AI5*Overview!$Z5*$G160</f>
        <v>#REF!</v>
      </c>
      <c r="P160" s="148" t="e">
        <f>Overview!AJ5*Overview!$Z5*$G160</f>
        <v>#REF!</v>
      </c>
      <c r="Q160" s="148" t="e">
        <f>Overview!AK5*Overview!$Z5*$G160</f>
        <v>#REF!</v>
      </c>
      <c r="R160" s="148" t="e">
        <f>Overview!AL5*Overview!$Z5*$G160</f>
        <v>#REF!</v>
      </c>
      <c r="S160" s="148" t="e">
        <f>Overview!AM5*Overview!$Z5*$G160</f>
        <v>#REF!</v>
      </c>
      <c r="T160" s="148" t="e">
        <f>Overview!AN5*Overview!$Z5*$G160</f>
        <v>#REF!</v>
      </c>
      <c r="U160" s="148" t="e">
        <f>Overview!AO5*Overview!$Z5*$G160</f>
        <v>#REF!</v>
      </c>
      <c r="V160" s="148" t="e">
        <f>Overview!AP5*Overview!$Z5*$G160</f>
        <v>#REF!</v>
      </c>
      <c r="W160" s="148" t="e">
        <f>Overview!AQ5*Overview!$Z5*$G160</f>
        <v>#REF!</v>
      </c>
      <c r="X160" s="148" t="e">
        <f>Overview!AR5*Overview!$Z5*$G160</f>
        <v>#REF!</v>
      </c>
      <c r="Y160" s="101" t="e">
        <f>Overview!AS5*Overview!$Z5*$G160</f>
        <v>#REF!</v>
      </c>
      <c r="Z160" s="148" t="e">
        <f>Overview!CP5*Overview!$Z5*$G160</f>
        <v>#REF!</v>
      </c>
      <c r="AA160" s="148" t="e">
        <f>Overview!CQ5*Overview!$Z5*$G160</f>
        <v>#REF!</v>
      </c>
      <c r="AB160" s="148" t="e">
        <f>Overview!CR5*Overview!$Z5*$G160</f>
        <v>#REF!</v>
      </c>
      <c r="AC160" s="148" t="e">
        <f>Overview!CS5*Overview!$Z5*$G160</f>
        <v>#REF!</v>
      </c>
      <c r="AD160" s="148" t="e">
        <f>Overview!CT5*Overview!$Z5*$G160</f>
        <v>#REF!</v>
      </c>
      <c r="AE160" s="148" t="e">
        <f>Overview!CU5*Overview!$Z5*$G160</f>
        <v>#REF!</v>
      </c>
      <c r="AF160" s="148" t="e">
        <f>Overview!CV5*Overview!$Z5*$G160</f>
        <v>#REF!</v>
      </c>
      <c r="AG160" s="148" t="e">
        <f>Overview!CW5*Overview!$Z5*$G160</f>
        <v>#REF!</v>
      </c>
      <c r="AH160" s="148" t="e">
        <f>Overview!CX5*Overview!$Z5*$G160</f>
        <v>#REF!</v>
      </c>
      <c r="AI160" s="148" t="e">
        <f>Overview!CY5*Overview!$Z5*$G160</f>
        <v>#REF!</v>
      </c>
      <c r="AJ160" s="148" t="e">
        <f>Overview!CZ5*Overview!$Z5*$G160</f>
        <v>#REF!</v>
      </c>
      <c r="AK160" s="148" t="e">
        <f>Overview!DA5*Overview!$Z5*$G160</f>
        <v>#REF!</v>
      </c>
      <c r="AL160" s="148" t="e">
        <f>Overview!DB5*Overview!$Z5*$G160</f>
        <v>#REF!</v>
      </c>
      <c r="AM160" s="148" t="e">
        <f>Overview!DC5*Overview!$Z5*$G160</f>
        <v>#REF!</v>
      </c>
      <c r="AN160" s="148" t="e">
        <f>Overview!DD5*Overview!$Z5*$G160</f>
        <v>#REF!</v>
      </c>
      <c r="AO160" s="146" t="e">
        <f>Overview!DE5*Overview!$Z5*$G160</f>
        <v>#REF!</v>
      </c>
    </row>
    <row r="161" spans="1:41">
      <c r="A161" t="s">
        <v>520</v>
      </c>
      <c r="B161" t="s">
        <v>361</v>
      </c>
      <c r="C161" t="s">
        <v>357</v>
      </c>
      <c r="D161" s="113" t="s">
        <v>340</v>
      </c>
      <c r="E161" s="103"/>
      <c r="F161" s="103"/>
      <c r="G161">
        <f>Overview!J10</f>
        <v>34849.91637777986</v>
      </c>
      <c r="H161">
        <f>Overview!F10</f>
        <v>9.7710102305302051</v>
      </c>
      <c r="I161" s="205"/>
      <c r="J161" s="148" t="e">
        <f>Overview!AD10*Overview!$Z10/17*Results_energy_scenarios!$H161</f>
        <v>#REF!</v>
      </c>
      <c r="K161" s="148" t="e">
        <f>Overview!AE10*Overview!$Z10/17*Results_energy_scenarios!$H161</f>
        <v>#REF!</v>
      </c>
      <c r="L161" s="148" t="e">
        <f>Overview!AF10*Overview!$Z10/17*Results_energy_scenarios!$H161</f>
        <v>#REF!</v>
      </c>
      <c r="M161" s="148" t="e">
        <f>Overview!AG10*Overview!$Z10/17*Results_energy_scenarios!$H161</f>
        <v>#REF!</v>
      </c>
      <c r="N161" s="148" t="e">
        <f>Overview!AH10*Overview!$Z10/17*Results_energy_scenarios!$H161</f>
        <v>#REF!</v>
      </c>
      <c r="O161" s="148" t="e">
        <f>Overview!AI10*Overview!$Z10/17*Results_energy_scenarios!$H161</f>
        <v>#REF!</v>
      </c>
      <c r="P161" s="148" t="e">
        <f>Overview!AJ10*Overview!$Z10/17*Results_energy_scenarios!$H161</f>
        <v>#REF!</v>
      </c>
      <c r="Q161" s="148" t="e">
        <f>Overview!AK10*Overview!$Z10/17*Results_energy_scenarios!$H161</f>
        <v>#REF!</v>
      </c>
      <c r="R161" s="148" t="e">
        <f>Overview!AL10*Overview!$Z10/17*Results_energy_scenarios!$H161</f>
        <v>#REF!</v>
      </c>
      <c r="S161" s="148" t="e">
        <f>Overview!AM10*Overview!$Z10/17*Results_energy_scenarios!$H161</f>
        <v>#REF!</v>
      </c>
      <c r="T161" s="148" t="e">
        <f>Overview!AN10*Overview!$Z10/17*Results_energy_scenarios!$H161</f>
        <v>#REF!</v>
      </c>
      <c r="U161" s="148" t="e">
        <f>Overview!AO10*Overview!$Z10/17*Results_energy_scenarios!$H161</f>
        <v>#REF!</v>
      </c>
      <c r="V161" s="148" t="e">
        <f>Overview!AP10*Overview!$Z10/17*Results_energy_scenarios!$H161</f>
        <v>#REF!</v>
      </c>
      <c r="W161" s="148" t="e">
        <f>Overview!AQ10*Overview!$Z10/17*Results_energy_scenarios!$H161</f>
        <v>#REF!</v>
      </c>
      <c r="X161" s="148" t="e">
        <f>Overview!AR10*Overview!$Z10/17*Results_energy_scenarios!$H161</f>
        <v>#REF!</v>
      </c>
      <c r="Y161" s="101" t="e">
        <f>Overview!AS10*Overview!$Z10/17*Results_energy_scenarios!$H161</f>
        <v>#REF!</v>
      </c>
      <c r="Z161" s="148" t="e">
        <f>Overview!CP10*Overview!$Z10/17*Results_energy_scenarios!$H161</f>
        <v>#REF!</v>
      </c>
      <c r="AA161" s="148" t="e">
        <f>Overview!CQ10*Overview!$Z10/17*Results_energy_scenarios!$H161</f>
        <v>#REF!</v>
      </c>
      <c r="AB161" s="148" t="e">
        <f>Overview!CR10*Overview!$Z10/17*Results_energy_scenarios!$H161</f>
        <v>#REF!</v>
      </c>
      <c r="AC161" s="148" t="e">
        <f>Overview!CS10*Overview!$Z10/17*Results_energy_scenarios!$H161</f>
        <v>#REF!</v>
      </c>
      <c r="AD161" s="148" t="e">
        <f>Overview!CT10*Overview!$Z10/17*Results_energy_scenarios!$H161</f>
        <v>#REF!</v>
      </c>
      <c r="AE161" s="148" t="e">
        <f>Overview!CU10*Overview!$Z10/17*Results_energy_scenarios!$H161</f>
        <v>#REF!</v>
      </c>
      <c r="AF161" s="148" t="e">
        <f>Overview!CV10*Overview!$Z10/17*Results_energy_scenarios!$H161</f>
        <v>#REF!</v>
      </c>
      <c r="AG161" s="148" t="e">
        <f>Overview!CW10*Overview!$Z10/17*Results_energy_scenarios!$H161</f>
        <v>#REF!</v>
      </c>
      <c r="AH161" s="148" t="e">
        <f>Overview!CX10*Overview!$Z10/17*Results_energy_scenarios!$H161</f>
        <v>#REF!</v>
      </c>
      <c r="AI161" s="148" t="e">
        <f>Overview!CY10*Overview!$Z10/17*Results_energy_scenarios!$H161</f>
        <v>#REF!</v>
      </c>
      <c r="AJ161" s="148" t="e">
        <f>Overview!CZ10*Overview!$Z10/17*Results_energy_scenarios!$H161</f>
        <v>#REF!</v>
      </c>
      <c r="AK161" s="148" t="e">
        <f>Overview!DA10*Overview!$Z10/17*Results_energy_scenarios!$H161</f>
        <v>#REF!</v>
      </c>
      <c r="AL161" s="148" t="e">
        <f>Overview!DB10*Overview!$Z10/17*Results_energy_scenarios!$H161</f>
        <v>#REF!</v>
      </c>
      <c r="AM161" s="148" t="e">
        <f>Overview!DC10*Overview!$Z10/17*Results_energy_scenarios!$H161</f>
        <v>#REF!</v>
      </c>
      <c r="AN161" s="148" t="e">
        <f>Overview!DD10*Overview!$Z10/17*Results_energy_scenarios!$H161</f>
        <v>#REF!</v>
      </c>
      <c r="AO161" s="146" t="e">
        <f>Overview!DE10*Overview!$Z10/17*Results_energy_scenarios!$H161</f>
        <v>#REF!</v>
      </c>
    </row>
    <row r="162" spans="1:41">
      <c r="A162" t="s">
        <v>520</v>
      </c>
      <c r="B162" t="s">
        <v>361</v>
      </c>
      <c r="C162" t="s">
        <v>357</v>
      </c>
      <c r="D162" s="112" t="s">
        <v>358</v>
      </c>
      <c r="E162" s="103"/>
      <c r="F162" s="103"/>
      <c r="G162">
        <f>energy_data_per_scenario!D27*1000</f>
        <v>1630</v>
      </c>
      <c r="H162">
        <f>Overview!F35/(Results_energy_scenarios!G148+Results_energy_scenarios!G162+Results_energy_scenarios!G172)*Results_energy_scenarios!G162</f>
        <v>0.22868716456928617</v>
      </c>
      <c r="I162" s="205"/>
      <c r="J162" s="148" t="e">
        <f>Overview!AD35*Overview!$Z35/20*Results_energy_scenarios!$H162</f>
        <v>#REF!</v>
      </c>
      <c r="K162" s="148" t="e">
        <f>Overview!AE35*Overview!$Z35/20*Results_energy_scenarios!$H162</f>
        <v>#REF!</v>
      </c>
      <c r="L162" s="148" t="e">
        <f>Overview!AF35*Overview!$Z35/20*Results_energy_scenarios!$H162</f>
        <v>#REF!</v>
      </c>
      <c r="M162" s="148" t="e">
        <f>Overview!AG35*Overview!$Z35/20*Results_energy_scenarios!$H162</f>
        <v>#REF!</v>
      </c>
      <c r="N162" s="148" t="e">
        <f>Overview!AH35*Overview!$Z35/20*Results_energy_scenarios!$H162</f>
        <v>#REF!</v>
      </c>
      <c r="O162" s="148" t="e">
        <f>Overview!AI35*Overview!$Z35/20*Results_energy_scenarios!$H162</f>
        <v>#REF!</v>
      </c>
      <c r="P162" s="148" t="e">
        <f>Overview!AJ35*Overview!$Z35/20*Results_energy_scenarios!$H162</f>
        <v>#REF!</v>
      </c>
      <c r="Q162" s="148" t="e">
        <f>Overview!AK35*Overview!$Z35/20*Results_energy_scenarios!$H162</f>
        <v>#REF!</v>
      </c>
      <c r="R162" s="148" t="e">
        <f>Overview!AL35*Overview!$Z35/20*Results_energy_scenarios!$H162</f>
        <v>#REF!</v>
      </c>
      <c r="S162" s="148" t="e">
        <f>Overview!AM35*Overview!$Z35/20*Results_energy_scenarios!$H162</f>
        <v>#REF!</v>
      </c>
      <c r="T162" s="148" t="e">
        <f>Overview!AN35*Overview!$Z35/20*Results_energy_scenarios!$H162</f>
        <v>#REF!</v>
      </c>
      <c r="U162" s="148" t="e">
        <f>Overview!AO35*Overview!$Z35/20*Results_energy_scenarios!$H162</f>
        <v>#REF!</v>
      </c>
      <c r="V162" s="148" t="e">
        <f>Overview!AP35*Overview!$Z35/20*Results_energy_scenarios!$H162</f>
        <v>#REF!</v>
      </c>
      <c r="W162" s="148" t="e">
        <f>Overview!AQ35*Overview!$Z35/20*Results_energy_scenarios!$H162</f>
        <v>#REF!</v>
      </c>
      <c r="X162" s="148" t="e">
        <f>Overview!AR35*Overview!$Z35/20*Results_energy_scenarios!$H162</f>
        <v>#REF!</v>
      </c>
      <c r="Y162" s="101" t="e">
        <f>Overview!AS35*Overview!$Z35/20*Results_energy_scenarios!$H162</f>
        <v>#REF!</v>
      </c>
      <c r="Z162" s="148" t="e">
        <f>Overview!CP35*Overview!$Z35/20*Results_energy_scenarios!$H162</f>
        <v>#REF!</v>
      </c>
      <c r="AA162" s="148" t="e">
        <f>Overview!CQ35*Overview!$Z35/20*Results_energy_scenarios!$H162</f>
        <v>#REF!</v>
      </c>
      <c r="AB162" s="148" t="e">
        <f>Overview!CR35*Overview!$Z35/20*Results_energy_scenarios!$H162</f>
        <v>#REF!</v>
      </c>
      <c r="AC162" s="148" t="e">
        <f>Overview!CS35*Overview!$Z35/20*Results_energy_scenarios!$H162</f>
        <v>#REF!</v>
      </c>
      <c r="AD162" s="148" t="e">
        <f>Overview!CT35*Overview!$Z35/20*Results_energy_scenarios!$H162</f>
        <v>#REF!</v>
      </c>
      <c r="AE162" s="148" t="e">
        <f>Overview!CU35*Overview!$Z35/20*Results_energy_scenarios!$H162</f>
        <v>#REF!</v>
      </c>
      <c r="AF162" s="148" t="e">
        <f>Overview!CV35*Overview!$Z35/20*Results_energy_scenarios!$H162</f>
        <v>#REF!</v>
      </c>
      <c r="AG162" s="148" t="e">
        <f>Overview!CW35*Overview!$Z35/20*Results_energy_scenarios!$H162</f>
        <v>#REF!</v>
      </c>
      <c r="AH162" s="148" t="e">
        <f>Overview!CX35*Overview!$Z35/20*Results_energy_scenarios!$H162</f>
        <v>#REF!</v>
      </c>
      <c r="AI162" s="148" t="e">
        <f>Overview!CY35*Overview!$Z35/20*Results_energy_scenarios!$H162</f>
        <v>#REF!</v>
      </c>
      <c r="AJ162" s="148" t="e">
        <f>Overview!CZ35*Overview!$Z35/20*Results_energy_scenarios!$H162</f>
        <v>#REF!</v>
      </c>
      <c r="AK162" s="148" t="e">
        <f>Overview!DA35*Overview!$Z35/20*Results_energy_scenarios!$H162</f>
        <v>#REF!</v>
      </c>
      <c r="AL162" s="148" t="e">
        <f>Overview!DB35*Overview!$Z35/20*Results_energy_scenarios!$H162</f>
        <v>#REF!</v>
      </c>
      <c r="AM162" s="148" t="e">
        <f>Overview!DC35*Overview!$Z35/20*Results_energy_scenarios!$H162</f>
        <v>#REF!</v>
      </c>
      <c r="AN162" s="148" t="e">
        <f>Overview!DD35*Overview!$Z35/20*Results_energy_scenarios!$H162</f>
        <v>#REF!</v>
      </c>
      <c r="AO162" s="146" t="e">
        <f>Overview!DE35*Overview!$Z35/20*Results_energy_scenarios!$H162</f>
        <v>#REF!</v>
      </c>
    </row>
    <row r="163" spans="1:41">
      <c r="A163" t="s">
        <v>520</v>
      </c>
      <c r="B163" t="s">
        <v>361</v>
      </c>
      <c r="C163" t="s">
        <v>357</v>
      </c>
      <c r="D163" s="114" t="s">
        <v>378</v>
      </c>
      <c r="E163" s="103"/>
      <c r="F163" s="103"/>
      <c r="G163">
        <f>2243/(G172+G162+G148)*G162</f>
        <v>382.51621678175349</v>
      </c>
      <c r="H163" s="103"/>
      <c r="I163" s="205"/>
      <c r="J163" s="148" t="e">
        <f>J185*$G163</f>
        <v>#REF!</v>
      </c>
      <c r="K163" s="148" t="e">
        <f t="shared" ref="K163:AO163" si="109">K185*$G163</f>
        <v>#REF!</v>
      </c>
      <c r="L163" s="148" t="e">
        <f t="shared" si="109"/>
        <v>#REF!</v>
      </c>
      <c r="M163" s="148" t="e">
        <f t="shared" si="109"/>
        <v>#REF!</v>
      </c>
      <c r="N163" s="148" t="e">
        <f t="shared" si="109"/>
        <v>#REF!</v>
      </c>
      <c r="O163" s="148" t="e">
        <f t="shared" si="109"/>
        <v>#REF!</v>
      </c>
      <c r="P163" s="148" t="e">
        <f t="shared" si="109"/>
        <v>#REF!</v>
      </c>
      <c r="Q163" s="148" t="e">
        <f t="shared" si="109"/>
        <v>#REF!</v>
      </c>
      <c r="R163" s="148" t="e">
        <f t="shared" si="109"/>
        <v>#REF!</v>
      </c>
      <c r="S163" s="148" t="e">
        <f t="shared" si="109"/>
        <v>#REF!</v>
      </c>
      <c r="T163" s="148" t="e">
        <f t="shared" si="109"/>
        <v>#REF!</v>
      </c>
      <c r="U163" s="148" t="e">
        <f t="shared" si="109"/>
        <v>#REF!</v>
      </c>
      <c r="V163" s="148" t="e">
        <f t="shared" si="109"/>
        <v>#REF!</v>
      </c>
      <c r="W163" s="148" t="e">
        <f t="shared" si="109"/>
        <v>#REF!</v>
      </c>
      <c r="X163" s="148" t="e">
        <f t="shared" si="109"/>
        <v>#REF!</v>
      </c>
      <c r="Y163" s="101" t="e">
        <f t="shared" si="109"/>
        <v>#REF!</v>
      </c>
      <c r="Z163" s="148" t="e">
        <f t="shared" si="109"/>
        <v>#REF!</v>
      </c>
      <c r="AA163" s="148" t="e">
        <f t="shared" si="109"/>
        <v>#REF!</v>
      </c>
      <c r="AB163" s="148" t="e">
        <f t="shared" si="109"/>
        <v>#REF!</v>
      </c>
      <c r="AC163" s="148" t="e">
        <f t="shared" si="109"/>
        <v>#REF!</v>
      </c>
      <c r="AD163" s="148" t="e">
        <f t="shared" si="109"/>
        <v>#REF!</v>
      </c>
      <c r="AE163" s="148" t="e">
        <f t="shared" si="109"/>
        <v>#REF!</v>
      </c>
      <c r="AF163" s="148" t="e">
        <f t="shared" si="109"/>
        <v>#REF!</v>
      </c>
      <c r="AG163" s="148" t="e">
        <f t="shared" si="109"/>
        <v>#REF!</v>
      </c>
      <c r="AH163" s="148" t="e">
        <f t="shared" si="109"/>
        <v>#REF!</v>
      </c>
      <c r="AI163" s="148" t="e">
        <f t="shared" si="109"/>
        <v>#REF!</v>
      </c>
      <c r="AJ163" s="148" t="e">
        <f t="shared" si="109"/>
        <v>#REF!</v>
      </c>
      <c r="AK163" s="148" t="e">
        <f t="shared" si="109"/>
        <v>#REF!</v>
      </c>
      <c r="AL163" s="148" t="e">
        <f t="shared" si="109"/>
        <v>#REF!</v>
      </c>
      <c r="AM163" s="148" t="e">
        <f t="shared" si="109"/>
        <v>#REF!</v>
      </c>
      <c r="AN163" s="148" t="e">
        <f t="shared" si="109"/>
        <v>#REF!</v>
      </c>
      <c r="AO163" s="146" t="e">
        <f t="shared" si="109"/>
        <v>#REF!</v>
      </c>
    </row>
    <row r="164" spans="1:41">
      <c r="A164" t="s">
        <v>520</v>
      </c>
      <c r="B164" t="s">
        <v>361</v>
      </c>
      <c r="C164" t="s">
        <v>329</v>
      </c>
      <c r="D164" s="115" t="s">
        <v>322</v>
      </c>
      <c r="E164" s="103"/>
      <c r="F164" s="103"/>
      <c r="G164">
        <v>6151</v>
      </c>
      <c r="H164" s="103"/>
      <c r="I164" s="205"/>
      <c r="J164" s="148" t="e">
        <f>J142/$G142*$G164</f>
        <v>#REF!</v>
      </c>
      <c r="K164" s="148" t="e">
        <f t="shared" ref="K164:AO164" si="110">K142/$G142*$G164</f>
        <v>#REF!</v>
      </c>
      <c r="L164" s="148" t="e">
        <f t="shared" si="110"/>
        <v>#REF!</v>
      </c>
      <c r="M164" s="148" t="e">
        <f t="shared" si="110"/>
        <v>#REF!</v>
      </c>
      <c r="N164" s="148" t="e">
        <f t="shared" si="110"/>
        <v>#REF!</v>
      </c>
      <c r="O164" s="148" t="e">
        <f t="shared" si="110"/>
        <v>#REF!</v>
      </c>
      <c r="P164" s="148" t="e">
        <f t="shared" si="110"/>
        <v>#REF!</v>
      </c>
      <c r="Q164" s="148" t="e">
        <f t="shared" si="110"/>
        <v>#REF!</v>
      </c>
      <c r="R164" s="148" t="e">
        <f t="shared" si="110"/>
        <v>#REF!</v>
      </c>
      <c r="S164" s="148" t="e">
        <f t="shared" si="110"/>
        <v>#REF!</v>
      </c>
      <c r="T164" s="148" t="e">
        <f t="shared" si="110"/>
        <v>#REF!</v>
      </c>
      <c r="U164" s="148" t="e">
        <f t="shared" si="110"/>
        <v>#REF!</v>
      </c>
      <c r="V164" s="148" t="e">
        <f t="shared" si="110"/>
        <v>#REF!</v>
      </c>
      <c r="W164" s="148" t="e">
        <f t="shared" si="110"/>
        <v>#REF!</v>
      </c>
      <c r="X164" s="148" t="e">
        <f t="shared" si="110"/>
        <v>#REF!</v>
      </c>
      <c r="Y164" s="148" t="e">
        <f t="shared" si="110"/>
        <v>#REF!</v>
      </c>
      <c r="Z164" s="148" t="e">
        <f t="shared" si="110"/>
        <v>#REF!</v>
      </c>
      <c r="AA164" s="148" t="e">
        <f t="shared" si="110"/>
        <v>#REF!</v>
      </c>
      <c r="AB164" s="148" t="e">
        <f t="shared" si="110"/>
        <v>#REF!</v>
      </c>
      <c r="AC164" s="148" t="e">
        <f t="shared" si="110"/>
        <v>#REF!</v>
      </c>
      <c r="AD164" s="148" t="e">
        <f t="shared" si="110"/>
        <v>#REF!</v>
      </c>
      <c r="AE164" s="148" t="e">
        <f t="shared" si="110"/>
        <v>#REF!</v>
      </c>
      <c r="AF164" s="148" t="e">
        <f t="shared" si="110"/>
        <v>#REF!</v>
      </c>
      <c r="AG164" s="148" t="e">
        <f t="shared" si="110"/>
        <v>#REF!</v>
      </c>
      <c r="AH164" s="148" t="e">
        <f t="shared" si="110"/>
        <v>#REF!</v>
      </c>
      <c r="AI164" s="148" t="e">
        <f t="shared" si="110"/>
        <v>#REF!</v>
      </c>
      <c r="AJ164" s="148" t="e">
        <f t="shared" si="110"/>
        <v>#REF!</v>
      </c>
      <c r="AK164" s="148" t="e">
        <f t="shared" si="110"/>
        <v>#REF!</v>
      </c>
      <c r="AL164" s="148" t="e">
        <f t="shared" si="110"/>
        <v>#REF!</v>
      </c>
      <c r="AM164" s="148" t="e">
        <f t="shared" si="110"/>
        <v>#REF!</v>
      </c>
      <c r="AN164" s="148" t="e">
        <f t="shared" si="110"/>
        <v>#REF!</v>
      </c>
      <c r="AO164" s="148" t="e">
        <f t="shared" si="110"/>
        <v>#REF!</v>
      </c>
    </row>
    <row r="165" spans="1:41">
      <c r="A165" t="s">
        <v>520</v>
      </c>
      <c r="B165" t="s">
        <v>361</v>
      </c>
      <c r="C165" t="s">
        <v>329</v>
      </c>
      <c r="D165" s="115" t="s">
        <v>343</v>
      </c>
      <c r="E165" s="103"/>
      <c r="F165" s="103"/>
      <c r="G165">
        <f>Overview!J13</f>
        <v>5702.3223926927103</v>
      </c>
      <c r="H165">
        <f>Overview!F13</f>
        <v>0.64921823111594479</v>
      </c>
      <c r="I165" s="205"/>
      <c r="J165" s="148" t="e">
        <f>Overview!AD13*Overview!$Z13/20*Results_energy_scenarios!$H165+Overview!AD14*Overview!$Z14*Results_energy_scenarios!$G165</f>
        <v>#REF!</v>
      </c>
      <c r="K165" s="148" t="e">
        <f>Overview!AE13*Overview!$Z13/20*Results_energy_scenarios!$H165+Overview!AE14*Overview!$Z14*Results_energy_scenarios!$G165</f>
        <v>#REF!</v>
      </c>
      <c r="L165" s="148" t="e">
        <f>Overview!AF13*Overview!$Z13/20*Results_energy_scenarios!$H165+Overview!AF14*Overview!$Z14*Results_energy_scenarios!$G165</f>
        <v>#REF!</v>
      </c>
      <c r="M165" s="148" t="e">
        <f>Overview!AG13*Overview!$Z13/20*Results_energy_scenarios!$H165+Overview!AG14*Overview!$Z14*Results_energy_scenarios!$G165</f>
        <v>#REF!</v>
      </c>
      <c r="N165" s="148" t="e">
        <f>Overview!AH13*Overview!$Z13/20*Results_energy_scenarios!$H165+Overview!AH14*Overview!$Z14*Results_energy_scenarios!$G165</f>
        <v>#REF!</v>
      </c>
      <c r="O165" s="148" t="e">
        <f>Overview!AI13*Overview!$Z13/20*Results_energy_scenarios!$H165+Overview!AI14*Overview!$Z14*Results_energy_scenarios!$G165</f>
        <v>#REF!</v>
      </c>
      <c r="P165" s="148" t="e">
        <f>Overview!AJ13*Overview!$Z13/20*Results_energy_scenarios!$H165+Overview!AJ14*Overview!$Z14*Results_energy_scenarios!$G165</f>
        <v>#REF!</v>
      </c>
      <c r="Q165" s="148" t="e">
        <f>Overview!AK13*Overview!$Z13/20*Results_energy_scenarios!$H165+Overview!AK14*Overview!$Z14*Results_energy_scenarios!$G165</f>
        <v>#REF!</v>
      </c>
      <c r="R165" s="148" t="e">
        <f>Overview!AL13*Overview!$Z13/20*Results_energy_scenarios!$H165+Overview!AL14*Overview!$Z14*Results_energy_scenarios!$G165</f>
        <v>#REF!</v>
      </c>
      <c r="S165" s="148" t="e">
        <f>Overview!AM13*Overview!$Z13/20*Results_energy_scenarios!$H165+Overview!AM14*Overview!$Z14*Results_energy_scenarios!$G165</f>
        <v>#REF!</v>
      </c>
      <c r="T165" s="148" t="e">
        <f>Overview!AN13*Overview!$Z13/20*Results_energy_scenarios!$H165+Overview!AN14*Overview!$Z14*Results_energy_scenarios!$G165</f>
        <v>#REF!</v>
      </c>
      <c r="U165" s="148" t="e">
        <f>Overview!AO13*Overview!$Z13/20*Results_energy_scenarios!$H165+Overview!AO14*Overview!$Z14*Results_energy_scenarios!$G165</f>
        <v>#REF!</v>
      </c>
      <c r="V165" s="148" t="e">
        <f>Overview!AP13*Overview!$Z13/20*Results_energy_scenarios!$H165+Overview!AP14*Overview!$Z14*Results_energy_scenarios!$G165</f>
        <v>#REF!</v>
      </c>
      <c r="W165" s="148" t="e">
        <f>Overview!AQ13*Overview!$Z13/20*Results_energy_scenarios!$H165+Overview!AQ14*Overview!$Z14*Results_energy_scenarios!$G165</f>
        <v>#REF!</v>
      </c>
      <c r="X165" s="148" t="e">
        <f>Overview!AR13*Overview!$Z13/20*Results_energy_scenarios!$H165+Overview!AR14*Overview!$Z14*Results_energy_scenarios!$G165</f>
        <v>#REF!</v>
      </c>
      <c r="Y165" s="101" t="e">
        <f>Overview!AS13*Overview!$Z13/20*Results_energy_scenarios!$H165+Overview!AS14*Overview!$Z14*Results_energy_scenarios!$G165</f>
        <v>#REF!</v>
      </c>
      <c r="Z165" s="148" t="e">
        <f>Overview!CP13*Overview!$Z13/20*Results_energy_scenarios!$H165+Overview!CP14*Overview!$Z14*Results_energy_scenarios!$G165</f>
        <v>#REF!</v>
      </c>
      <c r="AA165" s="148" t="e">
        <f>Overview!CQ13*Overview!$Z13/20*Results_energy_scenarios!$H165+Overview!CQ14*Overview!$Z14*Results_energy_scenarios!$G165</f>
        <v>#REF!</v>
      </c>
      <c r="AB165" s="148" t="e">
        <f>Overview!CR13*Overview!$Z13/20*Results_energy_scenarios!$H165+Overview!CR14*Overview!$Z14*Results_energy_scenarios!$G165</f>
        <v>#REF!</v>
      </c>
      <c r="AC165" s="148" t="e">
        <f>Overview!CS13*Overview!$Z13/20*Results_energy_scenarios!$H165+Overview!CS14*Overview!$Z14*Results_energy_scenarios!$G165</f>
        <v>#REF!</v>
      </c>
      <c r="AD165" s="148" t="e">
        <f>Overview!CT13*Overview!$Z13/20*Results_energy_scenarios!$H165+Overview!CT14*Overview!$Z14*Results_energy_scenarios!$G165</f>
        <v>#REF!</v>
      </c>
      <c r="AE165" s="148" t="e">
        <f>Overview!CU13*Overview!$Z13/20*Results_energy_scenarios!$H165+Overview!CU14*Overview!$Z14*Results_energy_scenarios!$G165</f>
        <v>#REF!</v>
      </c>
      <c r="AF165" s="148" t="e">
        <f>Overview!CV13*Overview!$Z13/20*Results_energy_scenarios!$H165+Overview!CV14*Overview!$Z14*Results_energy_scenarios!$G165</f>
        <v>#REF!</v>
      </c>
      <c r="AG165" s="148" t="e">
        <f>Overview!CW13*Overview!$Z13/20*Results_energy_scenarios!$H165+Overview!CW14*Overview!$Z14*Results_energy_scenarios!$G165</f>
        <v>#REF!</v>
      </c>
      <c r="AH165" s="148" t="e">
        <f>Overview!CX13*Overview!$Z13/20*Results_energy_scenarios!$H165+Overview!CX14*Overview!$Z14*Results_energy_scenarios!$G165</f>
        <v>#REF!</v>
      </c>
      <c r="AI165" s="148" t="e">
        <f>Overview!CY13*Overview!$Z13/20*Results_energy_scenarios!$H165+Overview!CY14*Overview!$Z14*Results_energy_scenarios!$G165</f>
        <v>#REF!</v>
      </c>
      <c r="AJ165" s="148" t="e">
        <f>Overview!CZ13*Overview!$Z13/20*Results_energy_scenarios!$H165+Overview!CZ14*Overview!$Z14*Results_energy_scenarios!$G165</f>
        <v>#REF!</v>
      </c>
      <c r="AK165" s="148" t="e">
        <f>Overview!DA13*Overview!$Z13/20*Results_energy_scenarios!$H165+Overview!DA14*Overview!$Z14*Results_energy_scenarios!$G165</f>
        <v>#REF!</v>
      </c>
      <c r="AL165" s="148" t="e">
        <f>Overview!DB13*Overview!$Z13/20*Results_energy_scenarios!$H165+Overview!DB14*Overview!$Z14*Results_energy_scenarios!$G165</f>
        <v>#REF!</v>
      </c>
      <c r="AM165" s="148" t="e">
        <f>Overview!DC13*Overview!$Z13/20*Results_energy_scenarios!$H165+Overview!DC14*Overview!$Z14*Results_energy_scenarios!$G165</f>
        <v>#REF!</v>
      </c>
      <c r="AN165" s="148" t="e">
        <f>Overview!DD13*Overview!$Z13/20*Results_energy_scenarios!$H165+Overview!DD14*Overview!$Z14*Results_energy_scenarios!$G165</f>
        <v>#REF!</v>
      </c>
      <c r="AO165" s="146" t="e">
        <f>Overview!DE13*Overview!$Z13/20*Results_energy_scenarios!$H165+Overview!DE14*Overview!$Z14*Results_energy_scenarios!$G165</f>
        <v>#REF!</v>
      </c>
    </row>
    <row r="166" spans="1:41">
      <c r="A166" t="s">
        <v>520</v>
      </c>
      <c r="B166" t="s">
        <v>361</v>
      </c>
      <c r="C166" t="s">
        <v>330</v>
      </c>
      <c r="D166" s="116" t="s">
        <v>347</v>
      </c>
      <c r="E166" s="103"/>
      <c r="F166" s="103"/>
      <c r="G166">
        <f>energy_data_per_scenario!D20*1000</f>
        <v>6050</v>
      </c>
      <c r="H166">
        <f>Overview!F22/(G166*G176)*G166</f>
        <v>1.138800565931161E-4</v>
      </c>
      <c r="I166" s="205"/>
      <c r="J166" s="148" t="e">
        <f>Overview!AD22*Overview!$Z22/25*$H166</f>
        <v>#REF!</v>
      </c>
      <c r="K166" s="148" t="e">
        <f>Overview!AE22*Overview!$Z22/25*$H166</f>
        <v>#REF!</v>
      </c>
      <c r="L166" s="148" t="e">
        <f>Overview!AF22*Overview!$Z22/25*$H166</f>
        <v>#REF!</v>
      </c>
      <c r="M166" s="148" t="e">
        <f>Overview!AG22*Overview!$Z22/25*$H166</f>
        <v>#REF!</v>
      </c>
      <c r="N166" s="148" t="e">
        <f>Overview!AH22*Overview!$Z22/25*$H166</f>
        <v>#REF!</v>
      </c>
      <c r="O166" s="148" t="e">
        <f>Overview!AI22*Overview!$Z22/25*$H166</f>
        <v>#REF!</v>
      </c>
      <c r="P166" s="148" t="e">
        <f>Overview!AJ22*Overview!$Z22/25*$H166</f>
        <v>#REF!</v>
      </c>
      <c r="Q166" s="148" t="e">
        <f>Overview!AK22*Overview!$Z22/25*$H166</f>
        <v>#REF!</v>
      </c>
      <c r="R166" s="148" t="e">
        <f>Overview!AL22*Overview!$Z22/25*$H166</f>
        <v>#REF!</v>
      </c>
      <c r="S166" s="148" t="e">
        <f>Overview!AM22*Overview!$Z22/25*$H166</f>
        <v>#REF!</v>
      </c>
      <c r="T166" s="148" t="e">
        <f>Overview!AN22*Overview!$Z22/25*$H166</f>
        <v>#REF!</v>
      </c>
      <c r="U166" s="148" t="e">
        <f>Overview!AO22*Overview!$Z22/25*$H166</f>
        <v>#REF!</v>
      </c>
      <c r="V166" s="148" t="e">
        <f>Overview!AP22*Overview!$Z22/25*$H166</f>
        <v>#REF!</v>
      </c>
      <c r="W166" s="148" t="e">
        <f>Overview!AQ22*Overview!$Z22/25*$H166</f>
        <v>#REF!</v>
      </c>
      <c r="X166" s="148" t="e">
        <f>Overview!AR22*Overview!$Z22/25*$H166</f>
        <v>#REF!</v>
      </c>
      <c r="Y166" s="101" t="e">
        <f>Overview!AS22*Overview!$Z22/25*$H166</f>
        <v>#REF!</v>
      </c>
      <c r="Z166" s="148" t="e">
        <f>Overview!CP22*Overview!$Z22/25*$H166</f>
        <v>#REF!</v>
      </c>
      <c r="AA166" s="148" t="e">
        <f>Overview!CQ22*Overview!$Z22/25*$H166</f>
        <v>#REF!</v>
      </c>
      <c r="AB166" s="148" t="e">
        <f>Overview!CR22*Overview!$Z22/25*$H166</f>
        <v>#REF!</v>
      </c>
      <c r="AC166" s="148" t="e">
        <f>Overview!CS22*Overview!$Z22/25*$H166</f>
        <v>#REF!</v>
      </c>
      <c r="AD166" s="148" t="e">
        <f>Overview!CT22*Overview!$Z22/25*$H166</f>
        <v>#REF!</v>
      </c>
      <c r="AE166" s="148" t="e">
        <f>Overview!CU22*Overview!$Z22/25*$H166</f>
        <v>#REF!</v>
      </c>
      <c r="AF166" s="148" t="e">
        <f>Overview!CV22*Overview!$Z22/25*$H166</f>
        <v>#REF!</v>
      </c>
      <c r="AG166" s="148" t="e">
        <f>Overview!CW22*Overview!$Z22/25*$H166</f>
        <v>#REF!</v>
      </c>
      <c r="AH166" s="148" t="e">
        <f>Overview!CX22*Overview!$Z22/25*$H166</f>
        <v>#REF!</v>
      </c>
      <c r="AI166" s="148" t="e">
        <f>Overview!CY22*Overview!$Z22/25*$H166</f>
        <v>#REF!</v>
      </c>
      <c r="AJ166" s="148" t="e">
        <f>Overview!CZ22*Overview!$Z22/25*$H166</f>
        <v>#REF!</v>
      </c>
      <c r="AK166" s="148" t="e">
        <f>Overview!DA22*Overview!$Z22/25*$H166</f>
        <v>#REF!</v>
      </c>
      <c r="AL166" s="148" t="e">
        <f>Overview!DB22*Overview!$Z22/25*$H166</f>
        <v>#REF!</v>
      </c>
      <c r="AM166" s="148" t="e">
        <f>Overview!DC22*Overview!$Z22/25*$H166</f>
        <v>#REF!</v>
      </c>
      <c r="AN166" s="148" t="e">
        <f>Overview!DD22*Overview!$Z22/25*$H166</f>
        <v>#REF!</v>
      </c>
      <c r="AO166" s="146" t="e">
        <f>Overview!DE22*Overview!$Z22/25*$H166</f>
        <v>#REF!</v>
      </c>
    </row>
    <row r="167" spans="1:41">
      <c r="A167" t="s">
        <v>520</v>
      </c>
      <c r="B167" t="s">
        <v>361</v>
      </c>
      <c r="C167" t="s">
        <v>330</v>
      </c>
      <c r="D167" t="s">
        <v>522</v>
      </c>
      <c r="E167" s="103"/>
      <c r="F167" s="103"/>
      <c r="G167">
        <v>77</v>
      </c>
      <c r="H167">
        <f>Overview!F56</f>
        <v>2.4413634538967759E-2</v>
      </c>
      <c r="I167" s="205"/>
      <c r="J167" s="148" t="e">
        <f>Overview!AD56*Overview!$Z56/20*Results_energy_scenarios!$H167</f>
        <v>#REF!</v>
      </c>
      <c r="K167" s="148" t="e">
        <f>Overview!AE56*Overview!$Z56/20*Results_energy_scenarios!$H167</f>
        <v>#REF!</v>
      </c>
      <c r="L167" s="148" t="e">
        <f>Overview!AF56*Overview!$Z56/20*Results_energy_scenarios!$H167</f>
        <v>#REF!</v>
      </c>
      <c r="M167" s="148" t="e">
        <f>Overview!AG56*Overview!$Z56/20*Results_energy_scenarios!$H167</f>
        <v>#REF!</v>
      </c>
      <c r="N167" s="148" t="e">
        <f>Overview!AH56*Overview!$Z56/20*Results_energy_scenarios!$H167</f>
        <v>#REF!</v>
      </c>
      <c r="O167" s="148" t="e">
        <f>Overview!AI56*Overview!$Z56/20*Results_energy_scenarios!$H167</f>
        <v>#REF!</v>
      </c>
      <c r="P167" s="148" t="e">
        <f>Overview!AJ56*Overview!$Z56/20*Results_energy_scenarios!$H167</f>
        <v>#REF!</v>
      </c>
      <c r="Q167" s="148" t="e">
        <f>Overview!AK56*Overview!$Z56/20*Results_energy_scenarios!$H167</f>
        <v>#REF!</v>
      </c>
      <c r="R167" s="148" t="e">
        <f>Overview!AL56*Overview!$Z56/20*Results_energy_scenarios!$H167</f>
        <v>#REF!</v>
      </c>
      <c r="S167" s="148" t="e">
        <f>Overview!AM56*Overview!$Z56/20*Results_energy_scenarios!$H167</f>
        <v>#REF!</v>
      </c>
      <c r="T167" s="148" t="e">
        <f>Overview!AN56*Overview!$Z56/20*Results_energy_scenarios!$H167</f>
        <v>#REF!</v>
      </c>
      <c r="U167" s="148" t="e">
        <f>Overview!AO56*Overview!$Z56/20*Results_energy_scenarios!$H167</f>
        <v>#REF!</v>
      </c>
      <c r="V167" s="148" t="e">
        <f>Overview!AP56*Overview!$Z56/20*Results_energy_scenarios!$H167</f>
        <v>#REF!</v>
      </c>
      <c r="W167" s="148" t="e">
        <f>Overview!AQ56*Overview!$Z56/20*Results_energy_scenarios!$H167</f>
        <v>#REF!</v>
      </c>
      <c r="X167" s="148" t="e">
        <f>Overview!AR56*Overview!$Z56/20*Results_energy_scenarios!$H167</f>
        <v>#REF!</v>
      </c>
      <c r="Y167" s="101" t="e">
        <f>Overview!AS56*Overview!$Z56/20*Results_energy_scenarios!$H167</f>
        <v>#REF!</v>
      </c>
      <c r="Z167" s="148" t="e">
        <f>Overview!CP56*Overview!$Z56/20*Results_energy_scenarios!$H167</f>
        <v>#REF!</v>
      </c>
      <c r="AA167" s="148" t="e">
        <f>Overview!CQ56*Overview!$Z56/20*Results_energy_scenarios!$H167</f>
        <v>#REF!</v>
      </c>
      <c r="AB167" s="148" t="e">
        <f>Overview!CR56*Overview!$Z56/20*Results_energy_scenarios!$H167</f>
        <v>#REF!</v>
      </c>
      <c r="AC167" s="148" t="e">
        <f>Overview!CS56*Overview!$Z56/20*Results_energy_scenarios!$H167</f>
        <v>#REF!</v>
      </c>
      <c r="AD167" s="148" t="e">
        <f>Overview!CT56*Overview!$Z56/20*Results_energy_scenarios!$H167</f>
        <v>#REF!</v>
      </c>
      <c r="AE167" s="148" t="e">
        <f>Overview!CU56*Overview!$Z56/20*Results_energy_scenarios!$H167</f>
        <v>#REF!</v>
      </c>
      <c r="AF167" s="148" t="e">
        <f>Overview!CV56*Overview!$Z56/20*Results_energy_scenarios!$H167</f>
        <v>#REF!</v>
      </c>
      <c r="AG167" s="148" t="e">
        <f>Overview!CW56*Overview!$Z56/20*Results_energy_scenarios!$H167</f>
        <v>#REF!</v>
      </c>
      <c r="AH167" s="148" t="e">
        <f>Overview!CX56*Overview!$Z56/20*Results_energy_scenarios!$H167</f>
        <v>#REF!</v>
      </c>
      <c r="AI167" s="148" t="e">
        <f>Overview!CY56*Overview!$Z56/20*Results_energy_scenarios!$H167</f>
        <v>#REF!</v>
      </c>
      <c r="AJ167" s="148" t="e">
        <f>Overview!CZ56*Overview!$Z56/20*Results_energy_scenarios!$H167</f>
        <v>#REF!</v>
      </c>
      <c r="AK167" s="148" t="e">
        <f>Overview!DA56*Overview!$Z56/20*Results_energy_scenarios!$H167</f>
        <v>#REF!</v>
      </c>
      <c r="AL167" s="148" t="e">
        <f>Overview!DB56*Overview!$Z56/20*Results_energy_scenarios!$H167</f>
        <v>#REF!</v>
      </c>
      <c r="AM167" s="148" t="e">
        <f>Overview!DC56*Overview!$Z56/20*Results_energy_scenarios!$H167</f>
        <v>#REF!</v>
      </c>
      <c r="AN167" s="148" t="e">
        <f>Overview!DD56*Overview!$Z56/20*Results_energy_scenarios!$H167</f>
        <v>#REF!</v>
      </c>
      <c r="AO167" s="146" t="e">
        <f>Overview!DE56*Overview!$Z56/20*Results_energy_scenarios!$H167</f>
        <v>#REF!</v>
      </c>
    </row>
    <row r="168" spans="1:41">
      <c r="A168" t="s">
        <v>520</v>
      </c>
      <c r="B168" t="s">
        <v>361</v>
      </c>
      <c r="C168" t="s">
        <v>330</v>
      </c>
      <c r="D168" s="114" t="s">
        <v>526</v>
      </c>
      <c r="E168" s="103"/>
      <c r="F168" s="103"/>
      <c r="G168">
        <v>99</v>
      </c>
      <c r="H168" s="103"/>
      <c r="I168" s="205"/>
      <c r="J168" s="148" t="e">
        <f>J185*$G168</f>
        <v>#REF!</v>
      </c>
      <c r="K168" s="148" t="e">
        <f t="shared" ref="K168:AO168" si="111">K185*$G168</f>
        <v>#REF!</v>
      </c>
      <c r="L168" s="148" t="e">
        <f t="shared" si="111"/>
        <v>#REF!</v>
      </c>
      <c r="M168" s="148" t="e">
        <f t="shared" si="111"/>
        <v>#REF!</v>
      </c>
      <c r="N168" s="148" t="e">
        <f t="shared" si="111"/>
        <v>#REF!</v>
      </c>
      <c r="O168" s="148" t="e">
        <f t="shared" si="111"/>
        <v>#REF!</v>
      </c>
      <c r="P168" s="148" t="e">
        <f t="shared" si="111"/>
        <v>#REF!</v>
      </c>
      <c r="Q168" s="148" t="e">
        <f t="shared" si="111"/>
        <v>#REF!</v>
      </c>
      <c r="R168" s="148" t="e">
        <f t="shared" si="111"/>
        <v>#REF!</v>
      </c>
      <c r="S168" s="148" t="e">
        <f t="shared" si="111"/>
        <v>#REF!</v>
      </c>
      <c r="T168" s="148" t="e">
        <f t="shared" si="111"/>
        <v>#REF!</v>
      </c>
      <c r="U168" s="148" t="e">
        <f t="shared" si="111"/>
        <v>#REF!</v>
      </c>
      <c r="V168" s="148" t="e">
        <f t="shared" si="111"/>
        <v>#REF!</v>
      </c>
      <c r="W168" s="148" t="e">
        <f t="shared" si="111"/>
        <v>#REF!</v>
      </c>
      <c r="X168" s="148" t="e">
        <f t="shared" si="111"/>
        <v>#REF!</v>
      </c>
      <c r="Y168" s="101" t="e">
        <f t="shared" si="111"/>
        <v>#REF!</v>
      </c>
      <c r="Z168" s="148" t="e">
        <f t="shared" si="111"/>
        <v>#REF!</v>
      </c>
      <c r="AA168" s="148" t="e">
        <f t="shared" si="111"/>
        <v>#REF!</v>
      </c>
      <c r="AB168" s="148" t="e">
        <f t="shared" si="111"/>
        <v>#REF!</v>
      </c>
      <c r="AC168" s="148" t="e">
        <f t="shared" si="111"/>
        <v>#REF!</v>
      </c>
      <c r="AD168" s="148" t="e">
        <f t="shared" si="111"/>
        <v>#REF!</v>
      </c>
      <c r="AE168" s="148" t="e">
        <f t="shared" si="111"/>
        <v>#REF!</v>
      </c>
      <c r="AF168" s="148" t="e">
        <f t="shared" si="111"/>
        <v>#REF!</v>
      </c>
      <c r="AG168" s="148" t="e">
        <f t="shared" si="111"/>
        <v>#REF!</v>
      </c>
      <c r="AH168" s="148" t="e">
        <f t="shared" si="111"/>
        <v>#REF!</v>
      </c>
      <c r="AI168" s="148" t="e">
        <f t="shared" si="111"/>
        <v>#REF!</v>
      </c>
      <c r="AJ168" s="148" t="e">
        <f t="shared" si="111"/>
        <v>#REF!</v>
      </c>
      <c r="AK168" s="148" t="e">
        <f t="shared" si="111"/>
        <v>#REF!</v>
      </c>
      <c r="AL168" s="148" t="e">
        <f t="shared" si="111"/>
        <v>#REF!</v>
      </c>
      <c r="AM168" s="148" t="e">
        <f t="shared" si="111"/>
        <v>#REF!</v>
      </c>
      <c r="AN168" s="148" t="e">
        <f t="shared" si="111"/>
        <v>#REF!</v>
      </c>
      <c r="AO168" s="146" t="e">
        <f t="shared" si="111"/>
        <v>#REF!</v>
      </c>
    </row>
    <row r="169" spans="1:41">
      <c r="A169" t="s">
        <v>520</v>
      </c>
      <c r="B169" t="s">
        <v>361</v>
      </c>
      <c r="C169" t="s">
        <v>330</v>
      </c>
      <c r="D169" s="113" t="s">
        <v>339</v>
      </c>
      <c r="E169" s="103"/>
      <c r="F169" s="103"/>
      <c r="G169">
        <f>G178/0.18/(G170+G178)*G170</f>
        <v>3.4486203104139183E-2</v>
      </c>
      <c r="H169" s="103"/>
      <c r="I169" s="205"/>
      <c r="J169" s="148" t="e">
        <f>Overview!AD5*Overview!$Z5*$G169</f>
        <v>#REF!</v>
      </c>
      <c r="K169" s="148" t="e">
        <f>Overview!AE5*Overview!$Z5*$G169</f>
        <v>#REF!</v>
      </c>
      <c r="L169" s="148" t="e">
        <f>Overview!AF5*Overview!$Z5*$G169</f>
        <v>#REF!</v>
      </c>
      <c r="M169" s="148" t="e">
        <f>Overview!AG5*Overview!$Z5*$G169</f>
        <v>#REF!</v>
      </c>
      <c r="N169" s="148" t="e">
        <f>Overview!AH5*Overview!$Z5*$G169</f>
        <v>#REF!</v>
      </c>
      <c r="O169" s="148" t="e">
        <f>Overview!AI5*Overview!$Z5*$G169</f>
        <v>#REF!</v>
      </c>
      <c r="P169" s="148" t="e">
        <f>Overview!AJ5*Overview!$Z5*$G169</f>
        <v>#REF!</v>
      </c>
      <c r="Q169" s="148" t="e">
        <f>Overview!AK5*Overview!$Z5*$G169</f>
        <v>#REF!</v>
      </c>
      <c r="R169" s="148" t="e">
        <f>Overview!AL5*Overview!$Z5*$G169</f>
        <v>#REF!</v>
      </c>
      <c r="S169" s="148" t="e">
        <f>Overview!AM5*Overview!$Z5*$G169</f>
        <v>#REF!</v>
      </c>
      <c r="T169" s="148" t="e">
        <f>Overview!AN5*Overview!$Z5*$G169</f>
        <v>#REF!</v>
      </c>
      <c r="U169" s="148" t="e">
        <f>Overview!AO5*Overview!$Z5*$G169</f>
        <v>#REF!</v>
      </c>
      <c r="V169" s="148" t="e">
        <f>Overview!AP5*Overview!$Z5*$G169</f>
        <v>#REF!</v>
      </c>
      <c r="W169" s="148" t="e">
        <f>Overview!AQ5*Overview!$Z5*$G169</f>
        <v>#REF!</v>
      </c>
      <c r="X169" s="148" t="e">
        <f>Overview!AR5*Overview!$Z5*$G169</f>
        <v>#REF!</v>
      </c>
      <c r="Y169" s="101" t="e">
        <f>Overview!AS5*Overview!$Z5*$G169</f>
        <v>#REF!</v>
      </c>
      <c r="Z169" s="148" t="e">
        <f>Overview!CP5*Overview!$Z5*$G169</f>
        <v>#REF!</v>
      </c>
      <c r="AA169" s="148" t="e">
        <f>Overview!CQ5*Overview!$Z5*$G169</f>
        <v>#REF!</v>
      </c>
      <c r="AB169" s="148" t="e">
        <f>Overview!CR5*Overview!$Z5*$G169</f>
        <v>#REF!</v>
      </c>
      <c r="AC169" s="148" t="e">
        <f>Overview!CS5*Overview!$Z5*$G169</f>
        <v>#REF!</v>
      </c>
      <c r="AD169" s="148" t="e">
        <f>Overview!CT5*Overview!$Z5*$G169</f>
        <v>#REF!</v>
      </c>
      <c r="AE169" s="148" t="e">
        <f>Overview!CU5*Overview!$Z5*$G169</f>
        <v>#REF!</v>
      </c>
      <c r="AF169" s="148" t="e">
        <f>Overview!CV5*Overview!$Z5*$G169</f>
        <v>#REF!</v>
      </c>
      <c r="AG169" s="148" t="e">
        <f>Overview!CW5*Overview!$Z5*$G169</f>
        <v>#REF!</v>
      </c>
      <c r="AH169" s="148" t="e">
        <f>Overview!CX5*Overview!$Z5*$G169</f>
        <v>#REF!</v>
      </c>
      <c r="AI169" s="148" t="e">
        <f>Overview!CY5*Overview!$Z5*$G169</f>
        <v>#REF!</v>
      </c>
      <c r="AJ169" s="148" t="e">
        <f>Overview!CZ5*Overview!$Z5*$G169</f>
        <v>#REF!</v>
      </c>
      <c r="AK169" s="148" t="e">
        <f>Overview!DA5*Overview!$Z5*$G169</f>
        <v>#REF!</v>
      </c>
      <c r="AL169" s="148" t="e">
        <f>Overview!DB5*Overview!$Z5*$G169</f>
        <v>#REF!</v>
      </c>
      <c r="AM169" s="148" t="e">
        <f>Overview!DC5*Overview!$Z5*$G169</f>
        <v>#REF!</v>
      </c>
      <c r="AN169" s="148" t="e">
        <f>Overview!DD5*Overview!$Z5*$G169</f>
        <v>#REF!</v>
      </c>
      <c r="AO169" s="146" t="e">
        <f>Overview!DE5*Overview!$Z5*$G169</f>
        <v>#REF!</v>
      </c>
    </row>
    <row r="170" spans="1:41">
      <c r="A170" t="s">
        <v>520</v>
      </c>
      <c r="B170" t="s">
        <v>361</v>
      </c>
      <c r="C170" t="s">
        <v>330</v>
      </c>
      <c r="D170" s="116" t="s">
        <v>399</v>
      </c>
      <c r="E170" s="103"/>
      <c r="F170" s="103"/>
      <c r="G170">
        <f>G178*2.94</f>
        <v>2.4457615241455507E-2</v>
      </c>
      <c r="H170">
        <f>Overview!F20/(G178+G170)*G170</f>
        <v>6.3082612874984985E-6</v>
      </c>
      <c r="I170" s="205"/>
      <c r="J170" s="148" t="e">
        <f>Overview!AD20*Overview!$Z20/25*Results_energy_scenarios!$H170</f>
        <v>#REF!</v>
      </c>
      <c r="K170" s="148" t="e">
        <f>Overview!AE20*Overview!$Z20/25*Results_energy_scenarios!$H170</f>
        <v>#REF!</v>
      </c>
      <c r="L170" s="148" t="e">
        <f>Overview!AF20*Overview!$Z20/25*Results_energy_scenarios!$H170</f>
        <v>#REF!</v>
      </c>
      <c r="M170" s="148" t="e">
        <f>Overview!AG20*Overview!$Z20/25*Results_energy_scenarios!$H170</f>
        <v>#REF!</v>
      </c>
      <c r="N170" s="148" t="e">
        <f>Overview!AH20*Overview!$Z20/25*Results_energy_scenarios!$H170</f>
        <v>#REF!</v>
      </c>
      <c r="O170" s="148" t="e">
        <f>Overview!AI20*Overview!$Z20/25*Results_energy_scenarios!$H170</f>
        <v>#REF!</v>
      </c>
      <c r="P170" s="148" t="e">
        <f>Overview!AJ20*Overview!$Z20/25*Results_energy_scenarios!$H170</f>
        <v>#REF!</v>
      </c>
      <c r="Q170" s="148" t="e">
        <f>Overview!AK20*Overview!$Z20/25*Results_energy_scenarios!$H170</f>
        <v>#REF!</v>
      </c>
      <c r="R170" s="148" t="e">
        <f>Overview!AL20*Overview!$Z20/25*Results_energy_scenarios!$H170</f>
        <v>#REF!</v>
      </c>
      <c r="S170" s="148" t="e">
        <f>Overview!AM20*Overview!$Z20/25*Results_energy_scenarios!$H170</f>
        <v>#REF!</v>
      </c>
      <c r="T170" s="148" t="e">
        <f>Overview!AN20*Overview!$Z20/25*Results_energy_scenarios!$H170</f>
        <v>#REF!</v>
      </c>
      <c r="U170" s="148" t="e">
        <f>Overview!AO20*Overview!$Z20/25*Results_energy_scenarios!$H170</f>
        <v>#REF!</v>
      </c>
      <c r="V170" s="148" t="e">
        <f>Overview!AP20*Overview!$Z20/25*Results_energy_scenarios!$H170</f>
        <v>#REF!</v>
      </c>
      <c r="W170" s="148" t="e">
        <f>Overview!AQ20*Overview!$Z20/25*Results_energy_scenarios!$H170</f>
        <v>#REF!</v>
      </c>
      <c r="X170" s="148" t="e">
        <f>Overview!AR20*Overview!$Z20/25*Results_energy_scenarios!$H170</f>
        <v>#REF!</v>
      </c>
      <c r="Y170" s="101" t="e">
        <f>Overview!AS20*Overview!$Z20/25*Results_energy_scenarios!$H170</f>
        <v>#REF!</v>
      </c>
      <c r="Z170" s="148" t="e">
        <f>Overview!CP20*Overview!$Z20/25*Results_energy_scenarios!$H170</f>
        <v>#REF!</v>
      </c>
      <c r="AA170" s="148" t="e">
        <f>Overview!CQ20*Overview!$Z20/25*Results_energy_scenarios!$H170</f>
        <v>#REF!</v>
      </c>
      <c r="AB170" s="148" t="e">
        <f>Overview!CR20*Overview!$Z20/25*Results_energy_scenarios!$H170</f>
        <v>#REF!</v>
      </c>
      <c r="AC170" s="148" t="e">
        <f>Overview!CS20*Overview!$Z20/25*Results_energy_scenarios!$H170</f>
        <v>#REF!</v>
      </c>
      <c r="AD170" s="148" t="e">
        <f>Overview!CT20*Overview!$Z20/25*Results_energy_scenarios!$H170</f>
        <v>#REF!</v>
      </c>
      <c r="AE170" s="148" t="e">
        <f>Overview!CU20*Overview!$Z20/25*Results_energy_scenarios!$H170</f>
        <v>#REF!</v>
      </c>
      <c r="AF170" s="148" t="e">
        <f>Overview!CV20*Overview!$Z20/25*Results_energy_scenarios!$H170</f>
        <v>#REF!</v>
      </c>
      <c r="AG170" s="148" t="e">
        <f>Overview!CW20*Overview!$Z20/25*Results_energy_scenarios!$H170</f>
        <v>#REF!</v>
      </c>
      <c r="AH170" s="148" t="e">
        <f>Overview!CX20*Overview!$Z20/25*Results_energy_scenarios!$H170</f>
        <v>#REF!</v>
      </c>
      <c r="AI170" s="148" t="e">
        <f>Overview!CY20*Overview!$Z20/25*Results_energy_scenarios!$H170</f>
        <v>#REF!</v>
      </c>
      <c r="AJ170" s="148" t="e">
        <f>Overview!CZ20*Overview!$Z20/25*Results_energy_scenarios!$H170</f>
        <v>#REF!</v>
      </c>
      <c r="AK170" s="148" t="e">
        <f>Overview!DA20*Overview!$Z20/25*Results_energy_scenarios!$H170</f>
        <v>#REF!</v>
      </c>
      <c r="AL170" s="148" t="e">
        <f>Overview!DB20*Overview!$Z20/25*Results_energy_scenarios!$H170</f>
        <v>#REF!</v>
      </c>
      <c r="AM170" s="148" t="e">
        <f>Overview!DC20*Overview!$Z20/25*Results_energy_scenarios!$H170</f>
        <v>#REF!</v>
      </c>
      <c r="AN170" s="148" t="e">
        <f>Overview!DD20*Overview!$Z20/25*Results_energy_scenarios!$H170</f>
        <v>#REF!</v>
      </c>
      <c r="AO170" s="146" t="e">
        <f>Overview!DE20*Overview!$Z20/25*Results_energy_scenarios!$H170</f>
        <v>#REF!</v>
      </c>
    </row>
    <row r="171" spans="1:41">
      <c r="A171" t="s">
        <v>520</v>
      </c>
      <c r="B171" t="s">
        <v>361</v>
      </c>
      <c r="C171" t="s">
        <v>331</v>
      </c>
      <c r="D171" s="114" t="s">
        <v>378</v>
      </c>
      <c r="E171" s="103"/>
      <c r="F171" s="164"/>
      <c r="G171">
        <f>2243/(G172+G162+G148)*G172</f>
        <v>1006.979807491107</v>
      </c>
      <c r="H171" s="103"/>
      <c r="I171" s="205"/>
      <c r="J171" s="148" t="e">
        <f>J185*$G171</f>
        <v>#REF!</v>
      </c>
      <c r="K171" s="148" t="e">
        <f t="shared" ref="K171:AO171" si="112">K185*$G171</f>
        <v>#REF!</v>
      </c>
      <c r="L171" s="148" t="e">
        <f t="shared" si="112"/>
        <v>#REF!</v>
      </c>
      <c r="M171" s="148" t="e">
        <f t="shared" si="112"/>
        <v>#REF!</v>
      </c>
      <c r="N171" s="148" t="e">
        <f t="shared" si="112"/>
        <v>#REF!</v>
      </c>
      <c r="O171" s="148" t="e">
        <f t="shared" si="112"/>
        <v>#REF!</v>
      </c>
      <c r="P171" s="148" t="e">
        <f t="shared" si="112"/>
        <v>#REF!</v>
      </c>
      <c r="Q171" s="148" t="e">
        <f t="shared" si="112"/>
        <v>#REF!</v>
      </c>
      <c r="R171" s="148" t="e">
        <f t="shared" si="112"/>
        <v>#REF!</v>
      </c>
      <c r="S171" s="148" t="e">
        <f t="shared" si="112"/>
        <v>#REF!</v>
      </c>
      <c r="T171" s="148" t="e">
        <f t="shared" si="112"/>
        <v>#REF!</v>
      </c>
      <c r="U171" s="148" t="e">
        <f t="shared" si="112"/>
        <v>#REF!</v>
      </c>
      <c r="V171" s="148" t="e">
        <f t="shared" si="112"/>
        <v>#REF!</v>
      </c>
      <c r="W171" s="148" t="e">
        <f t="shared" si="112"/>
        <v>#REF!</v>
      </c>
      <c r="X171" s="148" t="e">
        <f t="shared" si="112"/>
        <v>#REF!</v>
      </c>
      <c r="Y171" s="101" t="e">
        <f t="shared" si="112"/>
        <v>#REF!</v>
      </c>
      <c r="Z171" s="148" t="e">
        <f t="shared" si="112"/>
        <v>#REF!</v>
      </c>
      <c r="AA171" s="148" t="e">
        <f t="shared" si="112"/>
        <v>#REF!</v>
      </c>
      <c r="AB171" s="148" t="e">
        <f t="shared" si="112"/>
        <v>#REF!</v>
      </c>
      <c r="AC171" s="148" t="e">
        <f t="shared" si="112"/>
        <v>#REF!</v>
      </c>
      <c r="AD171" s="148" t="e">
        <f t="shared" si="112"/>
        <v>#REF!</v>
      </c>
      <c r="AE171" s="148" t="e">
        <f t="shared" si="112"/>
        <v>#REF!</v>
      </c>
      <c r="AF171" s="148" t="e">
        <f t="shared" si="112"/>
        <v>#REF!</v>
      </c>
      <c r="AG171" s="148" t="e">
        <f t="shared" si="112"/>
        <v>#REF!</v>
      </c>
      <c r="AH171" s="148" t="e">
        <f t="shared" si="112"/>
        <v>#REF!</v>
      </c>
      <c r="AI171" s="148" t="e">
        <f t="shared" si="112"/>
        <v>#REF!</v>
      </c>
      <c r="AJ171" s="148" t="e">
        <f t="shared" si="112"/>
        <v>#REF!</v>
      </c>
      <c r="AK171" s="148" t="e">
        <f t="shared" si="112"/>
        <v>#REF!</v>
      </c>
      <c r="AL171" s="148" t="e">
        <f t="shared" si="112"/>
        <v>#REF!</v>
      </c>
      <c r="AM171" s="148" t="e">
        <f t="shared" si="112"/>
        <v>#REF!</v>
      </c>
      <c r="AN171" s="148" t="e">
        <f t="shared" si="112"/>
        <v>#REF!</v>
      </c>
      <c r="AO171" s="146" t="e">
        <f t="shared" si="112"/>
        <v>#REF!</v>
      </c>
    </row>
    <row r="172" spans="1:41">
      <c r="A172" t="s">
        <v>520</v>
      </c>
      <c r="B172" t="s">
        <v>361</v>
      </c>
      <c r="C172" t="s">
        <v>331</v>
      </c>
      <c r="D172" s="112" t="s">
        <v>358</v>
      </c>
      <c r="E172" s="103"/>
      <c r="F172" s="164"/>
      <c r="G172">
        <v>4291</v>
      </c>
      <c r="H172">
        <f>Overview!F35/(Results_energy_scenarios!G148+Results_energy_scenarios!G162+Results_energy_scenarios!G172)*Results_energy_scenarios!G172</f>
        <v>0.60202246820049499</v>
      </c>
      <c r="I172" s="205"/>
      <c r="J172" s="148" t="e">
        <f>Overview!AD35*Overview!$Z35/20*Results_energy_scenarios!$H172</f>
        <v>#REF!</v>
      </c>
      <c r="K172" s="148" t="e">
        <f>Overview!AE35*Overview!$Z35/20*Results_energy_scenarios!$H172</f>
        <v>#REF!</v>
      </c>
      <c r="L172" s="148" t="e">
        <f>Overview!AF35*Overview!$Z35/20*Results_energy_scenarios!$H172</f>
        <v>#REF!</v>
      </c>
      <c r="M172" s="148" t="e">
        <f>Overview!AG35*Overview!$Z35/20*Results_energy_scenarios!$H172</f>
        <v>#REF!</v>
      </c>
      <c r="N172" s="148" t="e">
        <f>Overview!AH35*Overview!$Z35/20*Results_energy_scenarios!$H172</f>
        <v>#REF!</v>
      </c>
      <c r="O172" s="148" t="e">
        <f>Overview!AI35*Overview!$Z35/20*Results_energy_scenarios!$H172</f>
        <v>#REF!</v>
      </c>
      <c r="P172" s="148" t="e">
        <f>Overview!AJ35*Overview!$Z35/20*Results_energy_scenarios!$H172</f>
        <v>#REF!</v>
      </c>
      <c r="Q172" s="148" t="e">
        <f>Overview!AK35*Overview!$Z35/20*Results_energy_scenarios!$H172</f>
        <v>#REF!</v>
      </c>
      <c r="R172" s="148" t="e">
        <f>Overview!AL35*Overview!$Z35/20*Results_energy_scenarios!$H172</f>
        <v>#REF!</v>
      </c>
      <c r="S172" s="148" t="e">
        <f>Overview!AM35*Overview!$Z35/20*Results_energy_scenarios!$H172</f>
        <v>#REF!</v>
      </c>
      <c r="T172" s="148" t="e">
        <f>Overview!AN35*Overview!$Z35/20*Results_energy_scenarios!$H172</f>
        <v>#REF!</v>
      </c>
      <c r="U172" s="148" t="e">
        <f>Overview!AO35*Overview!$Z35/20*Results_energy_scenarios!$H172</f>
        <v>#REF!</v>
      </c>
      <c r="V172" s="148" t="e">
        <f>Overview!AP35*Overview!$Z35/20*Results_energy_scenarios!$H172</f>
        <v>#REF!</v>
      </c>
      <c r="W172" s="148" t="e">
        <f>Overview!AQ35*Overview!$Z35/20*Results_energy_scenarios!$H172</f>
        <v>#REF!</v>
      </c>
      <c r="X172" s="148" t="e">
        <f>Overview!AR35*Overview!$Z35/20*Results_energy_scenarios!$H172</f>
        <v>#REF!</v>
      </c>
      <c r="Y172" s="101" t="e">
        <f>Overview!AS35*Overview!$Z35/20*Results_energy_scenarios!$H172</f>
        <v>#REF!</v>
      </c>
      <c r="Z172" s="148" t="e">
        <f>Overview!CP35*Overview!$Z35/20*Results_energy_scenarios!$H172</f>
        <v>#REF!</v>
      </c>
      <c r="AA172" s="148" t="e">
        <f>Overview!CQ35*Overview!$Z35/20*Results_energy_scenarios!$H172</f>
        <v>#REF!</v>
      </c>
      <c r="AB172" s="148" t="e">
        <f>Overview!CR35*Overview!$Z35/20*Results_energy_scenarios!$H172</f>
        <v>#REF!</v>
      </c>
      <c r="AC172" s="148" t="e">
        <f>Overview!CS35*Overview!$Z35/20*Results_energy_scenarios!$H172</f>
        <v>#REF!</v>
      </c>
      <c r="AD172" s="148" t="e">
        <f>Overview!CT35*Overview!$Z35/20*Results_energy_scenarios!$H172</f>
        <v>#REF!</v>
      </c>
      <c r="AE172" s="148" t="e">
        <f>Overview!CU35*Overview!$Z35/20*Results_energy_scenarios!$H172</f>
        <v>#REF!</v>
      </c>
      <c r="AF172" s="148" t="e">
        <f>Overview!CV35*Overview!$Z35/20*Results_energy_scenarios!$H172</f>
        <v>#REF!</v>
      </c>
      <c r="AG172" s="148" t="e">
        <f>Overview!CW35*Overview!$Z35/20*Results_energy_scenarios!$H172</f>
        <v>#REF!</v>
      </c>
      <c r="AH172" s="148" t="e">
        <f>Overview!CX35*Overview!$Z35/20*Results_energy_scenarios!$H172</f>
        <v>#REF!</v>
      </c>
      <c r="AI172" s="148" t="e">
        <f>Overview!CY35*Overview!$Z35/20*Results_energy_scenarios!$H172</f>
        <v>#REF!</v>
      </c>
      <c r="AJ172" s="148" t="e">
        <f>Overview!CZ35*Overview!$Z35/20*Results_energy_scenarios!$H172</f>
        <v>#REF!</v>
      </c>
      <c r="AK172" s="148" t="e">
        <f>Overview!DA35*Overview!$Z35/20*Results_energy_scenarios!$H172</f>
        <v>#REF!</v>
      </c>
      <c r="AL172" s="148" t="e">
        <f>Overview!DB35*Overview!$Z35/20*Results_energy_scenarios!$H172</f>
        <v>#REF!</v>
      </c>
      <c r="AM172" s="148" t="e">
        <f>Overview!DC35*Overview!$Z35/20*Results_energy_scenarios!$H172</f>
        <v>#REF!</v>
      </c>
      <c r="AN172" s="148" t="e">
        <f>Overview!DD35*Overview!$Z35/20*Results_energy_scenarios!$H172</f>
        <v>#REF!</v>
      </c>
      <c r="AO172" s="146" t="e">
        <f>Overview!DE35*Overview!$Z35/20*Results_energy_scenarios!$H172</f>
        <v>#REF!</v>
      </c>
    </row>
    <row r="173" spans="1:41" s="90" customFormat="1">
      <c r="A173" s="90" t="s">
        <v>520</v>
      </c>
      <c r="B173" s="90" t="s">
        <v>361</v>
      </c>
      <c r="C173" s="90" t="s">
        <v>337</v>
      </c>
      <c r="F173" s="212"/>
      <c r="G173" s="90">
        <f>SUM(G157,G159,G161:G162,G165:G166,G172)</f>
        <v>71207.936347941606</v>
      </c>
      <c r="I173" s="175"/>
      <c r="J173" s="122" t="e">
        <f t="shared" ref="J173:AO173" si="113">SUM(J156:J172)</f>
        <v>#REF!</v>
      </c>
      <c r="K173" s="122" t="e">
        <f t="shared" si="113"/>
        <v>#REF!</v>
      </c>
      <c r="L173" s="122" t="e">
        <f t="shared" si="113"/>
        <v>#REF!</v>
      </c>
      <c r="M173" s="122" t="e">
        <f t="shared" si="113"/>
        <v>#REF!</v>
      </c>
      <c r="N173" s="122" t="e">
        <f t="shared" si="113"/>
        <v>#REF!</v>
      </c>
      <c r="O173" s="122" t="e">
        <f t="shared" si="113"/>
        <v>#REF!</v>
      </c>
      <c r="P173" s="122" t="e">
        <f t="shared" si="113"/>
        <v>#REF!</v>
      </c>
      <c r="Q173" s="122" t="e">
        <f t="shared" si="113"/>
        <v>#REF!</v>
      </c>
      <c r="R173" s="122" t="e">
        <f t="shared" si="113"/>
        <v>#REF!</v>
      </c>
      <c r="S173" s="122" t="e">
        <f t="shared" si="113"/>
        <v>#REF!</v>
      </c>
      <c r="T173" s="122" t="e">
        <f t="shared" si="113"/>
        <v>#REF!</v>
      </c>
      <c r="U173" s="122" t="e">
        <f t="shared" si="113"/>
        <v>#REF!</v>
      </c>
      <c r="V173" s="122" t="e">
        <f t="shared" si="113"/>
        <v>#REF!</v>
      </c>
      <c r="W173" s="122" t="e">
        <f t="shared" si="113"/>
        <v>#REF!</v>
      </c>
      <c r="X173" s="122" t="e">
        <f t="shared" si="113"/>
        <v>#REF!</v>
      </c>
      <c r="Y173" s="123" t="e">
        <f t="shared" si="113"/>
        <v>#REF!</v>
      </c>
      <c r="Z173" s="122" t="e">
        <f t="shared" si="113"/>
        <v>#REF!</v>
      </c>
      <c r="AA173" s="122" t="e">
        <f t="shared" si="113"/>
        <v>#REF!</v>
      </c>
      <c r="AB173" s="122" t="e">
        <f t="shared" si="113"/>
        <v>#REF!</v>
      </c>
      <c r="AC173" s="122" t="e">
        <f t="shared" si="113"/>
        <v>#REF!</v>
      </c>
      <c r="AD173" s="122" t="e">
        <f t="shared" si="113"/>
        <v>#REF!</v>
      </c>
      <c r="AE173" s="122" t="e">
        <f t="shared" si="113"/>
        <v>#REF!</v>
      </c>
      <c r="AF173" s="122" t="e">
        <f t="shared" si="113"/>
        <v>#REF!</v>
      </c>
      <c r="AG173" s="122" t="e">
        <f t="shared" si="113"/>
        <v>#REF!</v>
      </c>
      <c r="AH173" s="122" t="e">
        <f t="shared" si="113"/>
        <v>#REF!</v>
      </c>
      <c r="AI173" s="122" t="e">
        <f t="shared" si="113"/>
        <v>#REF!</v>
      </c>
      <c r="AJ173" s="122" t="e">
        <f t="shared" si="113"/>
        <v>#REF!</v>
      </c>
      <c r="AK173" s="122" t="e">
        <f t="shared" si="113"/>
        <v>#REF!</v>
      </c>
      <c r="AL173" s="122" t="e">
        <f t="shared" si="113"/>
        <v>#REF!</v>
      </c>
      <c r="AM173" s="122" t="e">
        <f t="shared" si="113"/>
        <v>#REF!</v>
      </c>
      <c r="AN173" s="122" t="e">
        <f t="shared" si="113"/>
        <v>#REF!</v>
      </c>
      <c r="AO173" s="123" t="e">
        <f t="shared" si="113"/>
        <v>#REF!</v>
      </c>
    </row>
    <row r="174" spans="1:41" s="90" customFormat="1">
      <c r="A174" s="90" t="s">
        <v>520</v>
      </c>
      <c r="B174" s="90" t="s">
        <v>361</v>
      </c>
      <c r="C174" s="104" t="s">
        <v>384</v>
      </c>
      <c r="G174" s="90">
        <v>1</v>
      </c>
      <c r="I174" s="167"/>
      <c r="J174" s="122" t="e">
        <f>J173/$G173</f>
        <v>#REF!</v>
      </c>
      <c r="K174" s="122" t="e">
        <f t="shared" ref="K174:AO174" si="114">K173/$G173</f>
        <v>#REF!</v>
      </c>
      <c r="L174" s="122" t="e">
        <f t="shared" si="114"/>
        <v>#REF!</v>
      </c>
      <c r="M174" s="122" t="e">
        <f t="shared" si="114"/>
        <v>#REF!</v>
      </c>
      <c r="N174" s="122" t="e">
        <f t="shared" si="114"/>
        <v>#REF!</v>
      </c>
      <c r="O174" s="122" t="e">
        <f t="shared" si="114"/>
        <v>#REF!</v>
      </c>
      <c r="P174" s="122" t="e">
        <f t="shared" si="114"/>
        <v>#REF!</v>
      </c>
      <c r="Q174" s="122" t="e">
        <f t="shared" si="114"/>
        <v>#REF!</v>
      </c>
      <c r="R174" s="122" t="e">
        <f t="shared" si="114"/>
        <v>#REF!</v>
      </c>
      <c r="S174" s="122" t="e">
        <f t="shared" si="114"/>
        <v>#REF!</v>
      </c>
      <c r="T174" s="122" t="e">
        <f t="shared" si="114"/>
        <v>#REF!</v>
      </c>
      <c r="U174" s="122" t="e">
        <f t="shared" si="114"/>
        <v>#REF!</v>
      </c>
      <c r="V174" s="122" t="e">
        <f t="shared" si="114"/>
        <v>#REF!</v>
      </c>
      <c r="W174" s="122" t="e">
        <f t="shared" si="114"/>
        <v>#REF!</v>
      </c>
      <c r="X174" s="122" t="e">
        <f t="shared" si="114"/>
        <v>#REF!</v>
      </c>
      <c r="Y174" s="123" t="e">
        <f t="shared" si="114"/>
        <v>#REF!</v>
      </c>
      <c r="Z174" s="122" t="e">
        <f t="shared" si="114"/>
        <v>#REF!</v>
      </c>
      <c r="AA174" s="234" t="e">
        <f t="shared" si="114"/>
        <v>#REF!</v>
      </c>
      <c r="AB174" s="122" t="e">
        <f t="shared" si="114"/>
        <v>#REF!</v>
      </c>
      <c r="AC174" s="122" t="e">
        <f t="shared" si="114"/>
        <v>#REF!</v>
      </c>
      <c r="AD174" s="122" t="e">
        <f t="shared" si="114"/>
        <v>#REF!</v>
      </c>
      <c r="AE174" s="122" t="e">
        <f t="shared" si="114"/>
        <v>#REF!</v>
      </c>
      <c r="AF174" s="122" t="e">
        <f t="shared" si="114"/>
        <v>#REF!</v>
      </c>
      <c r="AG174" s="122" t="e">
        <f t="shared" si="114"/>
        <v>#REF!</v>
      </c>
      <c r="AH174" s="122" t="e">
        <f t="shared" si="114"/>
        <v>#REF!</v>
      </c>
      <c r="AI174" s="122" t="e">
        <f t="shared" si="114"/>
        <v>#REF!</v>
      </c>
      <c r="AJ174" s="122" t="e">
        <f t="shared" si="114"/>
        <v>#REF!</v>
      </c>
      <c r="AK174" s="122" t="e">
        <f t="shared" si="114"/>
        <v>#REF!</v>
      </c>
      <c r="AL174" s="122" t="e">
        <f t="shared" si="114"/>
        <v>#REF!</v>
      </c>
      <c r="AM174" s="122" t="e">
        <f t="shared" si="114"/>
        <v>#REF!</v>
      </c>
      <c r="AN174" s="122" t="e">
        <f t="shared" si="114"/>
        <v>#REF!</v>
      </c>
      <c r="AO174" s="123" t="e">
        <f t="shared" si="114"/>
        <v>#REF!</v>
      </c>
    </row>
    <row r="175" spans="1:41" s="203" customFormat="1">
      <c r="A175" s="203" t="s">
        <v>520</v>
      </c>
      <c r="B175" s="203" t="s">
        <v>320</v>
      </c>
      <c r="C175" s="203" t="s">
        <v>320</v>
      </c>
      <c r="D175" s="203" t="s">
        <v>442</v>
      </c>
      <c r="E175" s="209"/>
      <c r="F175" s="209"/>
      <c r="G175" s="203">
        <f>Overview!F4</f>
        <v>2.1582062169887199E-4</v>
      </c>
      <c r="H175" s="209"/>
      <c r="I175" s="204"/>
      <c r="J175" s="206" t="e">
        <f>Overview!AD4*Overview!$Z4/10*Results_energy_scenarios!$G175</f>
        <v>#REF!</v>
      </c>
      <c r="K175" s="204" t="e">
        <f>Overview!AE4*Overview!$Z4/10*Results_energy_scenarios!$G175</f>
        <v>#REF!</v>
      </c>
      <c r="L175" s="204" t="e">
        <f>Overview!AF4*Overview!$Z4/10*Results_energy_scenarios!$G175</f>
        <v>#REF!</v>
      </c>
      <c r="M175" s="204" t="e">
        <f>Overview!AG4*Overview!$Z4/10*Results_energy_scenarios!$G175</f>
        <v>#REF!</v>
      </c>
      <c r="N175" s="204" t="e">
        <f>Overview!AH4*Overview!$Z4/10*Results_energy_scenarios!$G175</f>
        <v>#REF!</v>
      </c>
      <c r="O175" s="204" t="e">
        <f>Overview!AI4*Overview!$Z4/10*Results_energy_scenarios!$G175</f>
        <v>#REF!</v>
      </c>
      <c r="P175" s="204" t="e">
        <f>Overview!AJ4*Overview!$Z4/10*Results_energy_scenarios!$G175</f>
        <v>#REF!</v>
      </c>
      <c r="Q175" s="204" t="e">
        <f>Overview!AK4*Overview!$Z4/10*Results_energy_scenarios!$G175</f>
        <v>#REF!</v>
      </c>
      <c r="R175" s="204" t="e">
        <f>Overview!AL4*Overview!$Z4/10*Results_energy_scenarios!$G175</f>
        <v>#REF!</v>
      </c>
      <c r="S175" s="204" t="e">
        <f>Overview!AM4*Overview!$Z4/10*Results_energy_scenarios!$G175</f>
        <v>#REF!</v>
      </c>
      <c r="T175" s="204" t="e">
        <f>Overview!AN4*Overview!$Z4/10*Results_energy_scenarios!$G175</f>
        <v>#REF!</v>
      </c>
      <c r="U175" s="204" t="e">
        <f>Overview!AO4*Overview!$Z4/10*Results_energy_scenarios!$G175</f>
        <v>#REF!</v>
      </c>
      <c r="V175" s="204" t="e">
        <f>Overview!AP4*Overview!$Z4/10*Results_energy_scenarios!$G175</f>
        <v>#REF!</v>
      </c>
      <c r="W175" s="204" t="e">
        <f>Overview!AQ4*Overview!$Z4/10*Results_energy_scenarios!$G175</f>
        <v>#REF!</v>
      </c>
      <c r="X175" s="204" t="e">
        <f>Overview!AR4*Overview!$Z4/10*Results_energy_scenarios!$G175</f>
        <v>#REF!</v>
      </c>
      <c r="Y175" s="143" t="e">
        <f>Overview!AS4*Overview!$Z4/10*Results_energy_scenarios!$G175</f>
        <v>#REF!</v>
      </c>
      <c r="Z175" s="204" t="e">
        <f>Overview!CP4*Overview!$Z4/10*Results_energy_scenarios!$G175</f>
        <v>#REF!</v>
      </c>
      <c r="AA175" s="204" t="e">
        <f>Overview!CQ4*Overview!$Z4/10*Results_energy_scenarios!$G175</f>
        <v>#REF!</v>
      </c>
      <c r="AB175" s="204" t="e">
        <f>Overview!CR4*Overview!$Z4/10*Results_energy_scenarios!$G175</f>
        <v>#REF!</v>
      </c>
      <c r="AC175" s="204" t="e">
        <f>Overview!CS4*Overview!$Z4/10*Results_energy_scenarios!$G175</f>
        <v>#REF!</v>
      </c>
      <c r="AD175" s="204" t="e">
        <f>Overview!CT4*Overview!$Z4/10*Results_energy_scenarios!$G175</f>
        <v>#REF!</v>
      </c>
      <c r="AE175" s="204" t="e">
        <f>Overview!CU4*Overview!$Z4/10*Results_energy_scenarios!$G175</f>
        <v>#REF!</v>
      </c>
      <c r="AF175" s="204" t="e">
        <f>Overview!CV4*Overview!$Z4/10*Results_energy_scenarios!$G175</f>
        <v>#REF!</v>
      </c>
      <c r="AG175" s="204" t="e">
        <f>Overview!CW4*Overview!$Z4/10*Results_energy_scenarios!$G175</f>
        <v>#REF!</v>
      </c>
      <c r="AH175" s="204" t="e">
        <f>Overview!CX4*Overview!$Z4/10*Results_energy_scenarios!$G175</f>
        <v>#REF!</v>
      </c>
      <c r="AI175" s="204" t="e">
        <f>Overview!CY4*Overview!$Z4/10*Results_energy_scenarios!$G175</f>
        <v>#REF!</v>
      </c>
      <c r="AJ175" s="204" t="e">
        <f>Overview!CZ4*Overview!$Z4/10*Results_energy_scenarios!$G175</f>
        <v>#REF!</v>
      </c>
      <c r="AK175" s="204" t="e">
        <f>Overview!DA4*Overview!$Z4/10*Results_energy_scenarios!$G175</f>
        <v>#REF!</v>
      </c>
      <c r="AL175" s="204" t="e">
        <f>Overview!DB4*Overview!$Z4/10*Results_energy_scenarios!$G175</f>
        <v>#REF!</v>
      </c>
      <c r="AM175" s="204" t="e">
        <f>Overview!DC4*Overview!$Z4/10*Results_energy_scenarios!$G175</f>
        <v>#REF!</v>
      </c>
      <c r="AN175" s="204" t="e">
        <f>Overview!DD4*Overview!$Z4/10*Results_energy_scenarios!$G175</f>
        <v>#REF!</v>
      </c>
      <c r="AO175" s="207" t="e">
        <f>Overview!DE4*Overview!$Z4/10*Results_energy_scenarios!$G175</f>
        <v>#REF!</v>
      </c>
    </row>
    <row r="176" spans="1:41">
      <c r="A176" t="s">
        <v>520</v>
      </c>
      <c r="B176" t="s">
        <v>320</v>
      </c>
      <c r="C176" t="s">
        <v>320</v>
      </c>
      <c r="D176" s="116" t="s">
        <v>347</v>
      </c>
      <c r="E176" s="103"/>
      <c r="F176" s="103"/>
      <c r="G176">
        <f>Overview!J22</f>
        <v>2688.9930322347441</v>
      </c>
      <c r="H176">
        <f>Overview!F22/(G166+G176)*G176</f>
        <v>9.4224889100003484E-2</v>
      </c>
      <c r="I176" s="205"/>
      <c r="J176" s="148" t="e">
        <f>Overview!AD22*Overview!$Z22/25*$H176</f>
        <v>#REF!</v>
      </c>
      <c r="K176" s="148" t="e">
        <f>Overview!AE22*Overview!$Z22/25*$H176</f>
        <v>#REF!</v>
      </c>
      <c r="L176" s="148" t="e">
        <f>Overview!AF22*Overview!$Z22/25*$H176</f>
        <v>#REF!</v>
      </c>
      <c r="M176" s="148" t="e">
        <f>Overview!AG22*Overview!$Z22/25*$H176</f>
        <v>#REF!</v>
      </c>
      <c r="N176" s="148" t="e">
        <f>Overview!AH22*Overview!$Z22/25*$H176</f>
        <v>#REF!</v>
      </c>
      <c r="O176" s="148" t="e">
        <f>Overview!AI22*Overview!$Z22/25*$H176</f>
        <v>#REF!</v>
      </c>
      <c r="P176" s="148" t="e">
        <f>Overview!AJ22*Overview!$Z22/25*$H176</f>
        <v>#REF!</v>
      </c>
      <c r="Q176" s="148" t="e">
        <f>Overview!AK22*Overview!$Z22/25*$H176</f>
        <v>#REF!</v>
      </c>
      <c r="R176" s="148" t="e">
        <f>Overview!AL22*Overview!$Z22/25*$H176</f>
        <v>#REF!</v>
      </c>
      <c r="S176" s="148" t="e">
        <f>Overview!AM22*Overview!$Z22/25*$H176</f>
        <v>#REF!</v>
      </c>
      <c r="T176" s="148" t="e">
        <f>Overview!AN22*Overview!$Z22/25*$H176</f>
        <v>#REF!</v>
      </c>
      <c r="U176" s="148" t="e">
        <f>Overview!AO22*Overview!$Z22/25*$H176</f>
        <v>#REF!</v>
      </c>
      <c r="V176" s="148" t="e">
        <f>Overview!AP22*Overview!$Z22/25*$H176</f>
        <v>#REF!</v>
      </c>
      <c r="W176" s="148" t="e">
        <f>Overview!AQ22*Overview!$Z22/25*$H176</f>
        <v>#REF!</v>
      </c>
      <c r="X176" s="148" t="e">
        <f>Overview!AR22*Overview!$Z22/25*$H176</f>
        <v>#REF!</v>
      </c>
      <c r="Y176" s="101" t="e">
        <f>Overview!AS22*Overview!$Z22/25*$H176</f>
        <v>#REF!</v>
      </c>
      <c r="Z176" s="148" t="e">
        <f>Overview!CP22*Overview!$Z22/25*$H176</f>
        <v>#REF!</v>
      </c>
      <c r="AA176" s="148" t="e">
        <f>Overview!CQ22*Overview!$Z22/25*$H176</f>
        <v>#REF!</v>
      </c>
      <c r="AB176" s="148" t="e">
        <f>Overview!CR22*Overview!$Z22/25*$H176</f>
        <v>#REF!</v>
      </c>
      <c r="AC176" s="148" t="e">
        <f>Overview!CS22*Overview!$Z22/25*$H176</f>
        <v>#REF!</v>
      </c>
      <c r="AD176" s="148" t="e">
        <f>Overview!CT22*Overview!$Z22/25*$H176</f>
        <v>#REF!</v>
      </c>
      <c r="AE176" s="148" t="e">
        <f>Overview!CU22*Overview!$Z22/25*$H176</f>
        <v>#REF!</v>
      </c>
      <c r="AF176" s="148" t="e">
        <f>Overview!CV22*Overview!$Z22/25*$H176</f>
        <v>#REF!</v>
      </c>
      <c r="AG176" s="148" t="e">
        <f>Overview!CW22*Overview!$Z22/25*$H176</f>
        <v>#REF!</v>
      </c>
      <c r="AH176" s="148" t="e">
        <f>Overview!CX22*Overview!$Z22/25*$H176</f>
        <v>#REF!</v>
      </c>
      <c r="AI176" s="148" t="e">
        <f>Overview!CY22*Overview!$Z22/25*$H176</f>
        <v>#REF!</v>
      </c>
      <c r="AJ176" s="148" t="e">
        <f>Overview!CZ22*Overview!$Z22/25*$H176</f>
        <v>#REF!</v>
      </c>
      <c r="AK176" s="148" t="e">
        <f>Overview!DA22*Overview!$Z22/25*$H176</f>
        <v>#REF!</v>
      </c>
      <c r="AL176" s="148" t="e">
        <f>Overview!DB22*Overview!$Z22/25*$H176</f>
        <v>#REF!</v>
      </c>
      <c r="AM176" s="148" t="e">
        <f>Overview!DC22*Overview!$Z22/25*$H176</f>
        <v>#REF!</v>
      </c>
      <c r="AN176" s="148" t="e">
        <f>Overview!DD22*Overview!$Z22/25*$H176</f>
        <v>#REF!</v>
      </c>
      <c r="AO176" s="146" t="e">
        <f>Overview!DE22*Overview!$Z22/25*$H176</f>
        <v>#REF!</v>
      </c>
    </row>
    <row r="177" spans="1:41">
      <c r="A177" t="s">
        <v>520</v>
      </c>
      <c r="B177" t="s">
        <v>320</v>
      </c>
      <c r="C177" t="s">
        <v>320</v>
      </c>
      <c r="D177" s="113" t="s">
        <v>339</v>
      </c>
      <c r="E177" s="103"/>
      <c r="F177" s="103"/>
      <c r="G177">
        <f>G178/0.18/(G170+G178)*G178</f>
        <v>1.1730001055829654E-2</v>
      </c>
      <c r="H177" s="103"/>
      <c r="I177" s="205"/>
      <c r="J177" s="148" t="e">
        <f>Overview!AD5*Overview!$Z5*$G177</f>
        <v>#REF!</v>
      </c>
      <c r="K177" s="148" t="e">
        <f>Overview!AE5*Overview!$Z5*$G177</f>
        <v>#REF!</v>
      </c>
      <c r="L177" s="148" t="e">
        <f>Overview!AF5*Overview!$Z5*$G177</f>
        <v>#REF!</v>
      </c>
      <c r="M177" s="148" t="e">
        <f>Overview!AG5*Overview!$Z5*$G177</f>
        <v>#REF!</v>
      </c>
      <c r="N177" s="148" t="e">
        <f>Overview!AH5*Overview!$Z5*$G177</f>
        <v>#REF!</v>
      </c>
      <c r="O177" s="148" t="e">
        <f>Overview!AI5*Overview!$Z5*$G177</f>
        <v>#REF!</v>
      </c>
      <c r="P177" s="148" t="e">
        <f>Overview!AJ5*Overview!$Z5*$G177</f>
        <v>#REF!</v>
      </c>
      <c r="Q177" s="148" t="e">
        <f>Overview!AK5*Overview!$Z5*$G177</f>
        <v>#REF!</v>
      </c>
      <c r="R177" s="148" t="e">
        <f>Overview!AL5*Overview!$Z5*$G177</f>
        <v>#REF!</v>
      </c>
      <c r="S177" s="148" t="e">
        <f>Overview!AM5*Overview!$Z5*$G177</f>
        <v>#REF!</v>
      </c>
      <c r="T177" s="148" t="e">
        <f>Overview!AN5*Overview!$Z5*$G177</f>
        <v>#REF!</v>
      </c>
      <c r="U177" s="148" t="e">
        <f>Overview!AO5*Overview!$Z5*$G177</f>
        <v>#REF!</v>
      </c>
      <c r="V177" s="148" t="e">
        <f>Overview!AP5*Overview!$Z5*$G177</f>
        <v>#REF!</v>
      </c>
      <c r="W177" s="148" t="e">
        <f>Overview!AQ5*Overview!$Z5*$G177</f>
        <v>#REF!</v>
      </c>
      <c r="X177" s="148" t="e">
        <f>Overview!AR5*Overview!$Z5*$G177</f>
        <v>#REF!</v>
      </c>
      <c r="Y177" s="101" t="e">
        <f>Overview!AS5*Overview!$Z5*$G177</f>
        <v>#REF!</v>
      </c>
      <c r="Z177" s="148" t="e">
        <f>Overview!CP5*Overview!$Z5*$G177</f>
        <v>#REF!</v>
      </c>
      <c r="AA177" s="148" t="e">
        <f>Overview!CQ5*Overview!$Z5*$G177</f>
        <v>#REF!</v>
      </c>
      <c r="AB177" s="148" t="e">
        <f>Overview!CR5*Overview!$Z5*$G177</f>
        <v>#REF!</v>
      </c>
      <c r="AC177" s="148" t="e">
        <f>Overview!CS5*Overview!$Z5*$G177</f>
        <v>#REF!</v>
      </c>
      <c r="AD177" s="148" t="e">
        <f>Overview!CT5*Overview!$Z5*$G177</f>
        <v>#REF!</v>
      </c>
      <c r="AE177" s="148" t="e">
        <f>Overview!CU5*Overview!$Z5*$G177</f>
        <v>#REF!</v>
      </c>
      <c r="AF177" s="148" t="e">
        <f>Overview!CV5*Overview!$Z5*$G177</f>
        <v>#REF!</v>
      </c>
      <c r="AG177" s="148" t="e">
        <f>Overview!CW5*Overview!$Z5*$G177</f>
        <v>#REF!</v>
      </c>
      <c r="AH177" s="148" t="e">
        <f>Overview!CX5*Overview!$Z5*$G177</f>
        <v>#REF!</v>
      </c>
      <c r="AI177" s="148" t="e">
        <f>Overview!CY5*Overview!$Z5*$G177</f>
        <v>#REF!</v>
      </c>
      <c r="AJ177" s="148" t="e">
        <f>Overview!CZ5*Overview!$Z5*$G177</f>
        <v>#REF!</v>
      </c>
      <c r="AK177" s="148" t="e">
        <f>Overview!DA5*Overview!$Z5*$G177</f>
        <v>#REF!</v>
      </c>
      <c r="AL177" s="148" t="e">
        <f>Overview!DB5*Overview!$Z5*$G177</f>
        <v>#REF!</v>
      </c>
      <c r="AM177" s="148" t="e">
        <f>Overview!DC5*Overview!$Z5*$G177</f>
        <v>#REF!</v>
      </c>
      <c r="AN177" s="148" t="e">
        <f>Overview!DD5*Overview!$Z5*$G177</f>
        <v>#REF!</v>
      </c>
      <c r="AO177" s="146" t="e">
        <f>Overview!DE5*Overview!$Z5*$G177</f>
        <v>#REF!</v>
      </c>
    </row>
    <row r="178" spans="1:41">
      <c r="A178" t="s">
        <v>520</v>
      </c>
      <c r="B178" t="s">
        <v>320</v>
      </c>
      <c r="C178" t="s">
        <v>320</v>
      </c>
      <c r="D178" s="116" t="s">
        <v>399</v>
      </c>
      <c r="E178" s="103"/>
      <c r="F178" s="103"/>
      <c r="G178">
        <f>Overview!J20</f>
        <v>8.3189167487943902E-3</v>
      </c>
      <c r="H178">
        <f>Overview!F20/(G178+G170)*G178</f>
        <v>2.1456671045913261E-6</v>
      </c>
      <c r="I178" s="205"/>
      <c r="J178" s="148" t="e">
        <f>Overview!AD20*Overview!$Z20/25*Results_energy_scenarios!$H178</f>
        <v>#REF!</v>
      </c>
      <c r="K178" s="148" t="e">
        <f>Overview!AE20*Overview!$Z20/25*Results_energy_scenarios!$H178</f>
        <v>#REF!</v>
      </c>
      <c r="L178" s="148" t="e">
        <f>Overview!AF20*Overview!$Z20/25*Results_energy_scenarios!$H178</f>
        <v>#REF!</v>
      </c>
      <c r="M178" s="148" t="e">
        <f>Overview!AG20*Overview!$Z20/25*Results_energy_scenarios!$H178</f>
        <v>#REF!</v>
      </c>
      <c r="N178" s="148" t="e">
        <f>Overview!AH20*Overview!$Z20/25*Results_energy_scenarios!$H178</f>
        <v>#REF!</v>
      </c>
      <c r="O178" s="148" t="e">
        <f>Overview!AI20*Overview!$Z20/25*Results_energy_scenarios!$H178</f>
        <v>#REF!</v>
      </c>
      <c r="P178" s="148" t="e">
        <f>Overview!AJ20*Overview!$Z20/25*Results_energy_scenarios!$H178</f>
        <v>#REF!</v>
      </c>
      <c r="Q178" s="148" t="e">
        <f>Overview!AK20*Overview!$Z20/25*Results_energy_scenarios!$H178</f>
        <v>#REF!</v>
      </c>
      <c r="R178" s="148" t="e">
        <f>Overview!AL20*Overview!$Z20/25*Results_energy_scenarios!$H178</f>
        <v>#REF!</v>
      </c>
      <c r="S178" s="148" t="e">
        <f>Overview!AM20*Overview!$Z20/25*Results_energy_scenarios!$H178</f>
        <v>#REF!</v>
      </c>
      <c r="T178" s="148" t="e">
        <f>Overview!AN20*Overview!$Z20/25*Results_energy_scenarios!$H178</f>
        <v>#REF!</v>
      </c>
      <c r="U178" s="148" t="e">
        <f>Overview!AO20*Overview!$Z20/25*Results_energy_scenarios!$H178</f>
        <v>#REF!</v>
      </c>
      <c r="V178" s="148" t="e">
        <f>Overview!AP20*Overview!$Z20/25*Results_energy_scenarios!$H178</f>
        <v>#REF!</v>
      </c>
      <c r="W178" s="148" t="e">
        <f>Overview!AQ20*Overview!$Z20/25*Results_energy_scenarios!$H178</f>
        <v>#REF!</v>
      </c>
      <c r="X178" s="148" t="e">
        <f>Overview!AR20*Overview!$Z20/25*Results_energy_scenarios!$H178</f>
        <v>#REF!</v>
      </c>
      <c r="Y178" s="101" t="e">
        <f>Overview!AS20*Overview!$Z20/25*Results_energy_scenarios!$H178</f>
        <v>#REF!</v>
      </c>
      <c r="Z178" s="148" t="e">
        <f>Overview!CP20*Overview!$Z20/25*Results_energy_scenarios!$H178</f>
        <v>#REF!</v>
      </c>
      <c r="AA178" s="148" t="e">
        <f>Overview!CQ20*Overview!$Z20/25*Results_energy_scenarios!$H178</f>
        <v>#REF!</v>
      </c>
      <c r="AB178" s="148" t="e">
        <f>Overview!CR20*Overview!$Z20/25*Results_energy_scenarios!$H178</f>
        <v>#REF!</v>
      </c>
      <c r="AC178" s="148" t="e">
        <f>Overview!CS20*Overview!$Z20/25*Results_energy_scenarios!$H178</f>
        <v>#REF!</v>
      </c>
      <c r="AD178" s="148" t="e">
        <f>Overview!CT20*Overview!$Z20/25*Results_energy_scenarios!$H178</f>
        <v>#REF!</v>
      </c>
      <c r="AE178" s="148" t="e">
        <f>Overview!CU20*Overview!$Z20/25*Results_energy_scenarios!$H178</f>
        <v>#REF!</v>
      </c>
      <c r="AF178" s="148" t="e">
        <f>Overview!CV20*Overview!$Z20/25*Results_energy_scenarios!$H178</f>
        <v>#REF!</v>
      </c>
      <c r="AG178" s="148" t="e">
        <f>Overview!CW20*Overview!$Z20/25*Results_energy_scenarios!$H178</f>
        <v>#REF!</v>
      </c>
      <c r="AH178" s="148" t="e">
        <f>Overview!CX20*Overview!$Z20/25*Results_energy_scenarios!$H178</f>
        <v>#REF!</v>
      </c>
      <c r="AI178" s="148" t="e">
        <f>Overview!CY20*Overview!$Z20/25*Results_energy_scenarios!$H178</f>
        <v>#REF!</v>
      </c>
      <c r="AJ178" s="148" t="e">
        <f>Overview!CZ20*Overview!$Z20/25*Results_energy_scenarios!$H178</f>
        <v>#REF!</v>
      </c>
      <c r="AK178" s="148" t="e">
        <f>Overview!DA20*Overview!$Z20/25*Results_energy_scenarios!$H178</f>
        <v>#REF!</v>
      </c>
      <c r="AL178" s="148" t="e">
        <f>Overview!DB20*Overview!$Z20/25*Results_energy_scenarios!$H178</f>
        <v>#REF!</v>
      </c>
      <c r="AM178" s="148" t="e">
        <f>Overview!DC20*Overview!$Z20/25*Results_energy_scenarios!$H178</f>
        <v>#REF!</v>
      </c>
      <c r="AN178" s="148" t="e">
        <f>Overview!DD20*Overview!$Z20/25*Results_energy_scenarios!$H178</f>
        <v>#REF!</v>
      </c>
      <c r="AO178" s="146" t="e">
        <f>Overview!DE20*Overview!$Z20/25*Results_energy_scenarios!$H178</f>
        <v>#REF!</v>
      </c>
    </row>
    <row r="179" spans="1:41">
      <c r="A179" t="s">
        <v>520</v>
      </c>
      <c r="B179" t="s">
        <v>320</v>
      </c>
      <c r="C179" t="s">
        <v>320</v>
      </c>
      <c r="D179" s="129" t="s">
        <v>161</v>
      </c>
      <c r="E179" s="103"/>
      <c r="F179" s="103"/>
      <c r="G179">
        <f>Overview!J47</f>
        <v>33609.104071709182</v>
      </c>
      <c r="H179">
        <f>Overview!F47</f>
        <v>37.511650510928789</v>
      </c>
      <c r="I179" s="205"/>
      <c r="J179" s="148" t="e">
        <f>Overview!AD47*Overview!$Z47/30*Results_energy_scenarios!$H179</f>
        <v>#REF!</v>
      </c>
      <c r="K179" s="148" t="e">
        <f>Overview!AE47*Overview!$Z47/30*Results_energy_scenarios!$H179</f>
        <v>#REF!</v>
      </c>
      <c r="L179" s="148" t="e">
        <f>Overview!AF47*Overview!$Z47/30*Results_energy_scenarios!$H179</f>
        <v>#REF!</v>
      </c>
      <c r="M179" s="148" t="e">
        <f>Overview!AG47*Overview!$Z47/30*Results_energy_scenarios!$H179</f>
        <v>#REF!</v>
      </c>
      <c r="N179" s="148" t="e">
        <f>Overview!AH47*Overview!$Z47/30*Results_energy_scenarios!$H179</f>
        <v>#REF!</v>
      </c>
      <c r="O179" s="148" t="e">
        <f>Overview!AI47*Overview!$Z47/30*Results_energy_scenarios!$H179</f>
        <v>#REF!</v>
      </c>
      <c r="P179" s="148" t="e">
        <f>Overview!AJ47*Overview!$Z47/30*Results_energy_scenarios!$H179</f>
        <v>#REF!</v>
      </c>
      <c r="Q179" s="148" t="e">
        <f>Overview!AK47*Overview!$Z47/30*Results_energy_scenarios!$H179</f>
        <v>#REF!</v>
      </c>
      <c r="R179" s="148" t="e">
        <f>Overview!AL47*Overview!$Z47/30*Results_energy_scenarios!$H179</f>
        <v>#REF!</v>
      </c>
      <c r="S179" s="148" t="e">
        <f>Overview!AM47*Overview!$Z47/30*Results_energy_scenarios!$H179</f>
        <v>#REF!</v>
      </c>
      <c r="T179" s="148" t="e">
        <f>Overview!AN47*Overview!$Z47/30*Results_energy_scenarios!$H179</f>
        <v>#REF!</v>
      </c>
      <c r="U179" s="148" t="e">
        <f>Overview!AO47*Overview!$Z47/30*Results_energy_scenarios!$H179</f>
        <v>#REF!</v>
      </c>
      <c r="V179" s="148" t="e">
        <f>Overview!AP47*Overview!$Z47/30*Results_energy_scenarios!$H179</f>
        <v>#REF!</v>
      </c>
      <c r="W179" s="148" t="e">
        <f>Overview!AQ47*Overview!$Z47/30*Results_energy_scenarios!$H179</f>
        <v>#REF!</v>
      </c>
      <c r="X179" s="148" t="e">
        <f>Overview!AR47*Overview!$Z47/30*Results_energy_scenarios!$H179</f>
        <v>#REF!</v>
      </c>
      <c r="Y179" s="101" t="e">
        <f>Overview!AS47*Overview!$Z47/30*Results_energy_scenarios!$H179</f>
        <v>#REF!</v>
      </c>
      <c r="Z179" s="148" t="e">
        <f>Overview!CP47*Overview!$Z47/30*Results_energy_scenarios!$H179</f>
        <v>#REF!</v>
      </c>
      <c r="AA179" s="148" t="e">
        <f>Overview!CQ47*Overview!$Z47/30*Results_energy_scenarios!$H179</f>
        <v>#REF!</v>
      </c>
      <c r="AB179" s="148" t="e">
        <f>Overview!CR47*Overview!$Z47/30*Results_energy_scenarios!$H179</f>
        <v>#REF!</v>
      </c>
      <c r="AC179" s="148" t="e">
        <f>Overview!CS47*Overview!$Z47/30*Results_energy_scenarios!$H179</f>
        <v>#REF!</v>
      </c>
      <c r="AD179" s="148" t="e">
        <f>Overview!CT47*Overview!$Z47/30*Results_energy_scenarios!$H179</f>
        <v>#REF!</v>
      </c>
      <c r="AE179" s="148" t="e">
        <f>Overview!CU47*Overview!$Z47/30*Results_energy_scenarios!$H179</f>
        <v>#REF!</v>
      </c>
      <c r="AF179" s="148" t="e">
        <f>Overview!CV47*Overview!$Z47/30*Results_energy_scenarios!$H179</f>
        <v>#REF!</v>
      </c>
      <c r="AG179" s="148" t="e">
        <f>Overview!CW47*Overview!$Z47/30*Results_energy_scenarios!$H179</f>
        <v>#REF!</v>
      </c>
      <c r="AH179" s="148" t="e">
        <f>Overview!CX47*Overview!$Z47/30*Results_energy_scenarios!$H179</f>
        <v>#REF!</v>
      </c>
      <c r="AI179" s="148" t="e">
        <f>Overview!CY47*Overview!$Z47/30*Results_energy_scenarios!$H179</f>
        <v>#REF!</v>
      </c>
      <c r="AJ179" s="148" t="e">
        <f>Overview!CZ47*Overview!$Z47/30*Results_energy_scenarios!$H179</f>
        <v>#REF!</v>
      </c>
      <c r="AK179" s="148" t="e">
        <f>Overview!DA47*Overview!$Z47/30*Results_energy_scenarios!$H179</f>
        <v>#REF!</v>
      </c>
      <c r="AL179" s="148" t="e">
        <f>Overview!DB47*Overview!$Z47/30*Results_energy_scenarios!$H179</f>
        <v>#REF!</v>
      </c>
      <c r="AM179" s="148" t="e">
        <f>Overview!DC47*Overview!$Z47/30*Results_energy_scenarios!$H179</f>
        <v>#REF!</v>
      </c>
      <c r="AN179" s="148" t="e">
        <f>Overview!DD47*Overview!$Z47/30*Results_energy_scenarios!$H179</f>
        <v>#REF!</v>
      </c>
      <c r="AO179" s="146" t="e">
        <f>Overview!DE47*Overview!$Z47/30*Results_energy_scenarios!$H179</f>
        <v>#REF!</v>
      </c>
    </row>
    <row r="180" spans="1:41">
      <c r="A180" t="s">
        <v>520</v>
      </c>
      <c r="B180" t="s">
        <v>320</v>
      </c>
      <c r="C180" t="s">
        <v>320</v>
      </c>
      <c r="D180" s="130" t="s">
        <v>190</v>
      </c>
      <c r="E180" s="103"/>
      <c r="F180" s="103"/>
      <c r="G180">
        <f>Overview!J55</f>
        <v>18264.20830862856</v>
      </c>
      <c r="H180">
        <f>Overview!F55</f>
        <v>8.9763100000000016</v>
      </c>
      <c r="I180" s="205"/>
      <c r="J180" s="148" t="e">
        <f>Overview!AD55*Overview!$Z55*Results_energy_scenarios!$G180</f>
        <v>#REF!</v>
      </c>
      <c r="K180" s="148" t="e">
        <f>Overview!AE55*Overview!$Z55*Results_energy_scenarios!$G180</f>
        <v>#REF!</v>
      </c>
      <c r="L180" s="148" t="e">
        <f>Overview!AF55*Overview!$Z55*Results_energy_scenarios!$G180</f>
        <v>#REF!</v>
      </c>
      <c r="M180" s="148" t="e">
        <f>Overview!AG55*Overview!$Z55*Results_energy_scenarios!$G180</f>
        <v>#REF!</v>
      </c>
      <c r="N180" s="148" t="e">
        <f>Overview!AH55*Overview!$Z55*Results_energy_scenarios!$G180</f>
        <v>#REF!</v>
      </c>
      <c r="O180" s="148" t="e">
        <f>Overview!AI55*Overview!$Z55*Results_energy_scenarios!$G180</f>
        <v>#REF!</v>
      </c>
      <c r="P180" s="148" t="e">
        <f>Overview!AJ55*Overview!$Z55*Results_energy_scenarios!$G180</f>
        <v>#REF!</v>
      </c>
      <c r="Q180" s="148" t="e">
        <f>Overview!AK55*Overview!$Z55*Results_energy_scenarios!$G180</f>
        <v>#REF!</v>
      </c>
      <c r="R180" s="148" t="e">
        <f>Overview!AL55*Overview!$Z55*Results_energy_scenarios!$G180</f>
        <v>#REF!</v>
      </c>
      <c r="S180" s="148" t="e">
        <f>Overview!AM55*Overview!$Z55*Results_energy_scenarios!$G180</f>
        <v>#REF!</v>
      </c>
      <c r="T180" s="148" t="e">
        <f>Overview!AN55*Overview!$Z55*Results_energy_scenarios!$G180</f>
        <v>#REF!</v>
      </c>
      <c r="U180" s="148" t="e">
        <f>Overview!AO55*Overview!$Z55*Results_energy_scenarios!$G180</f>
        <v>#REF!</v>
      </c>
      <c r="V180" s="148" t="e">
        <f>Overview!AP55*Overview!$Z55*Results_energy_scenarios!$G180</f>
        <v>#REF!</v>
      </c>
      <c r="W180" s="148" t="e">
        <f>Overview!AQ55*Overview!$Z55*Results_energy_scenarios!$G180</f>
        <v>#REF!</v>
      </c>
      <c r="X180" s="148" t="e">
        <f>Overview!AR55*Overview!$Z55*Results_energy_scenarios!$G180</f>
        <v>#REF!</v>
      </c>
      <c r="Y180" s="101" t="e">
        <f>Overview!AS55*Overview!$Z55*Results_energy_scenarios!$G180</f>
        <v>#REF!</v>
      </c>
      <c r="Z180" s="148" t="e">
        <f>Overview!CP55*Overview!$Z55*Results_energy_scenarios!$G180</f>
        <v>#REF!</v>
      </c>
      <c r="AA180" s="148" t="e">
        <f>Overview!CQ55*Overview!$Z55*Results_energy_scenarios!$G180</f>
        <v>#REF!</v>
      </c>
      <c r="AB180" s="148" t="e">
        <f>Overview!CR55*Overview!$Z55*Results_energy_scenarios!$G180</f>
        <v>#REF!</v>
      </c>
      <c r="AC180" s="148" t="e">
        <f>Overview!CS55*Overview!$Z55*Results_energy_scenarios!$G180</f>
        <v>#REF!</v>
      </c>
      <c r="AD180" s="148" t="e">
        <f>Overview!CT55*Overview!$Z55*Results_energy_scenarios!$G180</f>
        <v>#REF!</v>
      </c>
      <c r="AE180" s="148" t="e">
        <f>Overview!CU55*Overview!$Z55*Results_energy_scenarios!$G180</f>
        <v>#REF!</v>
      </c>
      <c r="AF180" s="148" t="e">
        <f>Overview!CV55*Overview!$Z55*Results_energy_scenarios!$G180</f>
        <v>#REF!</v>
      </c>
      <c r="AG180" s="148" t="e">
        <f>Overview!CW55*Overview!$Z55*Results_energy_scenarios!$G180</f>
        <v>#REF!</v>
      </c>
      <c r="AH180" s="148" t="e">
        <f>Overview!CX55*Overview!$Z55*Results_energy_scenarios!$G180</f>
        <v>#REF!</v>
      </c>
      <c r="AI180" s="148" t="e">
        <f>Overview!CY55*Overview!$Z55*Results_energy_scenarios!$G180</f>
        <v>#REF!</v>
      </c>
      <c r="AJ180" s="148" t="e">
        <f>Overview!CZ55*Overview!$Z55*Results_energy_scenarios!$G180</f>
        <v>#REF!</v>
      </c>
      <c r="AK180" s="148" t="e">
        <f>Overview!DA55*Overview!$Z55*Results_energy_scenarios!$G180</f>
        <v>#REF!</v>
      </c>
      <c r="AL180" s="148" t="e">
        <f>Overview!DB55*Overview!$Z55*Results_energy_scenarios!$G180</f>
        <v>#REF!</v>
      </c>
      <c r="AM180" s="148" t="e">
        <f>Overview!DC55*Overview!$Z55*Results_energy_scenarios!$G180</f>
        <v>#REF!</v>
      </c>
      <c r="AN180" s="148" t="e">
        <f>Overview!DD55*Overview!$Z55*Results_energy_scenarios!$G180</f>
        <v>#REF!</v>
      </c>
      <c r="AO180" s="146" t="e">
        <f>Overview!DE55*Overview!$Z55*Results_energy_scenarios!$G180</f>
        <v>#REF!</v>
      </c>
    </row>
    <row r="181" spans="1:41">
      <c r="A181" t="s">
        <v>520</v>
      </c>
      <c r="B181" t="s">
        <v>320</v>
      </c>
      <c r="C181" t="s">
        <v>320</v>
      </c>
      <c r="D181" s="131" t="s">
        <v>372</v>
      </c>
      <c r="E181" s="103"/>
      <c r="F181" s="103"/>
      <c r="G181">
        <f>Overview!J54</f>
        <v>15493.72126772824</v>
      </c>
      <c r="H181">
        <f>Overview!F54</f>
        <v>4.0666798000000002</v>
      </c>
      <c r="I181" s="205"/>
      <c r="J181" s="148" t="e">
        <f>Overview!AD54*Overview!$Z54*Results_energy_scenarios!$G181</f>
        <v>#REF!</v>
      </c>
      <c r="K181" s="148" t="e">
        <f>Overview!AE54*Overview!$Z54*Results_energy_scenarios!$G181</f>
        <v>#REF!</v>
      </c>
      <c r="L181" s="148" t="e">
        <f>Overview!AF54*Overview!$Z54*Results_energy_scenarios!$G181</f>
        <v>#REF!</v>
      </c>
      <c r="M181" s="148" t="e">
        <f>Overview!AG54*Overview!$Z54*Results_energy_scenarios!$G181</f>
        <v>#REF!</v>
      </c>
      <c r="N181" s="148" t="e">
        <f>Overview!AH54*Overview!$Z54*Results_energy_scenarios!$G181</f>
        <v>#REF!</v>
      </c>
      <c r="O181" s="148" t="e">
        <f>Overview!AI54*Overview!$Z54*Results_energy_scenarios!$G181</f>
        <v>#REF!</v>
      </c>
      <c r="P181" s="148" t="e">
        <f>Overview!AJ54*Overview!$Z54*Results_energy_scenarios!$G181</f>
        <v>#REF!</v>
      </c>
      <c r="Q181" s="148" t="e">
        <f>Overview!AK54*Overview!$Z54*Results_energy_scenarios!$G181</f>
        <v>#REF!</v>
      </c>
      <c r="R181" s="148" t="e">
        <f>Overview!AL54*Overview!$Z54*Results_energy_scenarios!$G181</f>
        <v>#REF!</v>
      </c>
      <c r="S181" s="148" t="e">
        <f>Overview!AM54*Overview!$Z54*Results_energy_scenarios!$G181</f>
        <v>#REF!</v>
      </c>
      <c r="T181" s="148" t="e">
        <f>Overview!AN54*Overview!$Z54*Results_energy_scenarios!$G181</f>
        <v>#REF!</v>
      </c>
      <c r="U181" s="148" t="e">
        <f>Overview!AO54*Overview!$Z54*Results_energy_scenarios!$G181</f>
        <v>#REF!</v>
      </c>
      <c r="V181" s="148" t="e">
        <f>Overview!AP54*Overview!$Z54*Results_energy_scenarios!$G181</f>
        <v>#REF!</v>
      </c>
      <c r="W181" s="148" t="e">
        <f>Overview!AQ54*Overview!$Z54*Results_energy_scenarios!$G181</f>
        <v>#REF!</v>
      </c>
      <c r="X181" s="148" t="e">
        <f>Overview!AR54*Overview!$Z54*Results_energy_scenarios!$G181</f>
        <v>#REF!</v>
      </c>
      <c r="Y181" s="101" t="e">
        <f>Overview!AS54*Overview!$Z54*Results_energy_scenarios!$G181</f>
        <v>#REF!</v>
      </c>
      <c r="Z181" s="148" t="e">
        <f>Overview!CP54*Overview!$Z54*Results_energy_scenarios!$G181</f>
        <v>#REF!</v>
      </c>
      <c r="AA181" s="148" t="e">
        <f>Overview!CQ54*Overview!$Z54*Results_energy_scenarios!$G181</f>
        <v>#REF!</v>
      </c>
      <c r="AB181" s="148" t="e">
        <f>Overview!CR54*Overview!$Z54*Results_energy_scenarios!$G181</f>
        <v>#REF!</v>
      </c>
      <c r="AC181" s="148" t="e">
        <f>Overview!CS54*Overview!$Z54*Results_energy_scenarios!$G181</f>
        <v>#REF!</v>
      </c>
      <c r="AD181" s="148" t="e">
        <f>Overview!CT54*Overview!$Z54*Results_energy_scenarios!$G181</f>
        <v>#REF!</v>
      </c>
      <c r="AE181" s="148" t="e">
        <f>Overview!CU54*Overview!$Z54*Results_energy_scenarios!$G181</f>
        <v>#REF!</v>
      </c>
      <c r="AF181" s="148" t="e">
        <f>Overview!CV54*Overview!$Z54*Results_energy_scenarios!$G181</f>
        <v>#REF!</v>
      </c>
      <c r="AG181" s="148" t="e">
        <f>Overview!CW54*Overview!$Z54*Results_energy_scenarios!$G181</f>
        <v>#REF!</v>
      </c>
      <c r="AH181" s="148" t="e">
        <f>Overview!CX54*Overview!$Z54*Results_energy_scenarios!$G181</f>
        <v>#REF!</v>
      </c>
      <c r="AI181" s="148" t="e">
        <f>Overview!CY54*Overview!$Z54*Results_energy_scenarios!$G181</f>
        <v>#REF!</v>
      </c>
      <c r="AJ181" s="148" t="e">
        <f>Overview!CZ54*Overview!$Z54*Results_energy_scenarios!$G181</f>
        <v>#REF!</v>
      </c>
      <c r="AK181" s="148" t="e">
        <f>Overview!DA54*Overview!$Z54*Results_energy_scenarios!$G181</f>
        <v>#REF!</v>
      </c>
      <c r="AL181" s="148" t="e">
        <f>Overview!DB54*Overview!$Z54*Results_energy_scenarios!$G181</f>
        <v>#REF!</v>
      </c>
      <c r="AM181" s="148" t="e">
        <f>Overview!DC54*Overview!$Z54*Results_energy_scenarios!$G181</f>
        <v>#REF!</v>
      </c>
      <c r="AN181" s="148" t="e">
        <f>Overview!DD54*Overview!$Z54*Results_energy_scenarios!$G181</f>
        <v>#REF!</v>
      </c>
      <c r="AO181" s="146" t="e">
        <f>Overview!DE54*Overview!$Z54*Results_energy_scenarios!$G181</f>
        <v>#REF!</v>
      </c>
    </row>
    <row r="182" spans="1:41">
      <c r="A182" t="s">
        <v>520</v>
      </c>
      <c r="B182" t="s">
        <v>320</v>
      </c>
      <c r="C182" t="s">
        <v>320</v>
      </c>
      <c r="D182" s="132" t="s">
        <v>310</v>
      </c>
      <c r="E182" s="103"/>
      <c r="F182" s="103"/>
      <c r="G182">
        <f>Overview!J50</f>
        <v>4116.9967720241038</v>
      </c>
      <c r="H182">
        <f>Overview!F50</f>
        <v>2.2227390268250589</v>
      </c>
      <c r="I182" s="205"/>
      <c r="J182" s="148" t="e">
        <f>Overview!AD50*Overview!$Z50*Results_energy_scenarios!$G182</f>
        <v>#REF!</v>
      </c>
      <c r="K182" s="148" t="e">
        <f>Overview!AE50*Overview!$Z50*Results_energy_scenarios!$G182</f>
        <v>#REF!</v>
      </c>
      <c r="L182" s="148" t="e">
        <f>Overview!AF50*Overview!$Z50*Results_energy_scenarios!$G182</f>
        <v>#REF!</v>
      </c>
      <c r="M182" s="148" t="e">
        <f>Overview!AG50*Overview!$Z50*Results_energy_scenarios!$G182</f>
        <v>#REF!</v>
      </c>
      <c r="N182" s="148" t="e">
        <f>Overview!AH50*Overview!$Z50*Results_energy_scenarios!$G182</f>
        <v>#REF!</v>
      </c>
      <c r="O182" s="148" t="e">
        <f>Overview!AI50*Overview!$Z50*Results_energy_scenarios!$G182</f>
        <v>#REF!</v>
      </c>
      <c r="P182" s="148" t="e">
        <f>Overview!AJ50*Overview!$Z50*Results_energy_scenarios!$G182</f>
        <v>#REF!</v>
      </c>
      <c r="Q182" s="148" t="e">
        <f>Overview!AK50*Overview!$Z50*Results_energy_scenarios!$G182</f>
        <v>#REF!</v>
      </c>
      <c r="R182" s="148" t="e">
        <f>Overview!AL50*Overview!$Z50*Results_energy_scenarios!$G182</f>
        <v>#REF!</v>
      </c>
      <c r="S182" s="148" t="e">
        <f>Overview!AM50*Overview!$Z50*Results_energy_scenarios!$G182</f>
        <v>#REF!</v>
      </c>
      <c r="T182" s="148" t="e">
        <f>Overview!AN50*Overview!$Z50*Results_energy_scenarios!$G182</f>
        <v>#REF!</v>
      </c>
      <c r="U182" s="148" t="e">
        <f>Overview!AO50*Overview!$Z50*Results_energy_scenarios!$G182</f>
        <v>#REF!</v>
      </c>
      <c r="V182" s="148" t="e">
        <f>Overview!AP50*Overview!$Z50*Results_energy_scenarios!$G182</f>
        <v>#REF!</v>
      </c>
      <c r="W182" s="148" t="e">
        <f>Overview!AQ50*Overview!$Z50*Results_energy_scenarios!$G182</f>
        <v>#REF!</v>
      </c>
      <c r="X182" s="148" t="e">
        <f>Overview!AR50*Overview!$Z50*Results_energy_scenarios!$G182</f>
        <v>#REF!</v>
      </c>
      <c r="Y182" s="101" t="e">
        <f>Overview!AS50*Overview!$Z50*Results_energy_scenarios!$G182</f>
        <v>#REF!</v>
      </c>
      <c r="Z182" s="148" t="e">
        <f>Overview!CP50*Overview!$Z50*Results_energy_scenarios!$G182</f>
        <v>#REF!</v>
      </c>
      <c r="AA182" s="148" t="e">
        <f>Overview!CQ50*Overview!$Z50*Results_energy_scenarios!$G182</f>
        <v>#REF!</v>
      </c>
      <c r="AB182" s="148" t="e">
        <f>Overview!CR50*Overview!$Z50*Results_energy_scenarios!$G182</f>
        <v>#REF!</v>
      </c>
      <c r="AC182" s="148" t="e">
        <f>Overview!CS50*Overview!$Z50*Results_energy_scenarios!$G182</f>
        <v>#REF!</v>
      </c>
      <c r="AD182" s="148" t="e">
        <f>Overview!CT50*Overview!$Z50*Results_energy_scenarios!$G182</f>
        <v>#REF!</v>
      </c>
      <c r="AE182" s="148" t="e">
        <f>Overview!CU50*Overview!$Z50*Results_energy_scenarios!$G182</f>
        <v>#REF!</v>
      </c>
      <c r="AF182" s="148" t="e">
        <f>Overview!CV50*Overview!$Z50*Results_energy_scenarios!$G182</f>
        <v>#REF!</v>
      </c>
      <c r="AG182" s="148" t="e">
        <f>Overview!CW50*Overview!$Z50*Results_energy_scenarios!$G182</f>
        <v>#REF!</v>
      </c>
      <c r="AH182" s="148" t="e">
        <f>Overview!CX50*Overview!$Z50*Results_energy_scenarios!$G182</f>
        <v>#REF!</v>
      </c>
      <c r="AI182" s="148" t="e">
        <f>Overview!CY50*Overview!$Z50*Results_energy_scenarios!$G182</f>
        <v>#REF!</v>
      </c>
      <c r="AJ182" s="148" t="e">
        <f>Overview!CZ50*Overview!$Z50*Results_energy_scenarios!$G182</f>
        <v>#REF!</v>
      </c>
      <c r="AK182" s="148" t="e">
        <f>Overview!DA50*Overview!$Z50*Results_energy_scenarios!$G182</f>
        <v>#REF!</v>
      </c>
      <c r="AL182" s="148" t="e">
        <f>Overview!DB50*Overview!$Z50*Results_energy_scenarios!$G182</f>
        <v>#REF!</v>
      </c>
      <c r="AM182" s="148" t="e">
        <f>Overview!DC50*Overview!$Z50*Results_energy_scenarios!$G182</f>
        <v>#REF!</v>
      </c>
      <c r="AN182" s="148" t="e">
        <f>Overview!DD50*Overview!$Z50*Results_energy_scenarios!$G182</f>
        <v>#REF!</v>
      </c>
      <c r="AO182" s="146" t="e">
        <f>Overview!DE50*Overview!$Z50*Results_energy_scenarios!$G182</f>
        <v>#REF!</v>
      </c>
    </row>
    <row r="183" spans="1:41">
      <c r="A183" t="s">
        <v>520</v>
      </c>
      <c r="B183" t="s">
        <v>320</v>
      </c>
      <c r="C183" t="s">
        <v>320</v>
      </c>
      <c r="D183" s="133" t="s">
        <v>380</v>
      </c>
      <c r="E183" s="103"/>
      <c r="F183" s="103"/>
      <c r="G183">
        <f>Overview!J36</f>
        <v>14795</v>
      </c>
      <c r="H183" s="208"/>
      <c r="I183" s="205"/>
      <c r="J183" s="148" t="e">
        <f>Overview!AD36*Overview!$Z36*Results_energy_scenarios!$G183</f>
        <v>#REF!</v>
      </c>
      <c r="K183" s="148" t="e">
        <f>Overview!AE36*Overview!$Z36*Results_energy_scenarios!$G183</f>
        <v>#REF!</v>
      </c>
      <c r="L183" s="148" t="e">
        <f>Overview!AF36*Overview!$Z36*Results_energy_scenarios!$G183</f>
        <v>#REF!</v>
      </c>
      <c r="M183" s="148" t="e">
        <f>Overview!AG36*Overview!$Z36*Results_energy_scenarios!$G183</f>
        <v>#REF!</v>
      </c>
      <c r="N183" s="148" t="e">
        <f>Overview!AH36*Overview!$Z36*Results_energy_scenarios!$G183</f>
        <v>#REF!</v>
      </c>
      <c r="O183" s="148" t="e">
        <f>Overview!AI36*Overview!$Z36*Results_energy_scenarios!$G183</f>
        <v>#REF!</v>
      </c>
      <c r="P183" s="148" t="e">
        <f>Overview!AJ36*Overview!$Z36*Results_energy_scenarios!$G183</f>
        <v>#REF!</v>
      </c>
      <c r="Q183" s="148" t="e">
        <f>Overview!AK36*Overview!$Z36*Results_energy_scenarios!$G183</f>
        <v>#REF!</v>
      </c>
      <c r="R183" s="148" t="e">
        <f>Overview!AL36*Overview!$Z36*Results_energy_scenarios!$G183</f>
        <v>#REF!</v>
      </c>
      <c r="S183" s="148" t="e">
        <f>Overview!AM36*Overview!$Z36*Results_energy_scenarios!$G183</f>
        <v>#REF!</v>
      </c>
      <c r="T183" s="148" t="e">
        <f>Overview!AN36*Overview!$Z36*Results_energy_scenarios!$G183</f>
        <v>#REF!</v>
      </c>
      <c r="U183" s="148" t="e">
        <f>Overview!AO36*Overview!$Z36*Results_energy_scenarios!$G183</f>
        <v>#REF!</v>
      </c>
      <c r="V183" s="148" t="e">
        <f>Overview!AP36*Overview!$Z36*Results_energy_scenarios!$G183</f>
        <v>#REF!</v>
      </c>
      <c r="W183" s="148" t="e">
        <f>Overview!AQ36*Overview!$Z36*Results_energy_scenarios!$G183</f>
        <v>#REF!</v>
      </c>
      <c r="X183" s="148" t="e">
        <f>Overview!AR36*Overview!$Z36*Results_energy_scenarios!$G183</f>
        <v>#REF!</v>
      </c>
      <c r="Y183" s="101" t="e">
        <f>Overview!AS36*Overview!$Z36*Results_energy_scenarios!$G183</f>
        <v>#REF!</v>
      </c>
      <c r="Z183" s="148" t="e">
        <f>Overview!CP36*Overview!$Z36*Results_energy_scenarios!$G183</f>
        <v>#REF!</v>
      </c>
      <c r="AA183" s="148" t="e">
        <f>Overview!CQ36*Overview!$Z36*Results_energy_scenarios!$G183</f>
        <v>#REF!</v>
      </c>
      <c r="AB183" s="148" t="e">
        <f>Overview!CR36*Overview!$Z36*Results_energy_scenarios!$G183</f>
        <v>#REF!</v>
      </c>
      <c r="AC183" s="148" t="e">
        <f>Overview!CS36*Overview!$Z36*Results_energy_scenarios!$G183</f>
        <v>#REF!</v>
      </c>
      <c r="AD183" s="148" t="e">
        <f>Overview!CT36*Overview!$Z36*Results_energy_scenarios!$G183</f>
        <v>#REF!</v>
      </c>
      <c r="AE183" s="148" t="e">
        <f>Overview!CU36*Overview!$Z36*Results_energy_scenarios!$G183</f>
        <v>#REF!</v>
      </c>
      <c r="AF183" s="148" t="e">
        <f>Overview!CV36*Overview!$Z36*Results_energy_scenarios!$G183</f>
        <v>#REF!</v>
      </c>
      <c r="AG183" s="148" t="e">
        <f>Overview!CW36*Overview!$Z36*Results_energy_scenarios!$G183</f>
        <v>#REF!</v>
      </c>
      <c r="AH183" s="148" t="e">
        <f>Overview!CX36*Overview!$Z36*Results_energy_scenarios!$G183</f>
        <v>#REF!</v>
      </c>
      <c r="AI183" s="148" t="e">
        <f>Overview!CY36*Overview!$Z36*Results_energy_scenarios!$G183</f>
        <v>#REF!</v>
      </c>
      <c r="AJ183" s="148" t="e">
        <f>Overview!CZ36*Overview!$Z36*Results_energy_scenarios!$G183</f>
        <v>#REF!</v>
      </c>
      <c r="AK183" s="148" t="e">
        <f>Overview!DA36*Overview!$Z36*Results_energy_scenarios!$G183</f>
        <v>#REF!</v>
      </c>
      <c r="AL183" s="148" t="e">
        <f>Overview!DB36*Overview!$Z36*Results_energy_scenarios!$G183</f>
        <v>#REF!</v>
      </c>
      <c r="AM183" s="148" t="e">
        <f>Overview!DC36*Overview!$Z36*Results_energy_scenarios!$G183</f>
        <v>#REF!</v>
      </c>
      <c r="AN183" s="148" t="e">
        <f>Overview!DD36*Overview!$Z36*Results_energy_scenarios!$G183</f>
        <v>#REF!</v>
      </c>
      <c r="AO183" s="146" t="e">
        <f>Overview!DE36*Overview!$Z36*Results_energy_scenarios!$G183</f>
        <v>#REF!</v>
      </c>
    </row>
    <row r="184" spans="1:41" s="90" customFormat="1">
      <c r="A184" s="90" t="s">
        <v>520</v>
      </c>
      <c r="B184" s="90" t="s">
        <v>320</v>
      </c>
      <c r="C184" s="90" t="s">
        <v>337</v>
      </c>
      <c r="E184" s="109"/>
      <c r="F184" s="109"/>
      <c r="G184" s="147">
        <f>SUM(G176:G183)</f>
        <v>88968.043501242617</v>
      </c>
      <c r="H184" s="109"/>
      <c r="I184" s="175"/>
      <c r="J184" s="125" t="e">
        <f>SUM(J175:J183)</f>
        <v>#REF!</v>
      </c>
      <c r="K184" s="122" t="e">
        <f t="shared" ref="K184:AO184" si="115">SUM(K175:K183)</f>
        <v>#REF!</v>
      </c>
      <c r="L184" s="122" t="e">
        <f t="shared" si="115"/>
        <v>#REF!</v>
      </c>
      <c r="M184" s="122" t="e">
        <f t="shared" si="115"/>
        <v>#REF!</v>
      </c>
      <c r="N184" s="122" t="e">
        <f t="shared" si="115"/>
        <v>#REF!</v>
      </c>
      <c r="O184" s="122" t="e">
        <f t="shared" si="115"/>
        <v>#REF!</v>
      </c>
      <c r="P184" s="122" t="e">
        <f t="shared" si="115"/>
        <v>#REF!</v>
      </c>
      <c r="Q184" s="122" t="e">
        <f t="shared" si="115"/>
        <v>#REF!</v>
      </c>
      <c r="R184" s="122" t="e">
        <f t="shared" si="115"/>
        <v>#REF!</v>
      </c>
      <c r="S184" s="122" t="e">
        <f t="shared" si="115"/>
        <v>#REF!</v>
      </c>
      <c r="T184" s="122" t="e">
        <f t="shared" si="115"/>
        <v>#REF!</v>
      </c>
      <c r="U184" s="122" t="e">
        <f t="shared" si="115"/>
        <v>#REF!</v>
      </c>
      <c r="V184" s="122" t="e">
        <f t="shared" si="115"/>
        <v>#REF!</v>
      </c>
      <c r="W184" s="122" t="e">
        <f t="shared" si="115"/>
        <v>#REF!</v>
      </c>
      <c r="X184" s="122" t="e">
        <f t="shared" si="115"/>
        <v>#REF!</v>
      </c>
      <c r="Y184" s="123" t="e">
        <f t="shared" si="115"/>
        <v>#REF!</v>
      </c>
      <c r="Z184" s="122" t="e">
        <f t="shared" si="115"/>
        <v>#REF!</v>
      </c>
      <c r="AA184" s="122" t="e">
        <f t="shared" si="115"/>
        <v>#REF!</v>
      </c>
      <c r="AB184" s="122" t="e">
        <f t="shared" si="115"/>
        <v>#REF!</v>
      </c>
      <c r="AC184" s="122" t="e">
        <f t="shared" si="115"/>
        <v>#REF!</v>
      </c>
      <c r="AD184" s="122" t="e">
        <f t="shared" si="115"/>
        <v>#REF!</v>
      </c>
      <c r="AE184" s="122" t="e">
        <f t="shared" si="115"/>
        <v>#REF!</v>
      </c>
      <c r="AF184" s="122" t="e">
        <f t="shared" si="115"/>
        <v>#REF!</v>
      </c>
      <c r="AG184" s="122" t="e">
        <f t="shared" si="115"/>
        <v>#REF!</v>
      </c>
      <c r="AH184" s="122" t="e">
        <f t="shared" si="115"/>
        <v>#REF!</v>
      </c>
      <c r="AI184" s="122" t="e">
        <f t="shared" si="115"/>
        <v>#REF!</v>
      </c>
      <c r="AJ184" s="122" t="e">
        <f t="shared" si="115"/>
        <v>#REF!</v>
      </c>
      <c r="AK184" s="122" t="e">
        <f t="shared" si="115"/>
        <v>#REF!</v>
      </c>
      <c r="AL184" s="122" t="e">
        <f t="shared" si="115"/>
        <v>#REF!</v>
      </c>
      <c r="AM184" s="122" t="e">
        <f t="shared" si="115"/>
        <v>#REF!</v>
      </c>
      <c r="AN184" s="122" t="e">
        <f t="shared" si="115"/>
        <v>#REF!</v>
      </c>
      <c r="AO184" s="123" t="e">
        <f t="shared" si="115"/>
        <v>#REF!</v>
      </c>
    </row>
    <row r="185" spans="1:41" s="90" customFormat="1">
      <c r="A185" s="104" t="s">
        <v>520</v>
      </c>
      <c r="B185" s="104" t="s">
        <v>320</v>
      </c>
      <c r="C185" s="104" t="s">
        <v>384</v>
      </c>
      <c r="D185" s="104"/>
      <c r="E185" s="105"/>
      <c r="F185" s="105"/>
      <c r="G185" s="104">
        <v>1</v>
      </c>
      <c r="H185" s="105"/>
      <c r="I185" s="167"/>
      <c r="J185" s="122" t="e">
        <f>J184/$G184</f>
        <v>#REF!</v>
      </c>
      <c r="K185" s="213" t="e">
        <f t="shared" ref="K185:AO185" si="116">K184/$G184</f>
        <v>#REF!</v>
      </c>
      <c r="L185" s="122" t="e">
        <f t="shared" si="116"/>
        <v>#REF!</v>
      </c>
      <c r="M185" s="122" t="e">
        <f t="shared" si="116"/>
        <v>#REF!</v>
      </c>
      <c r="N185" s="122" t="e">
        <f t="shared" si="116"/>
        <v>#REF!</v>
      </c>
      <c r="O185" s="122" t="e">
        <f t="shared" si="116"/>
        <v>#REF!</v>
      </c>
      <c r="P185" s="122" t="e">
        <f t="shared" si="116"/>
        <v>#REF!</v>
      </c>
      <c r="Q185" s="122" t="e">
        <f t="shared" si="116"/>
        <v>#REF!</v>
      </c>
      <c r="R185" s="122" t="e">
        <f t="shared" si="116"/>
        <v>#REF!</v>
      </c>
      <c r="S185" s="122" t="e">
        <f t="shared" si="116"/>
        <v>#REF!</v>
      </c>
      <c r="T185" s="122" t="e">
        <f t="shared" si="116"/>
        <v>#REF!</v>
      </c>
      <c r="U185" s="122" t="e">
        <f t="shared" si="116"/>
        <v>#REF!</v>
      </c>
      <c r="V185" s="122" t="e">
        <f t="shared" si="116"/>
        <v>#REF!</v>
      </c>
      <c r="W185" s="122" t="e">
        <f t="shared" si="116"/>
        <v>#REF!</v>
      </c>
      <c r="X185" s="122" t="e">
        <f t="shared" si="116"/>
        <v>#REF!</v>
      </c>
      <c r="Y185" s="145" t="e">
        <f t="shared" si="116"/>
        <v>#REF!</v>
      </c>
      <c r="Z185" s="122" t="e">
        <f t="shared" si="116"/>
        <v>#REF!</v>
      </c>
      <c r="AA185" s="213" t="e">
        <f t="shared" si="116"/>
        <v>#REF!</v>
      </c>
      <c r="AB185" s="122" t="e">
        <f t="shared" si="116"/>
        <v>#REF!</v>
      </c>
      <c r="AC185" s="122" t="e">
        <f t="shared" si="116"/>
        <v>#REF!</v>
      </c>
      <c r="AD185" s="122" t="e">
        <f t="shared" si="116"/>
        <v>#REF!</v>
      </c>
      <c r="AE185" s="122" t="e">
        <f t="shared" si="116"/>
        <v>#REF!</v>
      </c>
      <c r="AF185" s="122" t="e">
        <f t="shared" si="116"/>
        <v>#REF!</v>
      </c>
      <c r="AG185" s="122" t="e">
        <f t="shared" si="116"/>
        <v>#REF!</v>
      </c>
      <c r="AH185" s="122" t="e">
        <f t="shared" si="116"/>
        <v>#REF!</v>
      </c>
      <c r="AI185" s="122" t="e">
        <f t="shared" si="116"/>
        <v>#REF!</v>
      </c>
      <c r="AJ185" s="122" t="e">
        <f t="shared" si="116"/>
        <v>#REF!</v>
      </c>
      <c r="AK185" s="122" t="e">
        <f t="shared" si="116"/>
        <v>#REF!</v>
      </c>
      <c r="AL185" s="122" t="e">
        <f t="shared" si="116"/>
        <v>#REF!</v>
      </c>
      <c r="AM185" s="122" t="e">
        <f t="shared" si="116"/>
        <v>#REF!</v>
      </c>
      <c r="AN185" s="122" t="e">
        <f t="shared" si="116"/>
        <v>#REF!</v>
      </c>
      <c r="AO185" s="123" t="e">
        <f t="shared" si="116"/>
        <v>#REF!</v>
      </c>
    </row>
    <row r="186" spans="1:41" s="203" customFormat="1">
      <c r="A186" s="203" t="s">
        <v>520</v>
      </c>
      <c r="B186" s="203" t="s">
        <v>376</v>
      </c>
      <c r="C186" s="203" t="s">
        <v>328</v>
      </c>
      <c r="D186" s="140" t="s">
        <v>377</v>
      </c>
      <c r="E186" s="203">
        <f>energy_data_per_scenario!D24*1000</f>
        <v>69220</v>
      </c>
      <c r="F186" s="209"/>
      <c r="G186" s="209"/>
      <c r="H186" s="209"/>
      <c r="I186" s="148"/>
      <c r="J186" s="206" t="e">
        <f>Overview!AD42*Overview!$AA42*Results_energy_scenarios!$E186</f>
        <v>#REF!</v>
      </c>
      <c r="K186" s="204" t="e">
        <f>Overview!AE42*Overview!$AA42*Results_energy_scenarios!$E186</f>
        <v>#REF!</v>
      </c>
      <c r="L186" s="204" t="e">
        <f>Overview!AF42*Overview!$AA42*Results_energy_scenarios!$E186</f>
        <v>#REF!</v>
      </c>
      <c r="M186" s="204" t="e">
        <f>Overview!AG42*Overview!$AA42*Results_energy_scenarios!$E186</f>
        <v>#REF!</v>
      </c>
      <c r="N186" s="204" t="e">
        <f>Overview!AH42*Overview!$AA42*Results_energy_scenarios!$E186</f>
        <v>#REF!</v>
      </c>
      <c r="O186" s="204" t="e">
        <f>Overview!AI42*Overview!$AA42*Results_energy_scenarios!$E186</f>
        <v>#REF!</v>
      </c>
      <c r="P186" s="204" t="e">
        <f>Overview!AJ42*Overview!$AA42*Results_energy_scenarios!$E186</f>
        <v>#REF!</v>
      </c>
      <c r="Q186" s="204" t="e">
        <f>Overview!AK42*Overview!$AA42*Results_energy_scenarios!$E186</f>
        <v>#REF!</v>
      </c>
      <c r="R186" s="204" t="e">
        <f>Overview!AL42*Overview!$AA42*Results_energy_scenarios!$E186</f>
        <v>#REF!</v>
      </c>
      <c r="S186" s="204" t="e">
        <f>Overview!AM42*Overview!$AA42*Results_energy_scenarios!$E186</f>
        <v>#REF!</v>
      </c>
      <c r="T186" s="204" t="e">
        <f>Overview!AN42*Overview!$AA42*Results_energy_scenarios!$E186</f>
        <v>#REF!</v>
      </c>
      <c r="U186" s="204" t="e">
        <f>Overview!AO42*Overview!$AA42*Results_energy_scenarios!$E186</f>
        <v>#REF!</v>
      </c>
      <c r="V186" s="204" t="e">
        <f>Overview!AP42*Overview!$AA42*Results_energy_scenarios!$E186</f>
        <v>#REF!</v>
      </c>
      <c r="W186" s="204" t="e">
        <f>Overview!AQ42*Overview!$AA42*Results_energy_scenarios!$E186</f>
        <v>#REF!</v>
      </c>
      <c r="X186" s="204" t="e">
        <f>Overview!AR42*Overview!$AA42*Results_energy_scenarios!$E186</f>
        <v>#REF!</v>
      </c>
      <c r="Y186" s="143" t="e">
        <f>Overview!AS42*Overview!$AA42*Results_energy_scenarios!$E186</f>
        <v>#REF!</v>
      </c>
      <c r="Z186" s="204" t="e">
        <f>Overview!CP42*Overview!$AA42*Results_energy_scenarios!$E186</f>
        <v>#REF!</v>
      </c>
      <c r="AA186" s="204" t="e">
        <f>Overview!CQ42*Overview!$AA42*Results_energy_scenarios!$E186</f>
        <v>#REF!</v>
      </c>
      <c r="AB186" s="204" t="e">
        <f>Overview!CR42*Overview!$AA42*Results_energy_scenarios!$E186</f>
        <v>#REF!</v>
      </c>
      <c r="AC186" s="204" t="e">
        <f>Overview!CS42*Overview!$AA42*Results_energy_scenarios!$E186</f>
        <v>#REF!</v>
      </c>
      <c r="AD186" s="204" t="e">
        <f>Overview!CT42*Overview!$AA42*Results_energy_scenarios!$E186</f>
        <v>#REF!</v>
      </c>
      <c r="AE186" s="204" t="e">
        <f>Overview!CU42*Overview!$AA42*Results_energy_scenarios!$E186</f>
        <v>#REF!</v>
      </c>
      <c r="AF186" s="204" t="e">
        <f>Overview!CV42*Overview!$AA42*Results_energy_scenarios!$E186</f>
        <v>#REF!</v>
      </c>
      <c r="AG186" s="204" t="e">
        <f>Overview!CW42*Overview!$AA42*Results_energy_scenarios!$E186</f>
        <v>#REF!</v>
      </c>
      <c r="AH186" s="204" t="e">
        <f>Overview!CX42*Overview!$AA42*Results_energy_scenarios!$E186</f>
        <v>#REF!</v>
      </c>
      <c r="AI186" s="204" t="e">
        <f>Overview!CY42*Overview!$AA42*Results_energy_scenarios!$E186</f>
        <v>#REF!</v>
      </c>
      <c r="AJ186" s="204" t="e">
        <f>Overview!CZ42*Overview!$AA42*Results_energy_scenarios!$E186</f>
        <v>#REF!</v>
      </c>
      <c r="AK186" s="204" t="e">
        <f>Overview!DA42*Overview!$AA42*Results_energy_scenarios!$E186</f>
        <v>#REF!</v>
      </c>
      <c r="AL186" s="204" t="e">
        <f>Overview!DB42*Overview!$AA42*Results_energy_scenarios!$E186</f>
        <v>#REF!</v>
      </c>
      <c r="AM186" s="204" t="e">
        <f>Overview!DC42*Overview!$AA42*Results_energy_scenarios!$E186</f>
        <v>#REF!</v>
      </c>
      <c r="AN186" s="204" t="e">
        <f>Overview!DD42*Overview!$AA42*Results_energy_scenarios!$E186</f>
        <v>#REF!</v>
      </c>
      <c r="AO186" s="207" t="e">
        <f>Overview!DE42*Overview!$AA42*Results_energy_scenarios!$E186</f>
        <v>#REF!</v>
      </c>
    </row>
    <row r="187" spans="1:41">
      <c r="A187" t="s">
        <v>520</v>
      </c>
      <c r="B187" t="s">
        <v>376</v>
      </c>
      <c r="C187" t="s">
        <v>328</v>
      </c>
      <c r="D187" s="114" t="s">
        <v>389</v>
      </c>
      <c r="E187" s="103"/>
      <c r="F187" s="103"/>
      <c r="G187">
        <v>11823</v>
      </c>
      <c r="H187" s="103"/>
      <c r="I187" s="205"/>
      <c r="J187" s="148" t="e">
        <f>J185*$G187</f>
        <v>#REF!</v>
      </c>
      <c r="K187" s="148" t="e">
        <f t="shared" ref="K187:AO187" si="117">K185*$G187</f>
        <v>#REF!</v>
      </c>
      <c r="L187" s="148" t="e">
        <f t="shared" si="117"/>
        <v>#REF!</v>
      </c>
      <c r="M187" s="148" t="e">
        <f t="shared" si="117"/>
        <v>#REF!</v>
      </c>
      <c r="N187" s="148" t="e">
        <f t="shared" si="117"/>
        <v>#REF!</v>
      </c>
      <c r="O187" s="148" t="e">
        <f t="shared" si="117"/>
        <v>#REF!</v>
      </c>
      <c r="P187" s="148" t="e">
        <f t="shared" si="117"/>
        <v>#REF!</v>
      </c>
      <c r="Q187" s="148" t="e">
        <f t="shared" si="117"/>
        <v>#REF!</v>
      </c>
      <c r="R187" s="148" t="e">
        <f t="shared" si="117"/>
        <v>#REF!</v>
      </c>
      <c r="S187" s="148" t="e">
        <f t="shared" si="117"/>
        <v>#REF!</v>
      </c>
      <c r="T187" s="148" t="e">
        <f t="shared" si="117"/>
        <v>#REF!</v>
      </c>
      <c r="U187" s="148" t="e">
        <f t="shared" si="117"/>
        <v>#REF!</v>
      </c>
      <c r="V187" s="148" t="e">
        <f t="shared" si="117"/>
        <v>#REF!</v>
      </c>
      <c r="W187" s="148" t="e">
        <f t="shared" si="117"/>
        <v>#REF!</v>
      </c>
      <c r="X187" s="148" t="e">
        <f t="shared" si="117"/>
        <v>#REF!</v>
      </c>
      <c r="Y187" s="101" t="e">
        <f t="shared" si="117"/>
        <v>#REF!</v>
      </c>
      <c r="Z187" s="148" t="e">
        <f t="shared" si="117"/>
        <v>#REF!</v>
      </c>
      <c r="AA187" s="148" t="e">
        <f t="shared" si="117"/>
        <v>#REF!</v>
      </c>
      <c r="AB187" s="148" t="e">
        <f t="shared" si="117"/>
        <v>#REF!</v>
      </c>
      <c r="AC187" s="148" t="e">
        <f t="shared" si="117"/>
        <v>#REF!</v>
      </c>
      <c r="AD187" s="148" t="e">
        <f t="shared" si="117"/>
        <v>#REF!</v>
      </c>
      <c r="AE187" s="148" t="e">
        <f t="shared" si="117"/>
        <v>#REF!</v>
      </c>
      <c r="AF187" s="148" t="e">
        <f t="shared" si="117"/>
        <v>#REF!</v>
      </c>
      <c r="AG187" s="148" t="e">
        <f t="shared" si="117"/>
        <v>#REF!</v>
      </c>
      <c r="AH187" s="148" t="e">
        <f t="shared" si="117"/>
        <v>#REF!</v>
      </c>
      <c r="AI187" s="148" t="e">
        <f t="shared" si="117"/>
        <v>#REF!</v>
      </c>
      <c r="AJ187" s="148" t="e">
        <f t="shared" si="117"/>
        <v>#REF!</v>
      </c>
      <c r="AK187" s="148" t="e">
        <f t="shared" si="117"/>
        <v>#REF!</v>
      </c>
      <c r="AL187" s="148" t="e">
        <f t="shared" si="117"/>
        <v>#REF!</v>
      </c>
      <c r="AM187" s="148" t="e">
        <f t="shared" si="117"/>
        <v>#REF!</v>
      </c>
      <c r="AN187" s="148" t="e">
        <f t="shared" si="117"/>
        <v>#REF!</v>
      </c>
      <c r="AO187" s="146" t="e">
        <f t="shared" si="117"/>
        <v>#REF!</v>
      </c>
    </row>
    <row r="188" spans="1:41">
      <c r="A188" t="s">
        <v>520</v>
      </c>
      <c r="B188" t="s">
        <v>376</v>
      </c>
      <c r="C188" t="s">
        <v>328</v>
      </c>
      <c r="D188" s="140" t="s">
        <v>415</v>
      </c>
      <c r="E188">
        <f>energy_data_per_scenario!D25*1000</f>
        <v>5570</v>
      </c>
      <c r="F188" s="236"/>
      <c r="G188" s="103"/>
      <c r="H188" s="103"/>
      <c r="I188" s="205"/>
      <c r="J188" s="148" t="e">
        <f>Overview!AD43*Overview!$AA43*Results_energy_scenarios!$E188</f>
        <v>#REF!</v>
      </c>
      <c r="K188" s="148" t="e">
        <f>Overview!AE43*Overview!$AA43*Results_energy_scenarios!$E188</f>
        <v>#REF!</v>
      </c>
      <c r="L188" s="148" t="e">
        <f>Overview!AF43*Overview!$AA43*Results_energy_scenarios!$E188</f>
        <v>#REF!</v>
      </c>
      <c r="M188" s="148" t="e">
        <f>Overview!AG43*Overview!$AA43*Results_energy_scenarios!$E188</f>
        <v>#REF!</v>
      </c>
      <c r="N188" s="148" t="e">
        <f>Overview!AH43*Overview!$AA43*Results_energy_scenarios!$E188</f>
        <v>#REF!</v>
      </c>
      <c r="O188" s="148" t="e">
        <f>Overview!AI43*Overview!$AA43*Results_energy_scenarios!$E188</f>
        <v>#REF!</v>
      </c>
      <c r="P188" s="148" t="e">
        <f>Overview!AJ43*Overview!$AA43*Results_energy_scenarios!$E188</f>
        <v>#REF!</v>
      </c>
      <c r="Q188" s="148" t="e">
        <f>Overview!AK43*Overview!$AA43*Results_energy_scenarios!$E188</f>
        <v>#REF!</v>
      </c>
      <c r="R188" s="148" t="e">
        <f>Overview!AL43*Overview!$AA43*Results_energy_scenarios!$E188</f>
        <v>#REF!</v>
      </c>
      <c r="S188" s="148" t="e">
        <f>Overview!AM43*Overview!$AA43*Results_energy_scenarios!$E188</f>
        <v>#REF!</v>
      </c>
      <c r="T188" s="148" t="e">
        <f>Overview!AN43*Overview!$AA43*Results_energy_scenarios!$E188</f>
        <v>#REF!</v>
      </c>
      <c r="U188" s="148" t="e">
        <f>Overview!AO43*Overview!$AA43*Results_energy_scenarios!$E188</f>
        <v>#REF!</v>
      </c>
      <c r="V188" s="148" t="e">
        <f>Overview!AP43*Overview!$AA43*Results_energy_scenarios!$E188</f>
        <v>#REF!</v>
      </c>
      <c r="W188" s="148" t="e">
        <f>Overview!AQ43*Overview!$AA43*Results_energy_scenarios!$E188</f>
        <v>#REF!</v>
      </c>
      <c r="X188" s="148" t="e">
        <f>Overview!AR43*Overview!$AA43*Results_energy_scenarios!$E188</f>
        <v>#REF!</v>
      </c>
      <c r="Y188" s="101" t="e">
        <f>Overview!AS43*Overview!$AA43*Results_energy_scenarios!$E188</f>
        <v>#REF!</v>
      </c>
      <c r="Z188" s="148" t="e">
        <f>Overview!CP43*Overview!$AA43*Results_energy_scenarios!$E188</f>
        <v>#REF!</v>
      </c>
      <c r="AA188" s="148" t="e">
        <f>Overview!CQ43*Overview!$AA43*Results_energy_scenarios!$E188</f>
        <v>#REF!</v>
      </c>
      <c r="AB188" s="148" t="e">
        <f>Overview!CR43*Overview!$AA43*Results_energy_scenarios!$E188</f>
        <v>#REF!</v>
      </c>
      <c r="AC188" s="148" t="e">
        <f>Overview!CS43*Overview!$AA43*Results_energy_scenarios!$E188</f>
        <v>#REF!</v>
      </c>
      <c r="AD188" s="148" t="e">
        <f>Overview!CT43*Overview!$AA43*Results_energy_scenarios!$E188</f>
        <v>#REF!</v>
      </c>
      <c r="AE188" s="148" t="e">
        <f>Overview!CU43*Overview!$AA43*Results_energy_scenarios!$E188</f>
        <v>#REF!</v>
      </c>
      <c r="AF188" s="148" t="e">
        <f>Overview!CV43*Overview!$AA43*Results_energy_scenarios!$E188</f>
        <v>#REF!</v>
      </c>
      <c r="AG188" s="148" t="e">
        <f>Overview!CW43*Overview!$AA43*Results_energy_scenarios!$E188</f>
        <v>#REF!</v>
      </c>
      <c r="AH188" s="148" t="e">
        <f>Overview!CX43*Overview!$AA43*Results_energy_scenarios!$E188</f>
        <v>#REF!</v>
      </c>
      <c r="AI188" s="148" t="e">
        <f>Overview!CY43*Overview!$AA43*Results_energy_scenarios!$E188</f>
        <v>#REF!</v>
      </c>
      <c r="AJ188" s="148" t="e">
        <f>Overview!CZ43*Overview!$AA43*Results_energy_scenarios!$E188</f>
        <v>#REF!</v>
      </c>
      <c r="AK188" s="148" t="e">
        <f>Overview!DA43*Overview!$AA43*Results_energy_scenarios!$E188</f>
        <v>#REF!</v>
      </c>
      <c r="AL188" s="148" t="e">
        <f>Overview!DB43*Overview!$AA43*Results_energy_scenarios!$E188</f>
        <v>#REF!</v>
      </c>
      <c r="AM188" s="148" t="e">
        <f>Overview!DC43*Overview!$AA43*Results_energy_scenarios!$E188</f>
        <v>#REF!</v>
      </c>
      <c r="AN188" s="148" t="e">
        <f>Overview!DD43*Overview!$AA43*Results_energy_scenarios!$E188</f>
        <v>#REF!</v>
      </c>
      <c r="AO188" s="146" t="e">
        <f>Overview!DE43*Overview!$AA43*Results_energy_scenarios!$E188</f>
        <v>#REF!</v>
      </c>
    </row>
    <row r="189" spans="1:41">
      <c r="A189" t="s">
        <v>520</v>
      </c>
      <c r="B189" t="s">
        <v>376</v>
      </c>
      <c r="C189" t="s">
        <v>328</v>
      </c>
      <c r="D189" s="117" t="s">
        <v>523</v>
      </c>
      <c r="E189" s="103"/>
      <c r="F189" s="236"/>
      <c r="G189">
        <v>1467</v>
      </c>
      <c r="H189" s="103"/>
      <c r="I189" s="205"/>
      <c r="J189" s="148" t="e">
        <f t="shared" ref="J189:AO189" si="118">J151/$G151*$G189</f>
        <v>#REF!</v>
      </c>
      <c r="K189" s="148" t="e">
        <f t="shared" si="118"/>
        <v>#REF!</v>
      </c>
      <c r="L189" s="148" t="e">
        <f t="shared" si="118"/>
        <v>#REF!</v>
      </c>
      <c r="M189" s="148" t="e">
        <f t="shared" si="118"/>
        <v>#REF!</v>
      </c>
      <c r="N189" s="148" t="e">
        <f t="shared" si="118"/>
        <v>#REF!</v>
      </c>
      <c r="O189" s="148" t="e">
        <f t="shared" si="118"/>
        <v>#REF!</v>
      </c>
      <c r="P189" s="148" t="e">
        <f t="shared" si="118"/>
        <v>#REF!</v>
      </c>
      <c r="Q189" s="148" t="e">
        <f t="shared" si="118"/>
        <v>#REF!</v>
      </c>
      <c r="R189" s="148" t="e">
        <f t="shared" si="118"/>
        <v>#REF!</v>
      </c>
      <c r="S189" s="148" t="e">
        <f t="shared" si="118"/>
        <v>#REF!</v>
      </c>
      <c r="T189" s="148" t="e">
        <f t="shared" si="118"/>
        <v>#REF!</v>
      </c>
      <c r="U189" s="148" t="e">
        <f t="shared" si="118"/>
        <v>#REF!</v>
      </c>
      <c r="V189" s="148" t="e">
        <f t="shared" si="118"/>
        <v>#REF!</v>
      </c>
      <c r="W189" s="148" t="e">
        <f t="shared" si="118"/>
        <v>#REF!</v>
      </c>
      <c r="X189" s="148" t="e">
        <f t="shared" si="118"/>
        <v>#REF!</v>
      </c>
      <c r="Y189" s="101" t="e">
        <f t="shared" si="118"/>
        <v>#REF!</v>
      </c>
      <c r="Z189" s="148" t="e">
        <f t="shared" si="118"/>
        <v>#REF!</v>
      </c>
      <c r="AA189" s="148" t="e">
        <f t="shared" si="118"/>
        <v>#REF!</v>
      </c>
      <c r="AB189" s="148" t="e">
        <f t="shared" si="118"/>
        <v>#REF!</v>
      </c>
      <c r="AC189" s="148" t="e">
        <f t="shared" si="118"/>
        <v>#REF!</v>
      </c>
      <c r="AD189" s="148" t="e">
        <f t="shared" si="118"/>
        <v>#REF!</v>
      </c>
      <c r="AE189" s="148" t="e">
        <f t="shared" si="118"/>
        <v>#REF!</v>
      </c>
      <c r="AF189" s="148" t="e">
        <f t="shared" si="118"/>
        <v>#REF!</v>
      </c>
      <c r="AG189" s="148" t="e">
        <f t="shared" si="118"/>
        <v>#REF!</v>
      </c>
      <c r="AH189" s="148" t="e">
        <f t="shared" si="118"/>
        <v>#REF!</v>
      </c>
      <c r="AI189" s="148" t="e">
        <f t="shared" si="118"/>
        <v>#REF!</v>
      </c>
      <c r="AJ189" s="148" t="e">
        <f t="shared" si="118"/>
        <v>#REF!</v>
      </c>
      <c r="AK189" s="148" t="e">
        <f t="shared" si="118"/>
        <v>#REF!</v>
      </c>
      <c r="AL189" s="148" t="e">
        <f t="shared" si="118"/>
        <v>#REF!</v>
      </c>
      <c r="AM189" s="148" t="e">
        <f t="shared" si="118"/>
        <v>#REF!</v>
      </c>
      <c r="AN189" s="148" t="e">
        <f t="shared" si="118"/>
        <v>#REF!</v>
      </c>
      <c r="AO189" s="146" t="e">
        <f t="shared" si="118"/>
        <v>#REF!</v>
      </c>
    </row>
    <row r="190" spans="1:41">
      <c r="A190" t="s">
        <v>520</v>
      </c>
      <c r="B190" t="s">
        <v>376</v>
      </c>
      <c r="C190" t="s">
        <v>327</v>
      </c>
      <c r="D190" s="140" t="s">
        <v>415</v>
      </c>
      <c r="E190">
        <f>energy_data_per_scenario!D16*1000</f>
        <v>3200</v>
      </c>
      <c r="F190" s="103"/>
      <c r="G190" s="103"/>
      <c r="H190" s="103"/>
      <c r="I190" s="205"/>
      <c r="J190" s="148" t="e">
        <f>Overview!AD33*Overview!$AA33*Results_energy_scenarios!$E190</f>
        <v>#REF!</v>
      </c>
      <c r="K190" s="148" t="e">
        <f>Overview!AE33*Overview!$AA33*Results_energy_scenarios!$E190</f>
        <v>#REF!</v>
      </c>
      <c r="L190" s="148" t="e">
        <f>Overview!AF33*Overview!$AA33*Results_energy_scenarios!$E190</f>
        <v>#REF!</v>
      </c>
      <c r="M190" s="148" t="e">
        <f>Overview!AG33*Overview!$AA33*Results_energy_scenarios!$E190</f>
        <v>#REF!</v>
      </c>
      <c r="N190" s="148" t="e">
        <f>Overview!AH33*Overview!$AA33*Results_energy_scenarios!$E190</f>
        <v>#REF!</v>
      </c>
      <c r="O190" s="148" t="e">
        <f>Overview!AI33*Overview!$AA33*Results_energy_scenarios!$E190</f>
        <v>#REF!</v>
      </c>
      <c r="P190" s="148" t="e">
        <f>Overview!AJ33*Overview!$AA33*Results_energy_scenarios!$E190</f>
        <v>#REF!</v>
      </c>
      <c r="Q190" s="148" t="e">
        <f>Overview!AK33*Overview!$AA33*Results_energy_scenarios!$E190</f>
        <v>#REF!</v>
      </c>
      <c r="R190" s="148" t="e">
        <f>Overview!AL33*Overview!$AA33*Results_energy_scenarios!$E190</f>
        <v>#REF!</v>
      </c>
      <c r="S190" s="148" t="e">
        <f>Overview!AM33*Overview!$AA33*Results_energy_scenarios!$E190</f>
        <v>#REF!</v>
      </c>
      <c r="T190" s="148" t="e">
        <f>Overview!AN33*Overview!$AA33*Results_energy_scenarios!$E190</f>
        <v>#REF!</v>
      </c>
      <c r="U190" s="148" t="e">
        <f>Overview!AO33*Overview!$AA33*Results_energy_scenarios!$E190</f>
        <v>#REF!</v>
      </c>
      <c r="V190" s="148" t="e">
        <f>Overview!AP33*Overview!$AA33*Results_energy_scenarios!$E190</f>
        <v>#REF!</v>
      </c>
      <c r="W190" s="148" t="e">
        <f>Overview!AQ33*Overview!$AA33*Results_energy_scenarios!$E190</f>
        <v>#REF!</v>
      </c>
      <c r="X190" s="148" t="e">
        <f>Overview!AR33*Overview!$AA33*Results_energy_scenarios!$E190</f>
        <v>#REF!</v>
      </c>
      <c r="Y190" s="101" t="e">
        <f>Overview!AS33*Overview!$AA33*Results_energy_scenarios!$E190</f>
        <v>#REF!</v>
      </c>
      <c r="Z190" s="148" t="e">
        <f>Overview!CP33*Overview!$AA33*Results_energy_scenarios!$E190</f>
        <v>#REF!</v>
      </c>
      <c r="AA190" s="148" t="e">
        <f>Overview!CQ33*Overview!$AA33*Results_energy_scenarios!$E190</f>
        <v>#REF!</v>
      </c>
      <c r="AB190" s="148" t="e">
        <f>Overview!CR33*Overview!$AA33*Results_energy_scenarios!$E190</f>
        <v>#REF!</v>
      </c>
      <c r="AC190" s="148" t="e">
        <f>Overview!CS33*Overview!$AA33*Results_energy_scenarios!$E190</f>
        <v>#REF!</v>
      </c>
      <c r="AD190" s="148" t="e">
        <f>Overview!CT33*Overview!$AA33*Results_energy_scenarios!$E190</f>
        <v>#REF!</v>
      </c>
      <c r="AE190" s="148" t="e">
        <f>Overview!CU33*Overview!$AA33*Results_energy_scenarios!$E190</f>
        <v>#REF!</v>
      </c>
      <c r="AF190" s="148" t="e">
        <f>Overview!CV33*Overview!$AA33*Results_energy_scenarios!$E190</f>
        <v>#REF!</v>
      </c>
      <c r="AG190" s="148" t="e">
        <f>Overview!CW33*Overview!$AA33*Results_energy_scenarios!$E190</f>
        <v>#REF!</v>
      </c>
      <c r="AH190" s="148" t="e">
        <f>Overview!CX33*Overview!$AA33*Results_energy_scenarios!$E190</f>
        <v>#REF!</v>
      </c>
      <c r="AI190" s="148" t="e">
        <f>Overview!CY33*Overview!$AA33*Results_energy_scenarios!$E190</f>
        <v>#REF!</v>
      </c>
      <c r="AJ190" s="148" t="e">
        <f>Overview!CZ33*Overview!$AA33*Results_energy_scenarios!$E190</f>
        <v>#REF!</v>
      </c>
      <c r="AK190" s="148" t="e">
        <f>Overview!DA33*Overview!$AA33*Results_energy_scenarios!$E190</f>
        <v>#REF!</v>
      </c>
      <c r="AL190" s="148" t="e">
        <f>Overview!DB33*Overview!$AA33*Results_energy_scenarios!$E190</f>
        <v>#REF!</v>
      </c>
      <c r="AM190" s="148" t="e">
        <f>Overview!DC33*Overview!$AA33*Results_energy_scenarios!$E190</f>
        <v>#REF!</v>
      </c>
      <c r="AN190" s="148" t="e">
        <f>Overview!DD33*Overview!$AA33*Results_energy_scenarios!$E190</f>
        <v>#REF!</v>
      </c>
      <c r="AO190" s="146" t="e">
        <f>Overview!DE33*Overview!$AA33*Results_energy_scenarios!$E190</f>
        <v>#REF!</v>
      </c>
    </row>
    <row r="191" spans="1:41">
      <c r="A191" t="s">
        <v>520</v>
      </c>
      <c r="B191" t="s">
        <v>376</v>
      </c>
      <c r="C191" t="s">
        <v>327</v>
      </c>
      <c r="D191" s="117" t="s">
        <v>523</v>
      </c>
      <c r="E191" s="103"/>
      <c r="F191" s="103"/>
      <c r="G191">
        <v>3899</v>
      </c>
      <c r="H191" s="103"/>
      <c r="I191" s="205"/>
      <c r="J191" s="148" t="e">
        <f t="shared" ref="J191:AO191" si="119">J151/$G151*$G191</f>
        <v>#REF!</v>
      </c>
      <c r="K191" s="148" t="e">
        <f t="shared" si="119"/>
        <v>#REF!</v>
      </c>
      <c r="L191" s="148" t="e">
        <f t="shared" si="119"/>
        <v>#REF!</v>
      </c>
      <c r="M191" s="148" t="e">
        <f t="shared" si="119"/>
        <v>#REF!</v>
      </c>
      <c r="N191" s="148" t="e">
        <f t="shared" si="119"/>
        <v>#REF!</v>
      </c>
      <c r="O191" s="148" t="e">
        <f t="shared" si="119"/>
        <v>#REF!</v>
      </c>
      <c r="P191" s="148" t="e">
        <f t="shared" si="119"/>
        <v>#REF!</v>
      </c>
      <c r="Q191" s="148" t="e">
        <f t="shared" si="119"/>
        <v>#REF!</v>
      </c>
      <c r="R191" s="148" t="e">
        <f t="shared" si="119"/>
        <v>#REF!</v>
      </c>
      <c r="S191" s="148" t="e">
        <f t="shared" si="119"/>
        <v>#REF!</v>
      </c>
      <c r="T191" s="148" t="e">
        <f t="shared" si="119"/>
        <v>#REF!</v>
      </c>
      <c r="U191" s="148" t="e">
        <f t="shared" si="119"/>
        <v>#REF!</v>
      </c>
      <c r="V191" s="148" t="e">
        <f t="shared" si="119"/>
        <v>#REF!</v>
      </c>
      <c r="W191" s="148" t="e">
        <f t="shared" si="119"/>
        <v>#REF!</v>
      </c>
      <c r="X191" s="148" t="e">
        <f t="shared" si="119"/>
        <v>#REF!</v>
      </c>
      <c r="Y191" s="101" t="e">
        <f t="shared" si="119"/>
        <v>#REF!</v>
      </c>
      <c r="Z191" s="148" t="e">
        <f t="shared" si="119"/>
        <v>#REF!</v>
      </c>
      <c r="AA191" s="148" t="e">
        <f t="shared" si="119"/>
        <v>#REF!</v>
      </c>
      <c r="AB191" s="148" t="e">
        <f t="shared" si="119"/>
        <v>#REF!</v>
      </c>
      <c r="AC191" s="148" t="e">
        <f t="shared" si="119"/>
        <v>#REF!</v>
      </c>
      <c r="AD191" s="148" t="e">
        <f t="shared" si="119"/>
        <v>#REF!</v>
      </c>
      <c r="AE191" s="148" t="e">
        <f t="shared" si="119"/>
        <v>#REF!</v>
      </c>
      <c r="AF191" s="148" t="e">
        <f t="shared" si="119"/>
        <v>#REF!</v>
      </c>
      <c r="AG191" s="148" t="e">
        <f t="shared" si="119"/>
        <v>#REF!</v>
      </c>
      <c r="AH191" s="148" t="e">
        <f t="shared" si="119"/>
        <v>#REF!</v>
      </c>
      <c r="AI191" s="148" t="e">
        <f t="shared" si="119"/>
        <v>#REF!</v>
      </c>
      <c r="AJ191" s="148" t="e">
        <f t="shared" si="119"/>
        <v>#REF!</v>
      </c>
      <c r="AK191" s="148" t="e">
        <f t="shared" si="119"/>
        <v>#REF!</v>
      </c>
      <c r="AL191" s="148" t="e">
        <f t="shared" si="119"/>
        <v>#REF!</v>
      </c>
      <c r="AM191" s="148" t="e">
        <f t="shared" si="119"/>
        <v>#REF!</v>
      </c>
      <c r="AN191" s="148" t="e">
        <f t="shared" si="119"/>
        <v>#REF!</v>
      </c>
      <c r="AO191" s="146" t="e">
        <f t="shared" si="119"/>
        <v>#REF!</v>
      </c>
    </row>
    <row r="192" spans="1:41" s="90" customFormat="1">
      <c r="A192" s="90" t="s">
        <v>520</v>
      </c>
      <c r="B192" s="90" t="s">
        <v>376</v>
      </c>
      <c r="C192" s="90" t="s">
        <v>337</v>
      </c>
      <c r="E192" s="90">
        <f>SUM(E186:E190)</f>
        <v>77990</v>
      </c>
      <c r="F192" s="109"/>
      <c r="G192" s="109"/>
      <c r="H192" s="109"/>
      <c r="I192" s="175"/>
      <c r="J192" s="122" t="e">
        <f>SUM(J186:J191)</f>
        <v>#REF!</v>
      </c>
      <c r="K192" s="122" t="e">
        <f t="shared" ref="K192:AO192" si="120">SUM(K186:K191)</f>
        <v>#REF!</v>
      </c>
      <c r="L192" s="122" t="e">
        <f t="shared" si="120"/>
        <v>#REF!</v>
      </c>
      <c r="M192" s="122" t="e">
        <f t="shared" si="120"/>
        <v>#REF!</v>
      </c>
      <c r="N192" s="122" t="e">
        <f t="shared" si="120"/>
        <v>#REF!</v>
      </c>
      <c r="O192" s="122" t="e">
        <f t="shared" si="120"/>
        <v>#REF!</v>
      </c>
      <c r="P192" s="122" t="e">
        <f t="shared" si="120"/>
        <v>#REF!</v>
      </c>
      <c r="Q192" s="122" t="e">
        <f t="shared" si="120"/>
        <v>#REF!</v>
      </c>
      <c r="R192" s="122" t="e">
        <f t="shared" si="120"/>
        <v>#REF!</v>
      </c>
      <c r="S192" s="122" t="e">
        <f t="shared" si="120"/>
        <v>#REF!</v>
      </c>
      <c r="T192" s="122" t="e">
        <f t="shared" si="120"/>
        <v>#REF!</v>
      </c>
      <c r="U192" s="122" t="e">
        <f t="shared" si="120"/>
        <v>#REF!</v>
      </c>
      <c r="V192" s="122" t="e">
        <f t="shared" si="120"/>
        <v>#REF!</v>
      </c>
      <c r="W192" s="122" t="e">
        <f t="shared" si="120"/>
        <v>#REF!</v>
      </c>
      <c r="X192" s="122" t="e">
        <f t="shared" si="120"/>
        <v>#REF!</v>
      </c>
      <c r="Y192" s="123" t="e">
        <f t="shared" si="120"/>
        <v>#REF!</v>
      </c>
      <c r="Z192" s="122" t="e">
        <f t="shared" si="120"/>
        <v>#REF!</v>
      </c>
      <c r="AA192" s="122" t="e">
        <f t="shared" si="120"/>
        <v>#REF!</v>
      </c>
      <c r="AB192" s="122" t="e">
        <f t="shared" si="120"/>
        <v>#REF!</v>
      </c>
      <c r="AC192" s="122" t="e">
        <f t="shared" si="120"/>
        <v>#REF!</v>
      </c>
      <c r="AD192" s="122" t="e">
        <f t="shared" si="120"/>
        <v>#REF!</v>
      </c>
      <c r="AE192" s="122" t="e">
        <f t="shared" si="120"/>
        <v>#REF!</v>
      </c>
      <c r="AF192" s="122" t="e">
        <f t="shared" si="120"/>
        <v>#REF!</v>
      </c>
      <c r="AG192" s="122" t="e">
        <f t="shared" si="120"/>
        <v>#REF!</v>
      </c>
      <c r="AH192" s="122" t="e">
        <f t="shared" si="120"/>
        <v>#REF!</v>
      </c>
      <c r="AI192" s="122" t="e">
        <f t="shared" si="120"/>
        <v>#REF!</v>
      </c>
      <c r="AJ192" s="122" t="e">
        <f t="shared" si="120"/>
        <v>#REF!</v>
      </c>
      <c r="AK192" s="122" t="e">
        <f t="shared" si="120"/>
        <v>#REF!</v>
      </c>
      <c r="AL192" s="122" t="e">
        <f t="shared" si="120"/>
        <v>#REF!</v>
      </c>
      <c r="AM192" s="122" t="e">
        <f t="shared" si="120"/>
        <v>#REF!</v>
      </c>
      <c r="AN192" s="122" t="e">
        <f t="shared" si="120"/>
        <v>#REF!</v>
      </c>
      <c r="AO192" s="123" t="e">
        <f t="shared" si="120"/>
        <v>#REF!</v>
      </c>
    </row>
    <row r="193" spans="1:41" s="90" customFormat="1" ht="15" thickBot="1">
      <c r="A193" s="134" t="s">
        <v>520</v>
      </c>
      <c r="B193" s="134" t="s">
        <v>376</v>
      </c>
      <c r="C193" s="134" t="s">
        <v>391</v>
      </c>
      <c r="D193" s="134"/>
      <c r="E193" s="134">
        <v>1</v>
      </c>
      <c r="F193" s="135"/>
      <c r="G193" s="135"/>
      <c r="H193" s="135"/>
      <c r="I193" s="168"/>
      <c r="J193" s="137" t="e">
        <f>J192/$E192</f>
        <v>#REF!</v>
      </c>
      <c r="K193" s="137" t="e">
        <f t="shared" ref="K193:AO193" si="121">K192/$E192</f>
        <v>#REF!</v>
      </c>
      <c r="L193" s="137" t="e">
        <f t="shared" si="121"/>
        <v>#REF!</v>
      </c>
      <c r="M193" s="137" t="e">
        <f t="shared" si="121"/>
        <v>#REF!</v>
      </c>
      <c r="N193" s="137" t="e">
        <f t="shared" si="121"/>
        <v>#REF!</v>
      </c>
      <c r="O193" s="137" t="e">
        <f t="shared" si="121"/>
        <v>#REF!</v>
      </c>
      <c r="P193" s="137" t="e">
        <f t="shared" si="121"/>
        <v>#REF!</v>
      </c>
      <c r="Q193" s="137" t="e">
        <f t="shared" si="121"/>
        <v>#REF!</v>
      </c>
      <c r="R193" s="137" t="e">
        <f t="shared" si="121"/>
        <v>#REF!</v>
      </c>
      <c r="S193" s="137" t="e">
        <f t="shared" si="121"/>
        <v>#REF!</v>
      </c>
      <c r="T193" s="137" t="e">
        <f t="shared" si="121"/>
        <v>#REF!</v>
      </c>
      <c r="U193" s="137" t="e">
        <f t="shared" si="121"/>
        <v>#REF!</v>
      </c>
      <c r="V193" s="137" t="e">
        <f t="shared" si="121"/>
        <v>#REF!</v>
      </c>
      <c r="W193" s="137" t="e">
        <f t="shared" si="121"/>
        <v>#REF!</v>
      </c>
      <c r="X193" s="137" t="e">
        <f t="shared" si="121"/>
        <v>#REF!</v>
      </c>
      <c r="Y193" s="138" t="e">
        <f t="shared" si="121"/>
        <v>#REF!</v>
      </c>
      <c r="Z193" s="137" t="e">
        <f t="shared" si="121"/>
        <v>#REF!</v>
      </c>
      <c r="AA193" s="137" t="e">
        <f t="shared" si="121"/>
        <v>#REF!</v>
      </c>
      <c r="AB193" s="137" t="e">
        <f t="shared" si="121"/>
        <v>#REF!</v>
      </c>
      <c r="AC193" s="137" t="e">
        <f t="shared" si="121"/>
        <v>#REF!</v>
      </c>
      <c r="AD193" s="137" t="e">
        <f t="shared" si="121"/>
        <v>#REF!</v>
      </c>
      <c r="AE193" s="137" t="e">
        <f t="shared" si="121"/>
        <v>#REF!</v>
      </c>
      <c r="AF193" s="137" t="e">
        <f t="shared" si="121"/>
        <v>#REF!</v>
      </c>
      <c r="AG193" s="137" t="e">
        <f t="shared" si="121"/>
        <v>#REF!</v>
      </c>
      <c r="AH193" s="137" t="e">
        <f t="shared" si="121"/>
        <v>#REF!</v>
      </c>
      <c r="AI193" s="137" t="e">
        <f t="shared" si="121"/>
        <v>#REF!</v>
      </c>
      <c r="AJ193" s="137" t="e">
        <f t="shared" si="121"/>
        <v>#REF!</v>
      </c>
      <c r="AK193" s="137" t="e">
        <f t="shared" si="121"/>
        <v>#REF!</v>
      </c>
      <c r="AL193" s="137" t="e">
        <f t="shared" si="121"/>
        <v>#REF!</v>
      </c>
      <c r="AM193" s="137" t="e">
        <f t="shared" si="121"/>
        <v>#REF!</v>
      </c>
      <c r="AN193" s="137" t="e">
        <f t="shared" si="121"/>
        <v>#REF!</v>
      </c>
      <c r="AO193" s="138" t="e">
        <f t="shared" si="121"/>
        <v>#REF!</v>
      </c>
    </row>
    <row r="194" spans="1:41"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  <c r="AC194" s="148"/>
      <c r="AD194" s="148"/>
      <c r="AE194" s="148"/>
      <c r="AF194" s="148"/>
      <c r="AG194" s="148"/>
      <c r="AH194" s="148"/>
      <c r="AI194" s="148"/>
      <c r="AJ194" s="148"/>
      <c r="AK194" s="148"/>
      <c r="AL194" s="148"/>
      <c r="AM194" s="148"/>
      <c r="AN194" s="148"/>
      <c r="AO194" s="146"/>
    </row>
    <row r="195" spans="1:41" s="191" customFormat="1" ht="7" customHeight="1"/>
    <row r="198" spans="1:41" ht="15.5">
      <c r="A198" s="243" t="s">
        <v>413</v>
      </c>
      <c r="B198" s="243"/>
      <c r="C198" s="243"/>
      <c r="D198" s="243"/>
      <c r="E198" s="243"/>
      <c r="F198" s="243"/>
      <c r="G198" s="243"/>
      <c r="H198" s="243"/>
      <c r="I198" s="243"/>
      <c r="J198" s="243"/>
      <c r="K198" s="243"/>
      <c r="L198" s="243"/>
      <c r="M198" s="243"/>
      <c r="N198" s="243"/>
      <c r="O198" s="243"/>
      <c r="P198" s="243"/>
      <c r="Q198" s="243"/>
      <c r="R198" s="243"/>
      <c r="S198" s="243"/>
      <c r="T198" s="243"/>
      <c r="U198" s="243"/>
      <c r="V198" s="243"/>
      <c r="W198" s="243"/>
      <c r="X198" s="243"/>
      <c r="Y198" s="243"/>
    </row>
    <row r="199" spans="1:41" s="23" customFormat="1" ht="72.5">
      <c r="A199" s="195"/>
      <c r="B199" s="195"/>
      <c r="C199" s="195"/>
      <c r="D199" s="196" t="s">
        <v>419</v>
      </c>
      <c r="E199" s="196" t="s">
        <v>467</v>
      </c>
      <c r="F199" s="196"/>
      <c r="G199" s="196"/>
      <c r="H199" s="196" t="s">
        <v>332</v>
      </c>
      <c r="I199" s="196"/>
      <c r="J199" s="197" t="s">
        <v>480</v>
      </c>
      <c r="K199" s="195" t="s">
        <v>228</v>
      </c>
      <c r="L199" s="195" t="s">
        <v>239</v>
      </c>
      <c r="M199" s="195" t="s">
        <v>240</v>
      </c>
      <c r="N199" s="196" t="s">
        <v>241</v>
      </c>
      <c r="O199" s="195" t="s">
        <v>242</v>
      </c>
      <c r="P199" s="195" t="s">
        <v>232</v>
      </c>
      <c r="Q199" s="195" t="s">
        <v>233</v>
      </c>
      <c r="R199" s="195" t="s">
        <v>234</v>
      </c>
      <c r="S199" s="195" t="s">
        <v>235</v>
      </c>
      <c r="T199" s="195" t="s">
        <v>572</v>
      </c>
      <c r="U199" s="195" t="s">
        <v>231</v>
      </c>
      <c r="V199" s="195" t="s">
        <v>236</v>
      </c>
      <c r="W199" s="195" t="s">
        <v>373</v>
      </c>
      <c r="X199" s="195" t="s">
        <v>229</v>
      </c>
      <c r="Y199" s="195" t="s">
        <v>238</v>
      </c>
    </row>
    <row r="200" spans="1:41">
      <c r="A200" t="s">
        <v>413</v>
      </c>
      <c r="B200" t="s">
        <v>421</v>
      </c>
      <c r="C200" t="s">
        <v>481</v>
      </c>
      <c r="J200" t="e">
        <f>#REF!*1000000/1000</f>
        <v>#REF!</v>
      </c>
      <c r="K200" t="e">
        <f>#REF!*1000000</f>
        <v>#REF!</v>
      </c>
      <c r="L200" t="e">
        <f>#REF!*1000000</f>
        <v>#REF!</v>
      </c>
      <c r="M200" t="e">
        <f>#REF!*1000000</f>
        <v>#REF!</v>
      </c>
      <c r="N200" t="e">
        <f>#REF!*1000000</f>
        <v>#REF!</v>
      </c>
      <c r="O200" t="e">
        <f>#REF!*1000000</f>
        <v>#REF!</v>
      </c>
      <c r="P200" t="e">
        <f>#REF!*1000000</f>
        <v>#REF!</v>
      </c>
      <c r="Q200" t="e">
        <f>#REF!*1000000</f>
        <v>#REF!</v>
      </c>
      <c r="R200" t="e">
        <f>#REF!*1000000</f>
        <v>#REF!</v>
      </c>
      <c r="S200" t="e">
        <f>#REF!*1000000</f>
        <v>#REF!</v>
      </c>
      <c r="T200" t="e">
        <f>#REF!*1000000</f>
        <v>#REF!</v>
      </c>
      <c r="U200" t="e">
        <f>#REF!*1000000</f>
        <v>#REF!</v>
      </c>
      <c r="V200" t="e">
        <f>#REF!*1000000</f>
        <v>#REF!</v>
      </c>
      <c r="W200" t="e">
        <f>#REF!*1000000</f>
        <v>#REF!</v>
      </c>
      <c r="X200" t="e">
        <f>#REF!*1000000</f>
        <v>#REF!</v>
      </c>
      <c r="Y200" t="e">
        <f>#REF!*1000000</f>
        <v>#REF!</v>
      </c>
    </row>
    <row r="201" spans="1:41">
      <c r="C201" t="s">
        <v>451</v>
      </c>
      <c r="H201" t="s">
        <v>334</v>
      </c>
      <c r="J201" t="e">
        <f t="shared" ref="J201:Y201" si="122">J$200*J233</f>
        <v>#REF!</v>
      </c>
      <c r="K201" t="e">
        <f t="shared" si="122"/>
        <v>#REF!</v>
      </c>
      <c r="L201" t="e">
        <f t="shared" si="122"/>
        <v>#REF!</v>
      </c>
      <c r="M201" t="e">
        <f t="shared" si="122"/>
        <v>#REF!</v>
      </c>
      <c r="N201" t="e">
        <f t="shared" si="122"/>
        <v>#REF!</v>
      </c>
      <c r="O201" t="e">
        <f t="shared" si="122"/>
        <v>#REF!</v>
      </c>
      <c r="P201" t="e">
        <f t="shared" si="122"/>
        <v>#REF!</v>
      </c>
      <c r="Q201" t="e">
        <f t="shared" si="122"/>
        <v>#REF!</v>
      </c>
      <c r="R201" t="e">
        <f t="shared" si="122"/>
        <v>#REF!</v>
      </c>
      <c r="S201" t="e">
        <f t="shared" si="122"/>
        <v>#REF!</v>
      </c>
      <c r="T201" t="e">
        <f t="shared" si="122"/>
        <v>#REF!</v>
      </c>
      <c r="U201" t="e">
        <f t="shared" si="122"/>
        <v>#REF!</v>
      </c>
      <c r="V201" t="e">
        <f t="shared" si="122"/>
        <v>#REF!</v>
      </c>
      <c r="W201" t="e">
        <f t="shared" si="122"/>
        <v>#REF!</v>
      </c>
      <c r="X201" t="e">
        <f t="shared" si="122"/>
        <v>#REF!</v>
      </c>
      <c r="Y201" t="e">
        <f t="shared" si="122"/>
        <v>#REF!</v>
      </c>
    </row>
    <row r="202" spans="1:41">
      <c r="C202" t="s">
        <v>452</v>
      </c>
      <c r="H202" t="s">
        <v>334</v>
      </c>
      <c r="J202" t="e">
        <f t="shared" ref="J202:Y202" si="123">J$200*J234</f>
        <v>#REF!</v>
      </c>
      <c r="K202" t="e">
        <f t="shared" si="123"/>
        <v>#REF!</v>
      </c>
      <c r="L202" t="e">
        <f t="shared" si="123"/>
        <v>#REF!</v>
      </c>
      <c r="M202" t="e">
        <f t="shared" si="123"/>
        <v>#REF!</v>
      </c>
      <c r="N202" t="e">
        <f t="shared" si="123"/>
        <v>#REF!</v>
      </c>
      <c r="O202" t="e">
        <f t="shared" si="123"/>
        <v>#REF!</v>
      </c>
      <c r="P202" t="e">
        <f t="shared" si="123"/>
        <v>#REF!</v>
      </c>
      <c r="Q202" t="e">
        <f t="shared" si="123"/>
        <v>#REF!</v>
      </c>
      <c r="R202" t="e">
        <f t="shared" si="123"/>
        <v>#REF!</v>
      </c>
      <c r="S202" t="e">
        <f t="shared" si="123"/>
        <v>#REF!</v>
      </c>
      <c r="T202" t="e">
        <f t="shared" si="123"/>
        <v>#REF!</v>
      </c>
      <c r="U202" t="e">
        <f t="shared" si="123"/>
        <v>#REF!</v>
      </c>
      <c r="V202" t="e">
        <f t="shared" si="123"/>
        <v>#REF!</v>
      </c>
      <c r="W202" t="e">
        <f t="shared" si="123"/>
        <v>#REF!</v>
      </c>
      <c r="X202" t="e">
        <f t="shared" si="123"/>
        <v>#REF!</v>
      </c>
      <c r="Y202" t="e">
        <f t="shared" si="123"/>
        <v>#REF!</v>
      </c>
    </row>
    <row r="203" spans="1:41">
      <c r="C203" t="s">
        <v>399</v>
      </c>
      <c r="H203" t="s">
        <v>37</v>
      </c>
      <c r="J203" t="e">
        <f t="shared" ref="J203:Y203" si="124">J$200*J235</f>
        <v>#REF!</v>
      </c>
      <c r="K203" t="e">
        <f t="shared" si="124"/>
        <v>#REF!</v>
      </c>
      <c r="L203" t="e">
        <f t="shared" si="124"/>
        <v>#REF!</v>
      </c>
      <c r="M203" t="e">
        <f t="shared" si="124"/>
        <v>#REF!</v>
      </c>
      <c r="N203" t="e">
        <f t="shared" si="124"/>
        <v>#REF!</v>
      </c>
      <c r="O203" t="e">
        <f t="shared" si="124"/>
        <v>#REF!</v>
      </c>
      <c r="P203" t="e">
        <f t="shared" si="124"/>
        <v>#REF!</v>
      </c>
      <c r="Q203" t="e">
        <f t="shared" si="124"/>
        <v>#REF!</v>
      </c>
      <c r="R203" t="e">
        <f t="shared" si="124"/>
        <v>#REF!</v>
      </c>
      <c r="S203" t="e">
        <f t="shared" si="124"/>
        <v>#REF!</v>
      </c>
      <c r="T203" t="e">
        <f t="shared" si="124"/>
        <v>#REF!</v>
      </c>
      <c r="U203" t="e">
        <f t="shared" si="124"/>
        <v>#REF!</v>
      </c>
      <c r="V203" t="e">
        <f t="shared" si="124"/>
        <v>#REF!</v>
      </c>
      <c r="W203" t="e">
        <f t="shared" si="124"/>
        <v>#REF!</v>
      </c>
      <c r="X203" t="e">
        <f t="shared" si="124"/>
        <v>#REF!</v>
      </c>
      <c r="Y203" t="e">
        <f t="shared" si="124"/>
        <v>#REF!</v>
      </c>
    </row>
    <row r="204" spans="1:41">
      <c r="C204" t="s">
        <v>458</v>
      </c>
      <c r="H204" t="s">
        <v>334</v>
      </c>
      <c r="J204" t="e">
        <f t="shared" ref="J204:Y204" si="125">J$200*J236</f>
        <v>#REF!</v>
      </c>
      <c r="K204" t="e">
        <f t="shared" si="125"/>
        <v>#REF!</v>
      </c>
      <c r="L204" t="e">
        <f t="shared" si="125"/>
        <v>#REF!</v>
      </c>
      <c r="M204" t="e">
        <f t="shared" si="125"/>
        <v>#REF!</v>
      </c>
      <c r="N204" t="e">
        <f t="shared" si="125"/>
        <v>#REF!</v>
      </c>
      <c r="O204" t="e">
        <f t="shared" si="125"/>
        <v>#REF!</v>
      </c>
      <c r="P204" t="e">
        <f t="shared" si="125"/>
        <v>#REF!</v>
      </c>
      <c r="Q204" t="e">
        <f t="shared" si="125"/>
        <v>#REF!</v>
      </c>
      <c r="R204" t="e">
        <f t="shared" si="125"/>
        <v>#REF!</v>
      </c>
      <c r="S204" t="e">
        <f t="shared" si="125"/>
        <v>#REF!</v>
      </c>
      <c r="T204" t="e">
        <f t="shared" si="125"/>
        <v>#REF!</v>
      </c>
      <c r="U204" t="e">
        <f t="shared" si="125"/>
        <v>#REF!</v>
      </c>
      <c r="V204" t="e">
        <f t="shared" si="125"/>
        <v>#REF!</v>
      </c>
      <c r="W204" t="e">
        <f t="shared" si="125"/>
        <v>#REF!</v>
      </c>
      <c r="X204" t="e">
        <f t="shared" si="125"/>
        <v>#REF!</v>
      </c>
      <c r="Y204" t="e">
        <f t="shared" si="125"/>
        <v>#REF!</v>
      </c>
    </row>
    <row r="205" spans="1:41">
      <c r="C205" t="s">
        <v>515</v>
      </c>
      <c r="H205" t="s">
        <v>37</v>
      </c>
      <c r="J205" t="e">
        <f t="shared" ref="J205:Y205" si="126">J$200*J237</f>
        <v>#REF!</v>
      </c>
      <c r="K205" t="e">
        <f t="shared" si="126"/>
        <v>#REF!</v>
      </c>
      <c r="L205" t="e">
        <f t="shared" si="126"/>
        <v>#REF!</v>
      </c>
      <c r="M205" t="e">
        <f t="shared" si="126"/>
        <v>#REF!</v>
      </c>
      <c r="N205" t="e">
        <f t="shared" si="126"/>
        <v>#REF!</v>
      </c>
      <c r="O205" t="e">
        <f t="shared" si="126"/>
        <v>#REF!</v>
      </c>
      <c r="P205" t="e">
        <f t="shared" si="126"/>
        <v>#REF!</v>
      </c>
      <c r="Q205" t="e">
        <f t="shared" si="126"/>
        <v>#REF!</v>
      </c>
      <c r="R205" t="e">
        <f t="shared" si="126"/>
        <v>#REF!</v>
      </c>
      <c r="S205" t="e">
        <f t="shared" si="126"/>
        <v>#REF!</v>
      </c>
      <c r="T205" t="e">
        <f t="shared" si="126"/>
        <v>#REF!</v>
      </c>
      <c r="U205" t="e">
        <f t="shared" si="126"/>
        <v>#REF!</v>
      </c>
      <c r="V205" t="e">
        <f t="shared" si="126"/>
        <v>#REF!</v>
      </c>
      <c r="W205" t="e">
        <f t="shared" si="126"/>
        <v>#REF!</v>
      </c>
      <c r="X205" t="e">
        <f t="shared" si="126"/>
        <v>#REF!</v>
      </c>
      <c r="Y205" t="e">
        <f t="shared" si="126"/>
        <v>#REF!</v>
      </c>
    </row>
    <row r="206" spans="1:41">
      <c r="C206" t="s">
        <v>190</v>
      </c>
      <c r="H206" t="s">
        <v>37</v>
      </c>
      <c r="J206" t="e">
        <f t="shared" ref="J206:Y206" si="127">J$200*J238</f>
        <v>#REF!</v>
      </c>
      <c r="K206" t="e">
        <f t="shared" si="127"/>
        <v>#REF!</v>
      </c>
      <c r="L206" t="e">
        <f t="shared" si="127"/>
        <v>#REF!</v>
      </c>
      <c r="M206" t="e">
        <f t="shared" si="127"/>
        <v>#REF!</v>
      </c>
      <c r="N206" t="e">
        <f t="shared" si="127"/>
        <v>#REF!</v>
      </c>
      <c r="O206" t="e">
        <f t="shared" si="127"/>
        <v>#REF!</v>
      </c>
      <c r="P206" t="e">
        <f t="shared" si="127"/>
        <v>#REF!</v>
      </c>
      <c r="Q206" t="e">
        <f t="shared" si="127"/>
        <v>#REF!</v>
      </c>
      <c r="R206" t="e">
        <f t="shared" si="127"/>
        <v>#REF!</v>
      </c>
      <c r="S206" t="e">
        <f t="shared" si="127"/>
        <v>#REF!</v>
      </c>
      <c r="T206" t="e">
        <f t="shared" si="127"/>
        <v>#REF!</v>
      </c>
      <c r="U206" t="e">
        <f t="shared" si="127"/>
        <v>#REF!</v>
      </c>
      <c r="V206" t="e">
        <f t="shared" si="127"/>
        <v>#REF!</v>
      </c>
      <c r="W206" t="e">
        <f t="shared" si="127"/>
        <v>#REF!</v>
      </c>
      <c r="X206" t="e">
        <f t="shared" si="127"/>
        <v>#REF!</v>
      </c>
      <c r="Y206" t="e">
        <f t="shared" si="127"/>
        <v>#REF!</v>
      </c>
    </row>
    <row r="207" spans="1:41">
      <c r="C207" t="s">
        <v>372</v>
      </c>
      <c r="H207" t="s">
        <v>37</v>
      </c>
      <c r="J207" t="e">
        <f t="shared" ref="J207:Y207" si="128">J$200*J239</f>
        <v>#REF!</v>
      </c>
      <c r="K207" t="e">
        <f t="shared" si="128"/>
        <v>#REF!</v>
      </c>
      <c r="L207" t="e">
        <f t="shared" si="128"/>
        <v>#REF!</v>
      </c>
      <c r="M207" t="e">
        <f t="shared" si="128"/>
        <v>#REF!</v>
      </c>
      <c r="N207" t="e">
        <f t="shared" si="128"/>
        <v>#REF!</v>
      </c>
      <c r="O207" t="e">
        <f t="shared" si="128"/>
        <v>#REF!</v>
      </c>
      <c r="P207" t="e">
        <f t="shared" si="128"/>
        <v>#REF!</v>
      </c>
      <c r="Q207" t="e">
        <f t="shared" si="128"/>
        <v>#REF!</v>
      </c>
      <c r="R207" t="e">
        <f t="shared" si="128"/>
        <v>#REF!</v>
      </c>
      <c r="S207" t="e">
        <f t="shared" si="128"/>
        <v>#REF!</v>
      </c>
      <c r="T207" t="e">
        <f t="shared" si="128"/>
        <v>#REF!</v>
      </c>
      <c r="U207" t="e">
        <f t="shared" si="128"/>
        <v>#REF!</v>
      </c>
      <c r="V207" t="e">
        <f t="shared" si="128"/>
        <v>#REF!</v>
      </c>
      <c r="W207" t="e">
        <f t="shared" si="128"/>
        <v>#REF!</v>
      </c>
      <c r="X207" t="e">
        <f t="shared" si="128"/>
        <v>#REF!</v>
      </c>
      <c r="Y207" t="e">
        <f t="shared" si="128"/>
        <v>#REF!</v>
      </c>
    </row>
    <row r="208" spans="1:41">
      <c r="C208" t="s">
        <v>453</v>
      </c>
      <c r="H208" t="s">
        <v>37</v>
      </c>
      <c r="J208" t="e">
        <f t="shared" ref="J208:Y208" si="129">J$200*J240</f>
        <v>#REF!</v>
      </c>
      <c r="K208" t="e">
        <f t="shared" si="129"/>
        <v>#REF!</v>
      </c>
      <c r="L208" t="e">
        <f t="shared" si="129"/>
        <v>#REF!</v>
      </c>
      <c r="M208" t="e">
        <f t="shared" si="129"/>
        <v>#REF!</v>
      </c>
      <c r="N208" t="e">
        <f t="shared" si="129"/>
        <v>#REF!</v>
      </c>
      <c r="O208" t="e">
        <f t="shared" si="129"/>
        <v>#REF!</v>
      </c>
      <c r="P208" t="e">
        <f t="shared" si="129"/>
        <v>#REF!</v>
      </c>
      <c r="Q208" t="e">
        <f t="shared" si="129"/>
        <v>#REF!</v>
      </c>
      <c r="R208" t="e">
        <f t="shared" si="129"/>
        <v>#REF!</v>
      </c>
      <c r="S208" t="e">
        <f t="shared" si="129"/>
        <v>#REF!</v>
      </c>
      <c r="T208" t="e">
        <f t="shared" si="129"/>
        <v>#REF!</v>
      </c>
      <c r="U208" t="e">
        <f t="shared" si="129"/>
        <v>#REF!</v>
      </c>
      <c r="V208" t="e">
        <f t="shared" si="129"/>
        <v>#REF!</v>
      </c>
      <c r="W208" t="e">
        <f t="shared" si="129"/>
        <v>#REF!</v>
      </c>
      <c r="X208" t="e">
        <f t="shared" si="129"/>
        <v>#REF!</v>
      </c>
      <c r="Y208" t="e">
        <f t="shared" si="129"/>
        <v>#REF!</v>
      </c>
    </row>
    <row r="209" spans="2:25">
      <c r="C209" t="s">
        <v>454</v>
      </c>
      <c r="H209" t="s">
        <v>37</v>
      </c>
      <c r="J209" t="e">
        <f>J$200*J241</f>
        <v>#REF!</v>
      </c>
      <c r="K209" t="e">
        <f t="shared" ref="K209:Y209" si="130">K$200*K241</f>
        <v>#REF!</v>
      </c>
      <c r="L209" t="e">
        <f t="shared" si="130"/>
        <v>#REF!</v>
      </c>
      <c r="M209" t="e">
        <f t="shared" si="130"/>
        <v>#REF!</v>
      </c>
      <c r="N209" t="e">
        <f t="shared" si="130"/>
        <v>#REF!</v>
      </c>
      <c r="O209" t="e">
        <f t="shared" si="130"/>
        <v>#REF!</v>
      </c>
      <c r="P209" t="e">
        <f t="shared" si="130"/>
        <v>#REF!</v>
      </c>
      <c r="Q209" t="e">
        <f t="shared" si="130"/>
        <v>#REF!</v>
      </c>
      <c r="R209" t="e">
        <f t="shared" si="130"/>
        <v>#REF!</v>
      </c>
      <c r="S209" t="e">
        <f t="shared" si="130"/>
        <v>#REF!</v>
      </c>
      <c r="T209" t="e">
        <f t="shared" si="130"/>
        <v>#REF!</v>
      </c>
      <c r="U209" t="e">
        <f t="shared" si="130"/>
        <v>#REF!</v>
      </c>
      <c r="V209" t="e">
        <f t="shared" si="130"/>
        <v>#REF!</v>
      </c>
      <c r="W209" t="e">
        <f t="shared" si="130"/>
        <v>#REF!</v>
      </c>
      <c r="X209" t="e">
        <f t="shared" si="130"/>
        <v>#REF!</v>
      </c>
      <c r="Y209" t="e">
        <f t="shared" si="130"/>
        <v>#REF!</v>
      </c>
    </row>
    <row r="210" spans="2:25">
      <c r="B210" t="s">
        <v>422</v>
      </c>
      <c r="C210" t="s">
        <v>468</v>
      </c>
      <c r="J210" t="e">
        <f>#REF!*3.6*1000000/1000*J242</f>
        <v>#REF!</v>
      </c>
      <c r="K210" t="e">
        <f>#REF!*3.6*1000000*K242</f>
        <v>#REF!</v>
      </c>
      <c r="L210" t="e">
        <f>#REF!*3.6*1000000*L242</f>
        <v>#REF!</v>
      </c>
      <c r="M210" t="e">
        <f>#REF!*3.6*1000000*M242</f>
        <v>#REF!</v>
      </c>
      <c r="N210" t="e">
        <f>#REF!*3.6*1000000*N242</f>
        <v>#REF!</v>
      </c>
      <c r="O210" t="e">
        <f>#REF!*3.6*1000000*O242</f>
        <v>#REF!</v>
      </c>
      <c r="P210" t="e">
        <f>#REF!*3.6*1000000*P242</f>
        <v>#REF!</v>
      </c>
      <c r="Q210" t="e">
        <f>#REF!*3.6*1000000*Q242</f>
        <v>#REF!</v>
      </c>
      <c r="R210" t="e">
        <f>#REF!*3.6*1000000*R242</f>
        <v>#REF!</v>
      </c>
      <c r="S210" t="e">
        <f>#REF!*3.6*1000000*S242</f>
        <v>#REF!</v>
      </c>
      <c r="T210" t="e">
        <f>#REF!*3.6*1000000*T242</f>
        <v>#REF!</v>
      </c>
      <c r="U210" t="e">
        <f>#REF!*3.6*1000000*U242</f>
        <v>#REF!</v>
      </c>
      <c r="V210" t="e">
        <f>#REF!*3.6*1000000*V242</f>
        <v>#REF!</v>
      </c>
      <c r="W210" t="e">
        <f>#REF!*3.6*1000000*W242</f>
        <v>#REF!</v>
      </c>
      <c r="X210" t="e">
        <f>#REF!*3.6*1000000*X242</f>
        <v>#REF!</v>
      </c>
      <c r="Y210" t="e">
        <f>#REF!*3.6*1000000*Y242</f>
        <v>#REF!</v>
      </c>
    </row>
    <row r="211" spans="2:25">
      <c r="C211" t="s">
        <v>469</v>
      </c>
      <c r="I211" t="s">
        <v>571</v>
      </c>
      <c r="J211" t="e">
        <f t="shared" ref="J211:Y211" si="131">SUM(J212:J217)</f>
        <v>#REF!</v>
      </c>
      <c r="K211" t="e">
        <f t="shared" si="131"/>
        <v>#REF!</v>
      </c>
      <c r="L211" t="e">
        <f t="shared" si="131"/>
        <v>#REF!</v>
      </c>
      <c r="M211" t="e">
        <f t="shared" si="131"/>
        <v>#REF!</v>
      </c>
      <c r="N211" t="e">
        <f t="shared" si="131"/>
        <v>#REF!</v>
      </c>
      <c r="O211" t="e">
        <f t="shared" si="131"/>
        <v>#REF!</v>
      </c>
      <c r="P211" t="e">
        <f t="shared" si="131"/>
        <v>#REF!</v>
      </c>
      <c r="Q211" t="e">
        <f t="shared" si="131"/>
        <v>#REF!</v>
      </c>
      <c r="R211" t="e">
        <f t="shared" si="131"/>
        <v>#REF!</v>
      </c>
      <c r="S211" t="e">
        <f t="shared" si="131"/>
        <v>#REF!</v>
      </c>
      <c r="T211" t="e">
        <f t="shared" si="131"/>
        <v>#REF!</v>
      </c>
      <c r="U211" t="e">
        <f t="shared" si="131"/>
        <v>#REF!</v>
      </c>
      <c r="V211" t="e">
        <f t="shared" si="131"/>
        <v>#REF!</v>
      </c>
      <c r="W211" t="e">
        <f t="shared" si="131"/>
        <v>#REF!</v>
      </c>
      <c r="X211" t="e">
        <f t="shared" si="131"/>
        <v>#REF!</v>
      </c>
      <c r="Y211" t="e">
        <f t="shared" si="131"/>
        <v>#REF!</v>
      </c>
    </row>
    <row r="212" spans="2:25">
      <c r="C212" t="s">
        <v>470</v>
      </c>
      <c r="F212" s="194"/>
      <c r="G212" s="194"/>
      <c r="H212" s="194"/>
      <c r="I212" s="194"/>
      <c r="J212" t="e">
        <f>#REF!*3.6*1000000/1000*J243*J244</f>
        <v>#REF!</v>
      </c>
      <c r="K212" t="e">
        <f>#REF!*3.6*1000000*K243*K244</f>
        <v>#REF!</v>
      </c>
      <c r="L212" t="e">
        <f>#REF!*3.6*1000000*L243*L244</f>
        <v>#REF!</v>
      </c>
      <c r="M212" t="e">
        <f>#REF!*3.6*1000000*M243*M244</f>
        <v>#REF!</v>
      </c>
      <c r="N212" t="e">
        <f>#REF!*3.6*1000000*N243*N244</f>
        <v>#REF!</v>
      </c>
      <c r="O212" t="e">
        <f>#REF!*3.6*1000000*O243*O244</f>
        <v>#REF!</v>
      </c>
      <c r="P212" t="e">
        <f>#REF!*3.6*1000000*P243*P244</f>
        <v>#REF!</v>
      </c>
      <c r="Q212" t="e">
        <f>#REF!*3.6*1000000*Q243*Q244</f>
        <v>#REF!</v>
      </c>
      <c r="R212" t="e">
        <f>#REF!*3.6*1000000*R243*R244</f>
        <v>#REF!</v>
      </c>
      <c r="S212" t="e">
        <f>#REF!*3.6*1000000*S243*S244</f>
        <v>#REF!</v>
      </c>
      <c r="T212" t="e">
        <f>#REF!*3.6*1000000*T243*T244</f>
        <v>#REF!</v>
      </c>
      <c r="U212" t="e">
        <f>#REF!*3.6*1000000*U243*U244</f>
        <v>#REF!</v>
      </c>
      <c r="V212" t="e">
        <f>#REF!*3.6*1000000*V243*V244</f>
        <v>#REF!</v>
      </c>
      <c r="W212" t="e">
        <f>#REF!*3.6*1000000*W243*W244</f>
        <v>#REF!</v>
      </c>
      <c r="X212" t="e">
        <f>#REF!*3.6*1000000*X243*X244</f>
        <v>#REF!</v>
      </c>
      <c r="Y212" t="e">
        <f>#REF!*3.6*1000000*Y243*Y244</f>
        <v>#REF!</v>
      </c>
    </row>
    <row r="213" spans="2:25">
      <c r="C213" t="s">
        <v>474</v>
      </c>
      <c r="F213" s="194"/>
      <c r="G213" s="194"/>
      <c r="H213" s="194"/>
      <c r="I213" s="194"/>
      <c r="J213" t="e">
        <f>#REF!*3.6*1000000/1000*J243*J245</f>
        <v>#REF!</v>
      </c>
      <c r="K213" t="e">
        <f>#REF!*3.6*1000000*K243*K245</f>
        <v>#REF!</v>
      </c>
      <c r="L213" t="e">
        <f>#REF!*3.6*1000000*L243*L245</f>
        <v>#REF!</v>
      </c>
      <c r="M213" t="e">
        <f>#REF!*3.6*1000000*M243*M245</f>
        <v>#REF!</v>
      </c>
      <c r="N213" t="e">
        <f>#REF!*3.6*1000000*N243*N245</f>
        <v>#REF!</v>
      </c>
      <c r="O213" t="e">
        <f>#REF!*3.6*1000000*O243*O245</f>
        <v>#REF!</v>
      </c>
      <c r="P213" t="e">
        <f>#REF!*3.6*1000000*P243*P245</f>
        <v>#REF!</v>
      </c>
      <c r="Q213" t="e">
        <f>#REF!*3.6*1000000*Q243*Q245</f>
        <v>#REF!</v>
      </c>
      <c r="R213" t="e">
        <f>#REF!*3.6*1000000*R243*R245</f>
        <v>#REF!</v>
      </c>
      <c r="S213" t="e">
        <f>#REF!*3.6*1000000*S243*S245</f>
        <v>#REF!</v>
      </c>
      <c r="T213" t="e">
        <f>#REF!*3.6*1000000*T243*T245</f>
        <v>#REF!</v>
      </c>
      <c r="U213" t="e">
        <f>#REF!*3.6*1000000*U243*U245</f>
        <v>#REF!</v>
      </c>
      <c r="V213" t="e">
        <f>#REF!*3.6*1000000*V243*V245</f>
        <v>#REF!</v>
      </c>
      <c r="W213" t="e">
        <f>#REF!*3.6*1000000*W243*W245</f>
        <v>#REF!</v>
      </c>
      <c r="X213" t="e">
        <f>#REF!*3.6*1000000*X243*X245</f>
        <v>#REF!</v>
      </c>
      <c r="Y213" t="e">
        <f>#REF!*3.6*1000000*Y243*Y245</f>
        <v>#REF!</v>
      </c>
    </row>
    <row r="214" spans="2:25">
      <c r="C214" t="s">
        <v>471</v>
      </c>
      <c r="F214" s="194"/>
      <c r="G214" s="194"/>
      <c r="I214" s="194"/>
      <c r="J214" s="192" t="e">
        <f>#REF!*3.6*1000000/1000/20*J243*J246</f>
        <v>#REF!</v>
      </c>
      <c r="K214" s="192" t="e">
        <f>#REF!*3.6*1000000/20*K243*K246</f>
        <v>#REF!</v>
      </c>
      <c r="L214" s="192" t="e">
        <f>#REF!*3.6*1000000/20*L243*L246</f>
        <v>#REF!</v>
      </c>
      <c r="M214" s="192" t="e">
        <f>#REF!*3.6*1000000/20*M243*M246</f>
        <v>#REF!</v>
      </c>
      <c r="N214" s="192" t="e">
        <f>#REF!*3.6*1000000/20*N243*N246</f>
        <v>#REF!</v>
      </c>
      <c r="O214" s="192" t="e">
        <f>#REF!*3.6*1000000/20*O243*O246</f>
        <v>#REF!</v>
      </c>
      <c r="P214" s="192" t="e">
        <f>#REF!*3.6*1000000/20*P243*P246</f>
        <v>#REF!</v>
      </c>
      <c r="Q214" s="192" t="e">
        <f>#REF!*3.6*1000000/20*Q243*Q246</f>
        <v>#REF!</v>
      </c>
      <c r="R214" s="192" t="e">
        <f>#REF!*3.6*1000000/20*R243*R246</f>
        <v>#REF!</v>
      </c>
      <c r="S214" s="192" t="e">
        <f>#REF!*3.6*1000000/20*S243*S246</f>
        <v>#REF!</v>
      </c>
      <c r="T214" s="192" t="e">
        <f>#REF!*3.6*1000000/20*T243*T246</f>
        <v>#REF!</v>
      </c>
      <c r="U214" s="192" t="e">
        <f>#REF!*3.6*1000000/20*U243*U246</f>
        <v>#REF!</v>
      </c>
      <c r="V214" s="192" t="e">
        <f>#REF!*3.6*1000000/20*V243*V246</f>
        <v>#REF!</v>
      </c>
      <c r="W214" s="192" t="e">
        <f>#REF!*3.6*1000000/20*W243*W246</f>
        <v>#REF!</v>
      </c>
      <c r="X214" s="192" t="e">
        <f>#REF!*3.6*1000000/20*X243*X246</f>
        <v>#REF!</v>
      </c>
      <c r="Y214" s="192" t="e">
        <f>#REF!*3.6*1000000/20*Y243*Y246</f>
        <v>#REF!</v>
      </c>
    </row>
    <row r="215" spans="2:25">
      <c r="C215" t="s">
        <v>472</v>
      </c>
      <c r="F215" s="194"/>
      <c r="G215" s="194"/>
      <c r="H215" s="194"/>
      <c r="I215" s="194"/>
      <c r="J215" t="e">
        <f>#REF!*3.6*1000000/1000*J243*J247</f>
        <v>#REF!</v>
      </c>
      <c r="K215" t="e">
        <f>#REF!*3.6*1000000*K243*K247</f>
        <v>#REF!</v>
      </c>
      <c r="L215" t="e">
        <f>#REF!*3.6*1000000*L243*L247</f>
        <v>#REF!</v>
      </c>
      <c r="M215" t="e">
        <f>#REF!*3.6*1000000*M243*M247</f>
        <v>#REF!</v>
      </c>
      <c r="N215" t="e">
        <f>#REF!*3.6*1000000*N243*N247</f>
        <v>#REF!</v>
      </c>
      <c r="O215" t="e">
        <f>#REF!*3.6*1000000*O243*O247</f>
        <v>#REF!</v>
      </c>
      <c r="P215" t="e">
        <f>#REF!*3.6*1000000*P243*P247</f>
        <v>#REF!</v>
      </c>
      <c r="Q215" t="e">
        <f>#REF!*3.6*1000000*Q243*Q247</f>
        <v>#REF!</v>
      </c>
      <c r="R215" t="e">
        <f>#REF!*3.6*1000000*R243*R247</f>
        <v>#REF!</v>
      </c>
      <c r="S215" t="e">
        <f>#REF!*3.6*1000000*S243*S247</f>
        <v>#REF!</v>
      </c>
      <c r="T215" t="e">
        <f>#REF!*3.6*1000000*T243*T247</f>
        <v>#REF!</v>
      </c>
      <c r="U215" t="e">
        <f>#REF!*3.6*1000000*U243*U247</f>
        <v>#REF!</v>
      </c>
      <c r="V215" t="e">
        <f>#REF!*3.6*1000000*V243*V247</f>
        <v>#REF!</v>
      </c>
      <c r="W215" t="e">
        <f>#REF!*3.6*1000000*W243*W247</f>
        <v>#REF!</v>
      </c>
      <c r="X215" t="e">
        <f>#REF!*3.6*1000000*X243*X247</f>
        <v>#REF!</v>
      </c>
      <c r="Y215" t="e">
        <f>#REF!*3.6*1000000*Y243*Y247</f>
        <v>#REF!</v>
      </c>
    </row>
    <row r="216" spans="2:25">
      <c r="C216" t="s">
        <v>473</v>
      </c>
      <c r="F216" s="194"/>
      <c r="G216" s="194"/>
      <c r="H216" s="194"/>
      <c r="I216" s="194"/>
      <c r="J216" t="e">
        <f>#REF!*1000000/5/1000*J243*J248</f>
        <v>#REF!</v>
      </c>
      <c r="K216" t="e">
        <f>#REF!*1000000/5*K243*K248</f>
        <v>#REF!</v>
      </c>
      <c r="L216" t="e">
        <f>#REF!*1000000/5*L243*L248</f>
        <v>#REF!</v>
      </c>
      <c r="M216" t="e">
        <f>#REF!*1000000/5*M243*M248</f>
        <v>#REF!</v>
      </c>
      <c r="N216" t="e">
        <f>#REF!*1000000/5*N243*N248</f>
        <v>#REF!</v>
      </c>
      <c r="O216" t="e">
        <f>#REF!*1000000/5*O243*O248</f>
        <v>#REF!</v>
      </c>
      <c r="P216" t="e">
        <f>#REF!*1000000/5*P243*P248</f>
        <v>#REF!</v>
      </c>
      <c r="Q216" t="e">
        <f>#REF!*1000000/5*Q243*Q248</f>
        <v>#REF!</v>
      </c>
      <c r="R216" t="e">
        <f>#REF!*1000000/5*R243*R248</f>
        <v>#REF!</v>
      </c>
      <c r="S216" t="e">
        <f>#REF!*1000000/5*S243*S248</f>
        <v>#REF!</v>
      </c>
      <c r="T216" t="e">
        <f>#REF!*1000000/5*T243*T248</f>
        <v>#REF!</v>
      </c>
      <c r="U216" t="e">
        <f>#REF!*1000000/5*U243*U248</f>
        <v>#REF!</v>
      </c>
      <c r="V216" t="e">
        <f>#REF!*1000000/5*V243*V248</f>
        <v>#REF!</v>
      </c>
      <c r="W216" t="e">
        <f>#REF!*1000000/5*W243*W248</f>
        <v>#REF!</v>
      </c>
      <c r="X216" t="e">
        <f>#REF!*1000000/5*X243*X248</f>
        <v>#REF!</v>
      </c>
      <c r="Y216" t="e">
        <f>#REF!*1000000/5*Y243*Y248</f>
        <v>#REF!</v>
      </c>
    </row>
    <row r="217" spans="2:25">
      <c r="C217" t="s">
        <v>475</v>
      </c>
      <c r="F217" s="194"/>
      <c r="G217" s="194"/>
      <c r="H217" s="194"/>
      <c r="I217" s="194"/>
      <c r="J217" t="e">
        <f>#REF!*3.6*1000000/1000*J243*J249</f>
        <v>#REF!</v>
      </c>
      <c r="K217" t="e">
        <f>#REF!*3.6*1000000*K243*K249</f>
        <v>#REF!</v>
      </c>
      <c r="L217" t="e">
        <f>#REF!*3.6*1000000*L243*L249</f>
        <v>#REF!</v>
      </c>
      <c r="M217" t="e">
        <f>#REF!*3.6*1000000*M243*M249</f>
        <v>#REF!</v>
      </c>
      <c r="N217" t="e">
        <f>#REF!*3.6*1000000*N243*N249</f>
        <v>#REF!</v>
      </c>
      <c r="O217" t="e">
        <f>#REF!*3.6*1000000*O243*O249</f>
        <v>#REF!</v>
      </c>
      <c r="P217" t="e">
        <f>#REF!*3.6*1000000*P243*P249</f>
        <v>#REF!</v>
      </c>
      <c r="Q217" t="e">
        <f>#REF!*3.6*1000000*Q243*Q249</f>
        <v>#REF!</v>
      </c>
      <c r="R217" t="e">
        <f>#REF!*3.6*1000000*R243*R249</f>
        <v>#REF!</v>
      </c>
      <c r="S217" t="e">
        <f>#REF!*3.6*1000000*S243*S249</f>
        <v>#REF!</v>
      </c>
      <c r="T217" t="e">
        <f>#REF!*3.6*1000000*T243*T249</f>
        <v>#REF!</v>
      </c>
      <c r="U217" t="e">
        <f>#REF!*3.6*1000000*U243*U249</f>
        <v>#REF!</v>
      </c>
      <c r="V217" t="e">
        <f>#REF!*3.6*1000000*V243*V249</f>
        <v>#REF!</v>
      </c>
      <c r="W217" t="e">
        <f>#REF!*3.6*1000000*W243*W249</f>
        <v>#REF!</v>
      </c>
      <c r="X217" t="e">
        <f>#REF!*3.6*1000000*X243*X249</f>
        <v>#REF!</v>
      </c>
      <c r="Y217" t="e">
        <f>#REF!*3.6*1000000*Y243*Y249</f>
        <v>#REF!</v>
      </c>
    </row>
    <row r="218" spans="2:25">
      <c r="B218" t="s">
        <v>423</v>
      </c>
      <c r="C218" t="s">
        <v>477</v>
      </c>
      <c r="J218" t="e">
        <f t="shared" ref="J218:Y218" si="132">J219*$J287+J222*$J286</f>
        <v>#REF!</v>
      </c>
      <c r="K218" t="e">
        <f t="shared" si="132"/>
        <v>#REF!</v>
      </c>
      <c r="L218" t="e">
        <f t="shared" si="132"/>
        <v>#REF!</v>
      </c>
      <c r="M218" t="e">
        <f t="shared" si="132"/>
        <v>#REF!</v>
      </c>
      <c r="N218" t="e">
        <f t="shared" si="132"/>
        <v>#REF!</v>
      </c>
      <c r="O218" t="e">
        <f t="shared" si="132"/>
        <v>#REF!</v>
      </c>
      <c r="P218" t="e">
        <f t="shared" si="132"/>
        <v>#REF!</v>
      </c>
      <c r="Q218" t="e">
        <f t="shared" si="132"/>
        <v>#REF!</v>
      </c>
      <c r="R218" t="e">
        <f t="shared" si="132"/>
        <v>#REF!</v>
      </c>
      <c r="S218" t="e">
        <f t="shared" si="132"/>
        <v>#REF!</v>
      </c>
      <c r="T218" t="e">
        <f t="shared" si="132"/>
        <v>#REF!</v>
      </c>
      <c r="U218" t="e">
        <f t="shared" si="132"/>
        <v>#REF!</v>
      </c>
      <c r="V218" t="e">
        <f t="shared" si="132"/>
        <v>#REF!</v>
      </c>
      <c r="W218" t="e">
        <f t="shared" si="132"/>
        <v>#REF!</v>
      </c>
      <c r="X218" t="e">
        <f t="shared" si="132"/>
        <v>#REF!</v>
      </c>
      <c r="Y218" t="e">
        <f t="shared" si="132"/>
        <v>#REF!</v>
      </c>
    </row>
    <row r="219" spans="2:25">
      <c r="C219" t="s">
        <v>478</v>
      </c>
      <c r="J219" s="182" t="e">
        <f>#REF!*1000000/1000</f>
        <v>#REF!</v>
      </c>
      <c r="K219" s="182" t="e">
        <f>#REF!*1000000</f>
        <v>#REF!</v>
      </c>
      <c r="L219" s="182" t="e">
        <f>#REF!*1000000</f>
        <v>#REF!</v>
      </c>
      <c r="M219" s="182" t="e">
        <f>#REF!*1000000</f>
        <v>#REF!</v>
      </c>
      <c r="N219" s="182" t="e">
        <f>#REF!*1000000</f>
        <v>#REF!</v>
      </c>
      <c r="O219" s="182" t="e">
        <f>#REF!*1000000</f>
        <v>#REF!</v>
      </c>
      <c r="P219" s="182" t="e">
        <f>#REF!*1000000</f>
        <v>#REF!</v>
      </c>
      <c r="Q219" s="182" t="e">
        <f>#REF!*1000000</f>
        <v>#REF!</v>
      </c>
      <c r="R219" s="182" t="e">
        <f>#REF!*1000000</f>
        <v>#REF!</v>
      </c>
      <c r="S219" s="182" t="e">
        <f>#REF!*1000000</f>
        <v>#REF!</v>
      </c>
      <c r="T219" s="182" t="e">
        <f>#REF!*1000000</f>
        <v>#REF!</v>
      </c>
      <c r="U219" s="182" t="e">
        <f>#REF!*1000000</f>
        <v>#REF!</v>
      </c>
      <c r="V219" s="182" t="e">
        <f>#REF!*1000000</f>
        <v>#REF!</v>
      </c>
      <c r="W219" s="182" t="e">
        <f>#REF!*1000000</f>
        <v>#REF!</v>
      </c>
      <c r="X219" s="182" t="e">
        <f>#REF!*1000000</f>
        <v>#REF!</v>
      </c>
      <c r="Y219" s="182" t="e">
        <f>#REF!*1000000</f>
        <v>#REF!</v>
      </c>
    </row>
    <row r="220" spans="2:25">
      <c r="C220" t="s">
        <v>459</v>
      </c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</row>
    <row r="221" spans="2:25">
      <c r="C221" t="s">
        <v>460</v>
      </c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</row>
    <row r="222" spans="2:25">
      <c r="C222" t="s">
        <v>479</v>
      </c>
      <c r="J222" t="e">
        <f>#REF!*18*1000000/1000</f>
        <v>#REF!</v>
      </c>
      <c r="K222" t="e">
        <f>#REF!*18*1000000</f>
        <v>#REF!</v>
      </c>
      <c r="L222" t="e">
        <f>#REF!*18*1000000</f>
        <v>#REF!</v>
      </c>
      <c r="M222" t="e">
        <f>#REF!*18*1000000</f>
        <v>#REF!</v>
      </c>
      <c r="N222" t="e">
        <f>#REF!*18*1000000</f>
        <v>#REF!</v>
      </c>
      <c r="O222" t="e">
        <f>#REF!*18*1000000</f>
        <v>#REF!</v>
      </c>
      <c r="P222" t="e">
        <f>#REF!*18*1000000</f>
        <v>#REF!</v>
      </c>
      <c r="Q222" t="e">
        <f>#REF!*18*1000000</f>
        <v>#REF!</v>
      </c>
      <c r="R222" t="e">
        <f>#REF!*18*1000000</f>
        <v>#REF!</v>
      </c>
      <c r="S222" t="e">
        <f>#REF!*18*1000000</f>
        <v>#REF!</v>
      </c>
      <c r="T222" t="e">
        <f>#REF!*18*1000000</f>
        <v>#REF!</v>
      </c>
      <c r="U222" t="e">
        <f>#REF!*18*1000000</f>
        <v>#REF!</v>
      </c>
      <c r="V222" t="e">
        <f>#REF!*18*1000000</f>
        <v>#REF!</v>
      </c>
      <c r="W222" t="e">
        <f>#REF!*18*1000000</f>
        <v>#REF!</v>
      </c>
      <c r="X222" t="e">
        <f>#REF!*18*1000000</f>
        <v>#REF!</v>
      </c>
      <c r="Y222" t="e">
        <f>#REF!*18*1000000</f>
        <v>#REF!</v>
      </c>
    </row>
    <row r="223" spans="2:25">
      <c r="C223" t="s">
        <v>455</v>
      </c>
      <c r="J223" t="e">
        <f t="shared" ref="J223:Y223" si="133">J$222*J255</f>
        <v>#REF!</v>
      </c>
      <c r="K223" t="e">
        <f t="shared" si="133"/>
        <v>#REF!</v>
      </c>
      <c r="L223" t="e">
        <f t="shared" si="133"/>
        <v>#REF!</v>
      </c>
      <c r="M223" t="e">
        <f t="shared" si="133"/>
        <v>#REF!</v>
      </c>
      <c r="N223" t="e">
        <f t="shared" si="133"/>
        <v>#REF!</v>
      </c>
      <c r="O223" t="e">
        <f t="shared" si="133"/>
        <v>#REF!</v>
      </c>
      <c r="P223" t="e">
        <f t="shared" si="133"/>
        <v>#REF!</v>
      </c>
      <c r="Q223" t="e">
        <f t="shared" si="133"/>
        <v>#REF!</v>
      </c>
      <c r="R223" t="e">
        <f t="shared" si="133"/>
        <v>#REF!</v>
      </c>
      <c r="S223" t="e">
        <f t="shared" si="133"/>
        <v>#REF!</v>
      </c>
      <c r="T223" t="e">
        <f t="shared" si="133"/>
        <v>#REF!</v>
      </c>
      <c r="U223" t="e">
        <f t="shared" si="133"/>
        <v>#REF!</v>
      </c>
      <c r="V223" t="e">
        <f t="shared" si="133"/>
        <v>#REF!</v>
      </c>
      <c r="W223" t="e">
        <f t="shared" si="133"/>
        <v>#REF!</v>
      </c>
      <c r="X223" t="e">
        <f t="shared" si="133"/>
        <v>#REF!</v>
      </c>
      <c r="Y223" t="e">
        <f t="shared" si="133"/>
        <v>#REF!</v>
      </c>
    </row>
    <row r="224" spans="2:25">
      <c r="C224" t="s">
        <v>456</v>
      </c>
      <c r="J224" t="e">
        <f t="shared" ref="J224:Y224" si="134">J$222*J256</f>
        <v>#REF!</v>
      </c>
      <c r="K224" t="e">
        <f t="shared" si="134"/>
        <v>#REF!</v>
      </c>
      <c r="L224" t="e">
        <f t="shared" si="134"/>
        <v>#REF!</v>
      </c>
      <c r="M224" t="e">
        <f t="shared" si="134"/>
        <v>#REF!</v>
      </c>
      <c r="N224" t="e">
        <f t="shared" si="134"/>
        <v>#REF!</v>
      </c>
      <c r="O224" t="e">
        <f t="shared" si="134"/>
        <v>#REF!</v>
      </c>
      <c r="P224" t="e">
        <f t="shared" si="134"/>
        <v>#REF!</v>
      </c>
      <c r="Q224" t="e">
        <f t="shared" si="134"/>
        <v>#REF!</v>
      </c>
      <c r="R224" t="e">
        <f t="shared" si="134"/>
        <v>#REF!</v>
      </c>
      <c r="S224" t="e">
        <f t="shared" si="134"/>
        <v>#REF!</v>
      </c>
      <c r="T224" t="e">
        <f t="shared" si="134"/>
        <v>#REF!</v>
      </c>
      <c r="U224" t="e">
        <f t="shared" si="134"/>
        <v>#REF!</v>
      </c>
      <c r="V224" t="e">
        <f t="shared" si="134"/>
        <v>#REF!</v>
      </c>
      <c r="W224" t="e">
        <f t="shared" si="134"/>
        <v>#REF!</v>
      </c>
      <c r="X224" t="e">
        <f t="shared" si="134"/>
        <v>#REF!</v>
      </c>
      <c r="Y224" t="e">
        <f t="shared" si="134"/>
        <v>#REF!</v>
      </c>
    </row>
    <row r="225" spans="1:25">
      <c r="C225" t="s">
        <v>461</v>
      </c>
      <c r="J225" t="e">
        <f t="shared" ref="J225:Y225" si="135">J$222*J257</f>
        <v>#REF!</v>
      </c>
      <c r="K225" t="e">
        <f t="shared" si="135"/>
        <v>#REF!</v>
      </c>
      <c r="L225" t="e">
        <f t="shared" si="135"/>
        <v>#REF!</v>
      </c>
      <c r="M225" t="e">
        <f t="shared" si="135"/>
        <v>#REF!</v>
      </c>
      <c r="N225" t="e">
        <f t="shared" si="135"/>
        <v>#REF!</v>
      </c>
      <c r="O225" t="e">
        <f t="shared" si="135"/>
        <v>#REF!</v>
      </c>
      <c r="P225" t="e">
        <f t="shared" si="135"/>
        <v>#REF!</v>
      </c>
      <c r="Q225" t="e">
        <f t="shared" si="135"/>
        <v>#REF!</v>
      </c>
      <c r="R225" t="e">
        <f t="shared" si="135"/>
        <v>#REF!</v>
      </c>
      <c r="S225" t="e">
        <f t="shared" si="135"/>
        <v>#REF!</v>
      </c>
      <c r="T225" t="e">
        <f t="shared" si="135"/>
        <v>#REF!</v>
      </c>
      <c r="U225" t="e">
        <f t="shared" si="135"/>
        <v>#REF!</v>
      </c>
      <c r="V225" t="e">
        <f t="shared" si="135"/>
        <v>#REF!</v>
      </c>
      <c r="W225" t="e">
        <f t="shared" si="135"/>
        <v>#REF!</v>
      </c>
      <c r="X225" t="e">
        <f t="shared" si="135"/>
        <v>#REF!</v>
      </c>
      <c r="Y225" t="e">
        <f t="shared" si="135"/>
        <v>#REF!</v>
      </c>
    </row>
    <row r="226" spans="1:25">
      <c r="C226" t="s">
        <v>462</v>
      </c>
      <c r="J226" t="e">
        <f t="shared" ref="J226:Y226" si="136">J$222*J258</f>
        <v>#REF!</v>
      </c>
      <c r="K226" t="e">
        <f t="shared" si="136"/>
        <v>#REF!</v>
      </c>
      <c r="L226" t="e">
        <f t="shared" si="136"/>
        <v>#REF!</v>
      </c>
      <c r="M226" t="e">
        <f t="shared" si="136"/>
        <v>#REF!</v>
      </c>
      <c r="N226" t="e">
        <f t="shared" si="136"/>
        <v>#REF!</v>
      </c>
      <c r="O226" t="e">
        <f t="shared" si="136"/>
        <v>#REF!</v>
      </c>
      <c r="P226" t="e">
        <f t="shared" si="136"/>
        <v>#REF!</v>
      </c>
      <c r="Q226" t="e">
        <f t="shared" si="136"/>
        <v>#REF!</v>
      </c>
      <c r="R226" t="e">
        <f t="shared" si="136"/>
        <v>#REF!</v>
      </c>
      <c r="S226" t="e">
        <f t="shared" si="136"/>
        <v>#REF!</v>
      </c>
      <c r="T226" t="e">
        <f t="shared" si="136"/>
        <v>#REF!</v>
      </c>
      <c r="U226" t="e">
        <f t="shared" si="136"/>
        <v>#REF!</v>
      </c>
      <c r="V226" t="e">
        <f t="shared" si="136"/>
        <v>#REF!</v>
      </c>
      <c r="W226" t="e">
        <f t="shared" si="136"/>
        <v>#REF!</v>
      </c>
      <c r="X226" t="e">
        <f t="shared" si="136"/>
        <v>#REF!</v>
      </c>
      <c r="Y226" t="e">
        <f t="shared" si="136"/>
        <v>#REF!</v>
      </c>
    </row>
    <row r="227" spans="1:25">
      <c r="C227" t="s">
        <v>464</v>
      </c>
      <c r="J227" t="e">
        <f t="shared" ref="J227:Y227" si="137">J$222*J259</f>
        <v>#REF!</v>
      </c>
      <c r="K227" t="e">
        <f t="shared" si="137"/>
        <v>#REF!</v>
      </c>
      <c r="L227" t="e">
        <f t="shared" si="137"/>
        <v>#REF!</v>
      </c>
      <c r="M227" t="e">
        <f t="shared" si="137"/>
        <v>#REF!</v>
      </c>
      <c r="N227" t="e">
        <f t="shared" si="137"/>
        <v>#REF!</v>
      </c>
      <c r="O227" t="e">
        <f t="shared" si="137"/>
        <v>#REF!</v>
      </c>
      <c r="P227" t="e">
        <f t="shared" si="137"/>
        <v>#REF!</v>
      </c>
      <c r="Q227" t="e">
        <f t="shared" si="137"/>
        <v>#REF!</v>
      </c>
      <c r="R227" t="e">
        <f t="shared" si="137"/>
        <v>#REF!</v>
      </c>
      <c r="S227" t="e">
        <f t="shared" si="137"/>
        <v>#REF!</v>
      </c>
      <c r="T227" t="e">
        <f t="shared" si="137"/>
        <v>#REF!</v>
      </c>
      <c r="U227" t="e">
        <f t="shared" si="137"/>
        <v>#REF!</v>
      </c>
      <c r="V227" t="e">
        <f t="shared" si="137"/>
        <v>#REF!</v>
      </c>
      <c r="W227" t="e">
        <f t="shared" si="137"/>
        <v>#REF!</v>
      </c>
      <c r="X227" t="e">
        <f t="shared" si="137"/>
        <v>#REF!</v>
      </c>
      <c r="Y227" t="e">
        <f t="shared" si="137"/>
        <v>#REF!</v>
      </c>
    </row>
    <row r="228" spans="1:25">
      <c r="C228" t="s">
        <v>463</v>
      </c>
      <c r="J228" t="e">
        <f t="shared" ref="J228:Y228" si="138">J$222*J260</f>
        <v>#REF!</v>
      </c>
      <c r="K228" t="e">
        <f t="shared" si="138"/>
        <v>#REF!</v>
      </c>
      <c r="L228" t="e">
        <f t="shared" si="138"/>
        <v>#REF!</v>
      </c>
      <c r="M228" t="e">
        <f t="shared" si="138"/>
        <v>#REF!</v>
      </c>
      <c r="N228" t="e">
        <f t="shared" si="138"/>
        <v>#REF!</v>
      </c>
      <c r="O228" t="e">
        <f t="shared" si="138"/>
        <v>#REF!</v>
      </c>
      <c r="P228" t="e">
        <f t="shared" si="138"/>
        <v>#REF!</v>
      </c>
      <c r="Q228" t="e">
        <f t="shared" si="138"/>
        <v>#REF!</v>
      </c>
      <c r="R228" t="e">
        <f t="shared" si="138"/>
        <v>#REF!</v>
      </c>
      <c r="S228" t="e">
        <f t="shared" si="138"/>
        <v>#REF!</v>
      </c>
      <c r="T228" t="e">
        <f t="shared" si="138"/>
        <v>#REF!</v>
      </c>
      <c r="U228" t="e">
        <f t="shared" si="138"/>
        <v>#REF!</v>
      </c>
      <c r="V228" t="e">
        <f t="shared" si="138"/>
        <v>#REF!</v>
      </c>
      <c r="W228" t="e">
        <f t="shared" si="138"/>
        <v>#REF!</v>
      </c>
      <c r="X228" t="e">
        <f t="shared" si="138"/>
        <v>#REF!</v>
      </c>
      <c r="Y228" t="e">
        <f t="shared" si="138"/>
        <v>#REF!</v>
      </c>
    </row>
    <row r="229" spans="1:25">
      <c r="C229" t="s">
        <v>465</v>
      </c>
      <c r="J229" t="e">
        <f t="shared" ref="J229:Y229" si="139">J$222*J261</f>
        <v>#REF!</v>
      </c>
      <c r="K229" t="e">
        <f t="shared" si="139"/>
        <v>#REF!</v>
      </c>
      <c r="L229" t="e">
        <f t="shared" si="139"/>
        <v>#REF!</v>
      </c>
      <c r="M229" t="e">
        <f t="shared" si="139"/>
        <v>#REF!</v>
      </c>
      <c r="N229" t="e">
        <f t="shared" si="139"/>
        <v>#REF!</v>
      </c>
      <c r="O229" t="e">
        <f t="shared" si="139"/>
        <v>#REF!</v>
      </c>
      <c r="P229" t="e">
        <f t="shared" si="139"/>
        <v>#REF!</v>
      </c>
      <c r="Q229" t="e">
        <f t="shared" si="139"/>
        <v>#REF!</v>
      </c>
      <c r="R229" t="e">
        <f t="shared" si="139"/>
        <v>#REF!</v>
      </c>
      <c r="S229" t="e">
        <f t="shared" si="139"/>
        <v>#REF!</v>
      </c>
      <c r="T229" t="e">
        <f t="shared" si="139"/>
        <v>#REF!</v>
      </c>
      <c r="U229" t="e">
        <f t="shared" si="139"/>
        <v>#REF!</v>
      </c>
      <c r="V229" t="e">
        <f t="shared" si="139"/>
        <v>#REF!</v>
      </c>
      <c r="W229" t="e">
        <f t="shared" si="139"/>
        <v>#REF!</v>
      </c>
      <c r="X229" t="e">
        <f t="shared" si="139"/>
        <v>#REF!</v>
      </c>
      <c r="Y229" t="e">
        <f t="shared" si="139"/>
        <v>#REF!</v>
      </c>
    </row>
    <row r="230" spans="1:25">
      <c r="C230" t="s">
        <v>466</v>
      </c>
      <c r="J230" t="e">
        <f t="shared" ref="J230:Y230" si="140">J$222*J262</f>
        <v>#REF!</v>
      </c>
      <c r="K230" t="e">
        <f t="shared" si="140"/>
        <v>#REF!</v>
      </c>
      <c r="L230" t="e">
        <f t="shared" si="140"/>
        <v>#REF!</v>
      </c>
      <c r="M230" t="e">
        <f t="shared" si="140"/>
        <v>#REF!</v>
      </c>
      <c r="N230" t="e">
        <f t="shared" si="140"/>
        <v>#REF!</v>
      </c>
      <c r="O230" t="e">
        <f t="shared" si="140"/>
        <v>#REF!</v>
      </c>
      <c r="P230" t="e">
        <f t="shared" si="140"/>
        <v>#REF!</v>
      </c>
      <c r="Q230" t="e">
        <f t="shared" si="140"/>
        <v>#REF!</v>
      </c>
      <c r="R230" t="e">
        <f t="shared" si="140"/>
        <v>#REF!</v>
      </c>
      <c r="S230" t="e">
        <f t="shared" si="140"/>
        <v>#REF!</v>
      </c>
      <c r="T230" t="e">
        <f t="shared" si="140"/>
        <v>#REF!</v>
      </c>
      <c r="U230" t="e">
        <f t="shared" si="140"/>
        <v>#REF!</v>
      </c>
      <c r="V230" t="e">
        <f t="shared" si="140"/>
        <v>#REF!</v>
      </c>
      <c r="W230" t="e">
        <f t="shared" si="140"/>
        <v>#REF!</v>
      </c>
      <c r="X230" t="e">
        <f t="shared" si="140"/>
        <v>#REF!</v>
      </c>
      <c r="Y230" t="e">
        <f t="shared" si="140"/>
        <v>#REF!</v>
      </c>
    </row>
    <row r="231" spans="1:25">
      <c r="A231" s="244" t="s">
        <v>419</v>
      </c>
      <c r="B231" s="244"/>
      <c r="C231" s="244"/>
      <c r="D231" s="244"/>
      <c r="E231" s="244"/>
      <c r="F231" s="244"/>
      <c r="G231" s="244"/>
      <c r="H231" s="244"/>
      <c r="I231" s="244"/>
      <c r="J231" s="244"/>
      <c r="K231" s="244"/>
      <c r="L231" s="244"/>
      <c r="M231" s="244"/>
      <c r="N231" s="244"/>
      <c r="O231" s="244"/>
      <c r="P231" s="244"/>
      <c r="Q231" s="244"/>
      <c r="R231" s="244"/>
      <c r="S231" s="244"/>
      <c r="T231" s="244"/>
      <c r="U231" s="244"/>
      <c r="V231" s="244"/>
      <c r="W231" s="244"/>
      <c r="X231" s="244"/>
      <c r="Y231" s="244"/>
    </row>
    <row r="232" spans="1:25">
      <c r="A232" t="s">
        <v>413</v>
      </c>
      <c r="B232" t="s">
        <v>421</v>
      </c>
      <c r="C232" t="s">
        <v>481</v>
      </c>
    </row>
    <row r="233" spans="1:25">
      <c r="C233" t="s">
        <v>451</v>
      </c>
      <c r="E233" t="s">
        <v>482</v>
      </c>
      <c r="J233">
        <v>0.28399999999999997</v>
      </c>
      <c r="K233">
        <v>1.2E-2</v>
      </c>
      <c r="L233">
        <v>0.183</v>
      </c>
      <c r="M233">
        <v>8.8300000000000003E-2</v>
      </c>
      <c r="N233">
        <v>8.9899999999999994E-2</v>
      </c>
      <c r="P233">
        <v>5.2600000000000001E-2</v>
      </c>
      <c r="R233">
        <v>2.9499999999999998E-2</v>
      </c>
      <c r="S233">
        <v>2.53E-2</v>
      </c>
      <c r="T233">
        <v>3.6400000000000002E-2</v>
      </c>
      <c r="V233">
        <v>0.499</v>
      </c>
    </row>
    <row r="234" spans="1:25">
      <c r="C234" t="s">
        <v>452</v>
      </c>
      <c r="E234" t="s">
        <v>482</v>
      </c>
      <c r="J234">
        <f>0.258+0.0211</f>
        <v>0.27910000000000001</v>
      </c>
      <c r="K234">
        <f>0.0351+0.0133+0.0628</f>
        <v>0.11119999999999999</v>
      </c>
      <c r="L234">
        <f>0.191+0.0339</f>
        <v>0.22489999999999999</v>
      </c>
      <c r="M234">
        <f>0.18+0.0249</f>
        <v>0.2049</v>
      </c>
      <c r="N234">
        <f>0.144+0.0246</f>
        <v>0.1686</v>
      </c>
      <c r="O234">
        <v>0.69299999999999995</v>
      </c>
      <c r="P234">
        <f>0.265+0.0204</f>
        <v>0.28539999999999999</v>
      </c>
      <c r="Q234">
        <f>0.175+0.0281</f>
        <v>0.2031</v>
      </c>
      <c r="R234">
        <f>0.0869+0.0506+0.0669</f>
        <v>0.20440000000000003</v>
      </c>
      <c r="S234">
        <f>0.14+0.0315+0.0318</f>
        <v>0.20330000000000001</v>
      </c>
      <c r="T234">
        <v>5.2900000000000003E-2</v>
      </c>
      <c r="U234">
        <f>0.0467+0.0391</f>
        <v>8.5800000000000001E-2</v>
      </c>
      <c r="V234">
        <f>0.191</f>
        <v>0.191</v>
      </c>
      <c r="W234">
        <v>2.46E-2</v>
      </c>
      <c r="X234">
        <f>0.0237+0.116+0.0585</f>
        <v>0.19819999999999999</v>
      </c>
      <c r="Y234">
        <v>7.5899999999999995E-2</v>
      </c>
    </row>
    <row r="235" spans="1:25">
      <c r="C235" t="s">
        <v>399</v>
      </c>
      <c r="E235" t="s">
        <v>482</v>
      </c>
      <c r="J235">
        <v>0.13</v>
      </c>
      <c r="K235">
        <f>0.0795+0.187</f>
        <v>0.26650000000000001</v>
      </c>
      <c r="L235">
        <f>0.107+0.116</f>
        <v>0.223</v>
      </c>
      <c r="M235">
        <f>0.0815+0.0964</f>
        <v>0.1779</v>
      </c>
      <c r="N235">
        <f>0.317+0.15</f>
        <v>0.46699999999999997</v>
      </c>
      <c r="P235">
        <f>0.0878+0.262</f>
        <v>0.3498</v>
      </c>
      <c r="Q235">
        <f>0.0565+0.103</f>
        <v>0.1595</v>
      </c>
      <c r="R235">
        <f>0.038+0.0526</f>
        <v>9.06E-2</v>
      </c>
      <c r="S235">
        <f>0.143+0.0631</f>
        <v>0.20610000000000001</v>
      </c>
      <c r="U235">
        <f>0.0582</f>
        <v>5.8200000000000002E-2</v>
      </c>
      <c r="V235">
        <f>0.0305+0.0745</f>
        <v>0.105</v>
      </c>
      <c r="X235">
        <f>0.102+0.691</f>
        <v>0.79299999999999993</v>
      </c>
    </row>
    <row r="236" spans="1:25">
      <c r="C236" t="s">
        <v>458</v>
      </c>
      <c r="E236" t="s">
        <v>482</v>
      </c>
      <c r="J236">
        <v>2.5100000000000001E-2</v>
      </c>
      <c r="K236">
        <f>0.216+0.149</f>
        <v>0.36499999999999999</v>
      </c>
      <c r="L236">
        <f>0.0606+0.0418</f>
        <v>0.10239999999999999</v>
      </c>
      <c r="M236">
        <f>0.138+0.199</f>
        <v>0.33700000000000002</v>
      </c>
      <c r="N236">
        <f>0.0334+0.0483</f>
        <v>8.1699999999999995E-2</v>
      </c>
      <c r="O236">
        <f>0.048+0.0312</f>
        <v>7.9199999999999993E-2</v>
      </c>
      <c r="P236">
        <f>0.0485+0.0334</f>
        <v>8.1900000000000001E-2</v>
      </c>
      <c r="Q236">
        <f>0.0836+0.122</f>
        <v>0.2056</v>
      </c>
      <c r="R236">
        <f>0.0672+0.104</f>
        <v>0.17119999999999999</v>
      </c>
      <c r="S236">
        <f>0.08+0.121</f>
        <v>0.20100000000000001</v>
      </c>
      <c r="T236">
        <f>0.36+0.521</f>
        <v>0.88100000000000001</v>
      </c>
      <c r="U236">
        <f>0.0926+0.0612</f>
        <v>0.15379999999999999</v>
      </c>
      <c r="V236">
        <f>0.0233+0.0343</f>
        <v>5.7599999999999998E-2</v>
      </c>
      <c r="W236">
        <f>0.5+0.47</f>
        <v>0.97</v>
      </c>
      <c r="X236">
        <f>0.021</f>
        <v>2.1000000000000001E-2</v>
      </c>
      <c r="Y236">
        <f>0.0247+0.0376</f>
        <v>6.2300000000000001E-2</v>
      </c>
    </row>
    <row r="237" spans="1:25">
      <c r="C237" t="s">
        <v>515</v>
      </c>
      <c r="E237" t="s">
        <v>482</v>
      </c>
      <c r="J237">
        <v>2.6700000000000002E-2</v>
      </c>
      <c r="L237">
        <f>0.0207</f>
        <v>2.07E-2</v>
      </c>
      <c r="V237">
        <v>4.5999999999999999E-2</v>
      </c>
    </row>
    <row r="238" spans="1:25">
      <c r="C238" t="s">
        <v>190</v>
      </c>
      <c r="E238" t="s">
        <v>482</v>
      </c>
      <c r="J238">
        <v>6.7199999999999996E-2</v>
      </c>
      <c r="K238">
        <v>9.4500000000000001E-2</v>
      </c>
      <c r="L238">
        <v>7.9299999999999995E-2</v>
      </c>
      <c r="M238">
        <v>5.9799999999999999E-2</v>
      </c>
      <c r="N238">
        <v>5.9900000000000002E-2</v>
      </c>
      <c r="O238">
        <v>4.0500000000000001E-2</v>
      </c>
      <c r="P238">
        <v>5.2400000000000002E-2</v>
      </c>
      <c r="Q238">
        <v>4.9000000000000002E-2</v>
      </c>
      <c r="R238">
        <v>0.17499999999999999</v>
      </c>
      <c r="S238">
        <v>7.6100000000000001E-2</v>
      </c>
      <c r="U238">
        <v>4.9799999999999997E-2</v>
      </c>
      <c r="V238">
        <f>0.0267</f>
        <v>2.6700000000000002E-2</v>
      </c>
      <c r="X238">
        <f>-0.0603</f>
        <v>-6.0299999999999999E-2</v>
      </c>
      <c r="Y238">
        <v>0.84899999999999998</v>
      </c>
    </row>
    <row r="239" spans="1:25">
      <c r="C239" t="s">
        <v>372</v>
      </c>
      <c r="E239" t="s">
        <v>482</v>
      </c>
      <c r="J239">
        <v>3.39E-2</v>
      </c>
      <c r="K239">
        <v>6.2199999999999998E-2</v>
      </c>
      <c r="L239">
        <v>5.57E-2</v>
      </c>
      <c r="M239">
        <v>4.0500000000000001E-2</v>
      </c>
      <c r="N239">
        <v>4.0099999999999997E-2</v>
      </c>
      <c r="O239">
        <v>2.2200000000000001E-2</v>
      </c>
      <c r="P239">
        <v>3.2199999999999999E-2</v>
      </c>
      <c r="Q239">
        <v>2.6200000000000001E-2</v>
      </c>
      <c r="R239">
        <v>0.122</v>
      </c>
      <c r="S239">
        <v>4.8899999999999999E-2</v>
      </c>
      <c r="U239">
        <v>2.5700000000000001E-2</v>
      </c>
    </row>
    <row r="240" spans="1:25">
      <c r="C240" t="s">
        <v>453</v>
      </c>
      <c r="E240" t="s">
        <v>482</v>
      </c>
      <c r="J240">
        <v>5.9299999999999999E-2</v>
      </c>
      <c r="K240">
        <v>7.0199999999999999E-2</v>
      </c>
      <c r="L240">
        <v>8.1299999999999997E-2</v>
      </c>
      <c r="M240">
        <v>5.6899999999999999E-2</v>
      </c>
      <c r="N240">
        <v>5.8099999999999999E-2</v>
      </c>
      <c r="O240">
        <v>9.69E-2</v>
      </c>
      <c r="P240">
        <v>0.115</v>
      </c>
      <c r="Q240">
        <v>0.29599999999999999</v>
      </c>
      <c r="R240">
        <v>0.17599999999999999</v>
      </c>
      <c r="S240">
        <v>0.216</v>
      </c>
      <c r="U240">
        <v>0.56799999999999995</v>
      </c>
      <c r="V240">
        <v>3.4200000000000001E-2</v>
      </c>
      <c r="X240">
        <v>3.9300000000000002E-2</v>
      </c>
    </row>
    <row r="241" spans="2:25">
      <c r="C241" t="s">
        <v>454</v>
      </c>
      <c r="E241" t="s">
        <v>482</v>
      </c>
      <c r="J241">
        <f t="shared" ref="J241:O241" si="141">1-SUM(J233:J240)</f>
        <v>9.4700000000000006E-2</v>
      </c>
      <c r="K241">
        <f t="shared" si="141"/>
        <v>1.8399999999999972E-2</v>
      </c>
      <c r="L241">
        <f t="shared" si="141"/>
        <v>2.9699999999999838E-2</v>
      </c>
      <c r="M241">
        <f t="shared" si="141"/>
        <v>3.4700000000000064E-2</v>
      </c>
      <c r="N241">
        <f t="shared" si="141"/>
        <v>3.4699999999999953E-2</v>
      </c>
      <c r="O241">
        <f t="shared" si="141"/>
        <v>6.8200000000000038E-2</v>
      </c>
      <c r="P241">
        <f t="shared" ref="P241:T241" si="142">1-SUM(P233:P240)</f>
        <v>3.0700000000000061E-2</v>
      </c>
      <c r="Q241">
        <f t="shared" si="142"/>
        <v>6.0599999999999987E-2</v>
      </c>
      <c r="R241">
        <f t="shared" si="142"/>
        <v>3.1299999999999883E-2</v>
      </c>
      <c r="S241">
        <f t="shared" si="142"/>
        <v>2.3300000000000098E-2</v>
      </c>
      <c r="T241">
        <f t="shared" si="142"/>
        <v>2.9699999999999949E-2</v>
      </c>
      <c r="U241">
        <f>1-SUM(U233:U240)</f>
        <v>5.8699999999999974E-2</v>
      </c>
      <c r="V241">
        <f>1-SUM(V233:V240)</f>
        <v>4.049999999999998E-2</v>
      </c>
      <c r="W241">
        <f>1-SUM(W233:W240)</f>
        <v>5.4000000000000714E-3</v>
      </c>
      <c r="X241">
        <f>1-SUM(X233:X240)</f>
        <v>8.8000000000002521E-3</v>
      </c>
      <c r="Y241">
        <f>1-SUM(Y233:Y240)</f>
        <v>1.2800000000000034E-2</v>
      </c>
    </row>
    <row r="242" spans="2:25">
      <c r="B242" t="s">
        <v>422</v>
      </c>
      <c r="C242" t="s">
        <v>468</v>
      </c>
      <c r="E242" t="s">
        <v>566</v>
      </c>
      <c r="J242">
        <v>0.35499999999999998</v>
      </c>
      <c r="K242">
        <v>0.35499999999999998</v>
      </c>
      <c r="L242">
        <v>0.35499999999999998</v>
      </c>
      <c r="M242">
        <v>0.35499999999999998</v>
      </c>
      <c r="N242">
        <v>0.35499999999999998</v>
      </c>
      <c r="O242">
        <v>0.35499999999999998</v>
      </c>
      <c r="P242">
        <v>0.35499999999999998</v>
      </c>
      <c r="Q242">
        <v>0.35499999999999998</v>
      </c>
      <c r="R242">
        <v>0.35499999999999998</v>
      </c>
      <c r="S242">
        <v>0.35499999999999998</v>
      </c>
      <c r="T242">
        <v>0.35499999999999998</v>
      </c>
      <c r="U242">
        <v>0.35499999999999998</v>
      </c>
      <c r="V242">
        <v>0.35499999999999998</v>
      </c>
      <c r="W242">
        <v>0.35499999999999998</v>
      </c>
      <c r="X242">
        <v>0.35499999999999998</v>
      </c>
      <c r="Y242">
        <v>0.35499999999999998</v>
      </c>
    </row>
    <row r="243" spans="2:25">
      <c r="C243" t="s">
        <v>469</v>
      </c>
      <c r="E243" t="s">
        <v>566</v>
      </c>
      <c r="J243">
        <f>1-J242</f>
        <v>0.64500000000000002</v>
      </c>
      <c r="K243">
        <f t="shared" ref="K243:Y243" si="143">1-K242</f>
        <v>0.64500000000000002</v>
      </c>
      <c r="L243">
        <f t="shared" si="143"/>
        <v>0.64500000000000002</v>
      </c>
      <c r="M243">
        <f t="shared" si="143"/>
        <v>0.64500000000000002</v>
      </c>
      <c r="N243">
        <f t="shared" si="143"/>
        <v>0.64500000000000002</v>
      </c>
      <c r="O243">
        <f t="shared" si="143"/>
        <v>0.64500000000000002</v>
      </c>
      <c r="P243">
        <f t="shared" si="143"/>
        <v>0.64500000000000002</v>
      </c>
      <c r="Q243">
        <f t="shared" si="143"/>
        <v>0.64500000000000002</v>
      </c>
      <c r="R243">
        <f t="shared" si="143"/>
        <v>0.64500000000000002</v>
      </c>
      <c r="S243">
        <f t="shared" si="143"/>
        <v>0.64500000000000002</v>
      </c>
      <c r="T243">
        <f t="shared" si="143"/>
        <v>0.64500000000000002</v>
      </c>
      <c r="U243">
        <f t="shared" si="143"/>
        <v>0.64500000000000002</v>
      </c>
      <c r="V243">
        <f t="shared" si="143"/>
        <v>0.64500000000000002</v>
      </c>
      <c r="W243">
        <f t="shared" si="143"/>
        <v>0.64500000000000002</v>
      </c>
      <c r="X243">
        <f t="shared" si="143"/>
        <v>0.64500000000000002</v>
      </c>
      <c r="Y243">
        <f t="shared" si="143"/>
        <v>0.64500000000000002</v>
      </c>
    </row>
    <row r="244" spans="2:25">
      <c r="C244" t="s">
        <v>470</v>
      </c>
      <c r="E244" s="194" t="s">
        <v>476</v>
      </c>
      <c r="F244" s="194"/>
      <c r="G244" s="194"/>
      <c r="H244" s="194"/>
      <c r="I244" s="194"/>
      <c r="J244">
        <v>0.372</v>
      </c>
      <c r="K244">
        <v>0.372</v>
      </c>
      <c r="L244">
        <v>0.372</v>
      </c>
      <c r="M244">
        <v>0.372</v>
      </c>
      <c r="N244">
        <v>0.372</v>
      </c>
      <c r="O244">
        <v>0.372</v>
      </c>
      <c r="P244">
        <v>0.372</v>
      </c>
      <c r="Q244">
        <v>0.372</v>
      </c>
      <c r="R244">
        <v>0.372</v>
      </c>
      <c r="S244">
        <v>0.372</v>
      </c>
      <c r="T244">
        <v>0.372</v>
      </c>
      <c r="U244">
        <v>0.372</v>
      </c>
      <c r="V244">
        <v>0.372</v>
      </c>
      <c r="W244">
        <v>0.372</v>
      </c>
      <c r="X244">
        <v>0.372</v>
      </c>
      <c r="Y244">
        <v>0.372</v>
      </c>
    </row>
    <row r="245" spans="2:25">
      <c r="C245" t="s">
        <v>474</v>
      </c>
      <c r="E245" s="194" t="s">
        <v>476</v>
      </c>
      <c r="F245" s="194"/>
      <c r="G245" s="194"/>
      <c r="H245" s="194"/>
      <c r="I245" s="194"/>
      <c r="J245">
        <v>0.17199999999999999</v>
      </c>
      <c r="K245">
        <v>0.17199999999999999</v>
      </c>
      <c r="L245">
        <v>0.17199999999999999</v>
      </c>
      <c r="M245">
        <v>0.17199999999999999</v>
      </c>
      <c r="N245">
        <v>0.17199999999999999</v>
      </c>
      <c r="O245">
        <v>0.17199999999999999</v>
      </c>
      <c r="P245">
        <v>0.17199999999999999</v>
      </c>
      <c r="Q245">
        <v>0.17199999999999999</v>
      </c>
      <c r="R245">
        <v>0.17199999999999999</v>
      </c>
      <c r="S245">
        <v>0.17199999999999999</v>
      </c>
      <c r="T245">
        <v>0.17199999999999999</v>
      </c>
      <c r="U245">
        <v>0.17199999999999999</v>
      </c>
      <c r="V245">
        <v>0.17199999999999999</v>
      </c>
      <c r="W245">
        <v>0.17199999999999999</v>
      </c>
      <c r="X245">
        <v>0.17199999999999999</v>
      </c>
      <c r="Y245">
        <v>0.17199999999999999</v>
      </c>
    </row>
    <row r="246" spans="2:25">
      <c r="C246" t="s">
        <v>471</v>
      </c>
      <c r="E246" s="194" t="s">
        <v>476</v>
      </c>
      <c r="F246" s="194"/>
      <c r="G246" s="194"/>
      <c r="H246" s="194"/>
      <c r="I246" s="194"/>
      <c r="J246">
        <v>0.21299999999999999</v>
      </c>
      <c r="K246">
        <v>0.21299999999999999</v>
      </c>
      <c r="L246">
        <v>0.21299999999999999</v>
      </c>
      <c r="M246">
        <v>0.21299999999999999</v>
      </c>
      <c r="N246">
        <v>0.21299999999999999</v>
      </c>
      <c r="O246">
        <v>0.21299999999999999</v>
      </c>
      <c r="P246">
        <v>0.21299999999999999</v>
      </c>
      <c r="Q246">
        <v>0.21299999999999999</v>
      </c>
      <c r="R246">
        <v>0.21299999999999999</v>
      </c>
      <c r="S246">
        <v>0.21299999999999999</v>
      </c>
      <c r="T246">
        <v>0.21299999999999999</v>
      </c>
      <c r="U246">
        <v>0.21299999999999999</v>
      </c>
      <c r="V246">
        <v>0.21299999999999999</v>
      </c>
      <c r="W246">
        <v>0.21299999999999999</v>
      </c>
      <c r="X246">
        <v>0.21299999999999999</v>
      </c>
      <c r="Y246">
        <v>0.21299999999999999</v>
      </c>
    </row>
    <row r="247" spans="2:25">
      <c r="C247" t="s">
        <v>472</v>
      </c>
      <c r="E247" s="194" t="s">
        <v>476</v>
      </c>
      <c r="F247" s="194"/>
      <c r="G247" s="194"/>
      <c r="H247" s="194"/>
      <c r="I247" s="194"/>
      <c r="J247">
        <v>0.11899999999999999</v>
      </c>
      <c r="K247">
        <v>0.11899999999999999</v>
      </c>
      <c r="L247">
        <v>0.11899999999999999</v>
      </c>
      <c r="M247">
        <v>0.11899999999999999</v>
      </c>
      <c r="N247">
        <v>0.11899999999999999</v>
      </c>
      <c r="O247">
        <v>0.11899999999999999</v>
      </c>
      <c r="P247">
        <v>0.11899999999999999</v>
      </c>
      <c r="Q247">
        <v>0.11899999999999999</v>
      </c>
      <c r="R247">
        <v>0.11899999999999999</v>
      </c>
      <c r="S247">
        <v>0.11899999999999999</v>
      </c>
      <c r="T247">
        <v>0.11899999999999999</v>
      </c>
      <c r="U247">
        <v>0.11899999999999999</v>
      </c>
      <c r="V247">
        <v>0.11899999999999999</v>
      </c>
      <c r="W247">
        <v>0.11899999999999999</v>
      </c>
      <c r="X247">
        <v>0.11899999999999999</v>
      </c>
      <c r="Y247">
        <v>0.11899999999999999</v>
      </c>
    </row>
    <row r="248" spans="2:25">
      <c r="C248" t="s">
        <v>473</v>
      </c>
      <c r="E248" s="194" t="s">
        <v>476</v>
      </c>
      <c r="F248" s="194"/>
      <c r="G248" s="194"/>
      <c r="H248" s="194"/>
      <c r="I248" s="194"/>
      <c r="J248">
        <v>7.5999999999999998E-2</v>
      </c>
      <c r="K248">
        <v>7.5999999999999998E-2</v>
      </c>
      <c r="L248">
        <v>7.5999999999999998E-2</v>
      </c>
      <c r="M248">
        <v>7.5999999999999998E-2</v>
      </c>
      <c r="N248">
        <v>7.5999999999999998E-2</v>
      </c>
      <c r="O248">
        <v>7.5999999999999998E-2</v>
      </c>
      <c r="P248">
        <v>7.5999999999999998E-2</v>
      </c>
      <c r="Q248">
        <v>7.5999999999999998E-2</v>
      </c>
      <c r="R248">
        <v>7.5999999999999998E-2</v>
      </c>
      <c r="S248">
        <v>7.5999999999999998E-2</v>
      </c>
      <c r="T248">
        <v>7.5999999999999998E-2</v>
      </c>
      <c r="U248">
        <v>7.5999999999999998E-2</v>
      </c>
      <c r="V248">
        <v>7.5999999999999998E-2</v>
      </c>
      <c r="W248">
        <v>7.5999999999999998E-2</v>
      </c>
      <c r="X248">
        <v>7.5999999999999998E-2</v>
      </c>
      <c r="Y248">
        <v>7.5999999999999998E-2</v>
      </c>
    </row>
    <row r="249" spans="2:25">
      <c r="C249" t="s">
        <v>475</v>
      </c>
      <c r="E249" s="194" t="s">
        <v>476</v>
      </c>
      <c r="F249" s="194"/>
      <c r="G249" s="194"/>
      <c r="H249" s="194"/>
      <c r="I249" s="194"/>
      <c r="J249">
        <f t="shared" ref="J249:Y249" si="144">1-SUM(J244:J248)</f>
        <v>4.8000000000000043E-2</v>
      </c>
      <c r="K249">
        <f t="shared" si="144"/>
        <v>4.8000000000000043E-2</v>
      </c>
      <c r="L249">
        <f t="shared" si="144"/>
        <v>4.8000000000000043E-2</v>
      </c>
      <c r="M249">
        <f t="shared" si="144"/>
        <v>4.8000000000000043E-2</v>
      </c>
      <c r="N249">
        <f t="shared" si="144"/>
        <v>4.8000000000000043E-2</v>
      </c>
      <c r="O249">
        <f t="shared" si="144"/>
        <v>4.8000000000000043E-2</v>
      </c>
      <c r="P249">
        <f t="shared" si="144"/>
        <v>4.8000000000000043E-2</v>
      </c>
      <c r="Q249">
        <f t="shared" si="144"/>
        <v>4.8000000000000043E-2</v>
      </c>
      <c r="R249">
        <f t="shared" si="144"/>
        <v>4.8000000000000043E-2</v>
      </c>
      <c r="S249">
        <f t="shared" si="144"/>
        <v>4.8000000000000043E-2</v>
      </c>
      <c r="T249">
        <f t="shared" si="144"/>
        <v>4.8000000000000043E-2</v>
      </c>
      <c r="U249">
        <f t="shared" si="144"/>
        <v>4.8000000000000043E-2</v>
      </c>
      <c r="V249">
        <f t="shared" si="144"/>
        <v>4.8000000000000043E-2</v>
      </c>
      <c r="W249">
        <f t="shared" si="144"/>
        <v>4.8000000000000043E-2</v>
      </c>
      <c r="X249">
        <f t="shared" si="144"/>
        <v>4.8000000000000043E-2</v>
      </c>
      <c r="Y249">
        <f t="shared" si="144"/>
        <v>4.8000000000000043E-2</v>
      </c>
    </row>
    <row r="250" spans="2:25">
      <c r="B250" t="s">
        <v>423</v>
      </c>
      <c r="C250" t="s">
        <v>477</v>
      </c>
      <c r="J250" t="e">
        <f>J251*$J318+J254*$J317</f>
        <v>#REF!</v>
      </c>
      <c r="K250" s="235" t="e">
        <f>K251*$J318+K254*$J317</f>
        <v>#REF!</v>
      </c>
    </row>
    <row r="251" spans="2:25">
      <c r="C251" t="s">
        <v>478</v>
      </c>
      <c r="J251" s="182" t="e">
        <f>#REF!*1000000/1000</f>
        <v>#REF!</v>
      </c>
      <c r="K251" s="235" t="e">
        <f>#REF!*1000000</f>
        <v>#REF!</v>
      </c>
    </row>
    <row r="252" spans="2:25">
      <c r="C252" t="s">
        <v>459</v>
      </c>
      <c r="J252" s="182"/>
      <c r="K252" s="235"/>
    </row>
    <row r="253" spans="2:25">
      <c r="C253" t="s">
        <v>460</v>
      </c>
      <c r="J253" s="182"/>
      <c r="K253" s="235"/>
    </row>
    <row r="254" spans="2:25">
      <c r="C254" t="s">
        <v>479</v>
      </c>
      <c r="J254" t="e">
        <f>#REF!*18*1000000/1000</f>
        <v>#REF!</v>
      </c>
      <c r="K254" s="235" t="e">
        <f>#REF!*18*1000000</f>
        <v>#REF!</v>
      </c>
    </row>
    <row r="255" spans="2:25">
      <c r="C255" t="s">
        <v>514</v>
      </c>
      <c r="E255" t="s">
        <v>482</v>
      </c>
      <c r="J255">
        <v>5.5199999999999999E-2</v>
      </c>
      <c r="K255">
        <v>5.7200000000000001E-2</v>
      </c>
      <c r="L255">
        <v>8.2400000000000001E-2</v>
      </c>
    </row>
    <row r="256" spans="2:25">
      <c r="C256" t="s">
        <v>456</v>
      </c>
      <c r="E256" t="s">
        <v>482</v>
      </c>
      <c r="J256">
        <f>0.0824</f>
        <v>8.2400000000000001E-2</v>
      </c>
      <c r="K256">
        <v>0.22600000000000001</v>
      </c>
      <c r="L256">
        <v>0.26800000000000002</v>
      </c>
    </row>
    <row r="257" spans="1:25">
      <c r="C257" t="s">
        <v>461</v>
      </c>
      <c r="E257" t="s">
        <v>482</v>
      </c>
      <c r="K257">
        <v>0.20200000000000001</v>
      </c>
    </row>
    <row r="258" spans="1:25">
      <c r="C258" t="s">
        <v>462</v>
      </c>
      <c r="E258" t="s">
        <v>482</v>
      </c>
      <c r="K258">
        <v>0.107</v>
      </c>
    </row>
    <row r="259" spans="1:25">
      <c r="C259" t="s">
        <v>464</v>
      </c>
      <c r="E259" t="s">
        <v>482</v>
      </c>
      <c r="K259">
        <v>0.246</v>
      </c>
    </row>
    <row r="260" spans="1:25">
      <c r="C260" t="s">
        <v>463</v>
      </c>
      <c r="E260" t="s">
        <v>482</v>
      </c>
      <c r="J260">
        <v>0.192</v>
      </c>
      <c r="K260">
        <v>0.10199999999999999</v>
      </c>
      <c r="L260">
        <v>0.49299999999999999</v>
      </c>
    </row>
    <row r="261" spans="1:25">
      <c r="C261" t="s">
        <v>465</v>
      </c>
      <c r="E261" t="s">
        <v>482</v>
      </c>
      <c r="J261">
        <v>3.39E-2</v>
      </c>
      <c r="K261">
        <v>4.1399999999999999E-2</v>
      </c>
      <c r="L261">
        <v>5.2499999999999998E-2</v>
      </c>
    </row>
    <row r="262" spans="1:25">
      <c r="C262" t="s">
        <v>466</v>
      </c>
      <c r="E262" t="s">
        <v>482</v>
      </c>
      <c r="J262">
        <f>1-SUM(J255:J261)</f>
        <v>0.63650000000000007</v>
      </c>
      <c r="K262">
        <f>1-SUM(K255:K261)</f>
        <v>1.8399999999999972E-2</v>
      </c>
      <c r="L262">
        <f>1-SUM(L255:L261)</f>
        <v>0.10409999999999997</v>
      </c>
    </row>
    <row r="265" spans="1:25" s="23" customFormat="1" ht="72.5">
      <c r="A265" s="195"/>
      <c r="B265" s="195"/>
      <c r="C265" s="195"/>
      <c r="D265" s="196"/>
      <c r="E265" s="196"/>
      <c r="F265" s="196"/>
      <c r="G265" s="196"/>
      <c r="H265" s="196"/>
      <c r="I265" s="196"/>
      <c r="J265" s="197" t="s">
        <v>480</v>
      </c>
      <c r="K265" s="195" t="s">
        <v>228</v>
      </c>
      <c r="L265" s="195" t="s">
        <v>239</v>
      </c>
      <c r="M265" s="195" t="s">
        <v>240</v>
      </c>
      <c r="N265" s="196" t="s">
        <v>241</v>
      </c>
      <c r="O265" s="195" t="s">
        <v>242</v>
      </c>
      <c r="P265" s="195" t="s">
        <v>232</v>
      </c>
      <c r="Q265" s="195" t="s">
        <v>233</v>
      </c>
      <c r="R265" s="195" t="s">
        <v>234</v>
      </c>
      <c r="S265" s="195" t="s">
        <v>235</v>
      </c>
      <c r="T265" s="195" t="s">
        <v>572</v>
      </c>
      <c r="U265" s="195" t="s">
        <v>231</v>
      </c>
      <c r="V265" s="195" t="s">
        <v>236</v>
      </c>
      <c r="W265" s="195" t="s">
        <v>373</v>
      </c>
      <c r="X265" s="195" t="s">
        <v>229</v>
      </c>
      <c r="Y265" s="195" t="s">
        <v>238</v>
      </c>
    </row>
    <row r="266" spans="1:25" ht="15.5">
      <c r="A266" s="237" t="s">
        <v>368</v>
      </c>
      <c r="B266" s="237"/>
      <c r="C266" s="237"/>
      <c r="D266" s="237"/>
      <c r="E266" s="237"/>
      <c r="F266" s="237"/>
      <c r="G266" s="237"/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</row>
    <row r="267" spans="1:25">
      <c r="A267" t="s">
        <v>4</v>
      </c>
      <c r="B267" t="s">
        <v>421</v>
      </c>
      <c r="C267" t="s">
        <v>481</v>
      </c>
      <c r="J267" s="157" t="e">
        <f>J36/1000</f>
        <v>#REF!</v>
      </c>
      <c r="K267" s="192" t="e">
        <f t="shared" ref="K267:Y267" si="145">K36</f>
        <v>#REF!</v>
      </c>
      <c r="L267" s="192" t="e">
        <f t="shared" si="145"/>
        <v>#REF!</v>
      </c>
      <c r="M267" s="192" t="e">
        <f t="shared" si="145"/>
        <v>#REF!</v>
      </c>
      <c r="N267" s="192" t="e">
        <f t="shared" si="145"/>
        <v>#REF!</v>
      </c>
      <c r="O267" s="192" t="e">
        <f t="shared" si="145"/>
        <v>#REF!</v>
      </c>
      <c r="P267" s="192" t="e">
        <f t="shared" si="145"/>
        <v>#REF!</v>
      </c>
      <c r="Q267" s="192" t="e">
        <f t="shared" si="145"/>
        <v>#REF!</v>
      </c>
      <c r="R267" s="192" t="e">
        <f t="shared" si="145"/>
        <v>#REF!</v>
      </c>
      <c r="S267" s="192" t="e">
        <f t="shared" si="145"/>
        <v>#REF!</v>
      </c>
      <c r="T267" s="192" t="e">
        <f t="shared" si="145"/>
        <v>#REF!</v>
      </c>
      <c r="U267" s="192" t="e">
        <f t="shared" si="145"/>
        <v>#REF!</v>
      </c>
      <c r="V267" s="192" t="e">
        <f t="shared" si="145"/>
        <v>#REF!</v>
      </c>
      <c r="W267" s="192" t="e">
        <f t="shared" si="145"/>
        <v>#REF!</v>
      </c>
      <c r="X267" s="192" t="e">
        <f t="shared" si="145"/>
        <v>#REF!</v>
      </c>
      <c r="Y267" s="192" t="e">
        <f t="shared" si="145"/>
        <v>#REF!</v>
      </c>
    </row>
    <row r="268" spans="1:25">
      <c r="C268" t="s">
        <v>483</v>
      </c>
      <c r="J268" s="157" t="e">
        <f>J34/(G35*1000)</f>
        <v>#REF!</v>
      </c>
      <c r="K268" s="192" t="e">
        <f t="shared" ref="K268:Y268" si="146">K34/$G35</f>
        <v>#REF!</v>
      </c>
      <c r="L268" s="192" t="e">
        <f t="shared" si="146"/>
        <v>#REF!</v>
      </c>
      <c r="M268" s="192" t="e">
        <f t="shared" si="146"/>
        <v>#REF!</v>
      </c>
      <c r="N268" s="192" t="e">
        <f t="shared" si="146"/>
        <v>#REF!</v>
      </c>
      <c r="O268" s="192" t="e">
        <f t="shared" si="146"/>
        <v>#REF!</v>
      </c>
      <c r="P268" s="192" t="e">
        <f t="shared" si="146"/>
        <v>#REF!</v>
      </c>
      <c r="Q268" s="192" t="e">
        <f t="shared" si="146"/>
        <v>#REF!</v>
      </c>
      <c r="R268" s="192" t="e">
        <f t="shared" si="146"/>
        <v>#REF!</v>
      </c>
      <c r="S268" s="192" t="e">
        <f t="shared" si="146"/>
        <v>#REF!</v>
      </c>
      <c r="T268" s="192" t="e">
        <f t="shared" si="146"/>
        <v>#REF!</v>
      </c>
      <c r="U268" s="192" t="e">
        <f t="shared" si="146"/>
        <v>#REF!</v>
      </c>
      <c r="V268" s="192" t="e">
        <f t="shared" si="146"/>
        <v>#REF!</v>
      </c>
      <c r="W268" s="192" t="e">
        <f t="shared" si="146"/>
        <v>#REF!</v>
      </c>
      <c r="X268" s="192" t="e">
        <f t="shared" si="146"/>
        <v>#REF!</v>
      </c>
      <c r="Y268" s="192" t="e">
        <f t="shared" si="146"/>
        <v>#REF!</v>
      </c>
    </row>
    <row r="269" spans="1:25">
      <c r="C269" t="s">
        <v>484</v>
      </c>
      <c r="J269" s="157" t="e">
        <f>J30/(G35*1000)</f>
        <v>#REF!</v>
      </c>
      <c r="K269" s="192" t="e">
        <f t="shared" ref="K269:Y269" si="147">K30/$G35</f>
        <v>#REF!</v>
      </c>
      <c r="L269" s="192" t="e">
        <f t="shared" si="147"/>
        <v>#REF!</v>
      </c>
      <c r="M269" s="192" t="e">
        <f t="shared" si="147"/>
        <v>#REF!</v>
      </c>
      <c r="N269" s="192" t="e">
        <f t="shared" si="147"/>
        <v>#REF!</v>
      </c>
      <c r="O269" s="192" t="e">
        <f t="shared" si="147"/>
        <v>#REF!</v>
      </c>
      <c r="P269" s="192" t="e">
        <f t="shared" si="147"/>
        <v>#REF!</v>
      </c>
      <c r="Q269" s="192" t="e">
        <f t="shared" si="147"/>
        <v>#REF!</v>
      </c>
      <c r="R269" s="192" t="e">
        <f t="shared" si="147"/>
        <v>#REF!</v>
      </c>
      <c r="S269" s="192" t="e">
        <f t="shared" si="147"/>
        <v>#REF!</v>
      </c>
      <c r="T269" s="192" t="e">
        <f t="shared" si="147"/>
        <v>#REF!</v>
      </c>
      <c r="U269" s="192" t="e">
        <f t="shared" si="147"/>
        <v>#REF!</v>
      </c>
      <c r="V269" s="192" t="e">
        <f t="shared" si="147"/>
        <v>#REF!</v>
      </c>
      <c r="W269" s="192" t="e">
        <f t="shared" si="147"/>
        <v>#REF!</v>
      </c>
      <c r="X269" s="192" t="e">
        <f t="shared" si="147"/>
        <v>#REF!</v>
      </c>
      <c r="Y269" s="192" t="e">
        <f t="shared" si="147"/>
        <v>#REF!</v>
      </c>
    </row>
    <row r="270" spans="1:25">
      <c r="C270" t="s">
        <v>457</v>
      </c>
      <c r="J270" s="157" t="e">
        <f>J31/(G35*1000)</f>
        <v>#REF!</v>
      </c>
      <c r="K270" s="192" t="e">
        <f t="shared" ref="K270:Y270" si="148">K31/$G35</f>
        <v>#REF!</v>
      </c>
      <c r="L270" s="192" t="e">
        <f t="shared" si="148"/>
        <v>#REF!</v>
      </c>
      <c r="M270" s="192" t="e">
        <f t="shared" si="148"/>
        <v>#REF!</v>
      </c>
      <c r="N270" s="192" t="e">
        <f t="shared" si="148"/>
        <v>#REF!</v>
      </c>
      <c r="O270" s="192" t="e">
        <f t="shared" si="148"/>
        <v>#REF!</v>
      </c>
      <c r="P270" s="192" t="e">
        <f t="shared" si="148"/>
        <v>#REF!</v>
      </c>
      <c r="Q270" s="192" t="e">
        <f t="shared" si="148"/>
        <v>#REF!</v>
      </c>
      <c r="R270" s="192" t="e">
        <f t="shared" si="148"/>
        <v>#REF!</v>
      </c>
      <c r="S270" s="192" t="e">
        <f t="shared" si="148"/>
        <v>#REF!</v>
      </c>
      <c r="T270" s="192" t="e">
        <f t="shared" si="148"/>
        <v>#REF!</v>
      </c>
      <c r="U270" s="192" t="e">
        <f t="shared" si="148"/>
        <v>#REF!</v>
      </c>
      <c r="V270" s="192" t="e">
        <f t="shared" si="148"/>
        <v>#REF!</v>
      </c>
      <c r="W270" s="192" t="e">
        <f t="shared" si="148"/>
        <v>#REF!</v>
      </c>
      <c r="X270" s="192" t="e">
        <f t="shared" si="148"/>
        <v>#REF!</v>
      </c>
      <c r="Y270" s="192" t="e">
        <f t="shared" si="148"/>
        <v>#REF!</v>
      </c>
    </row>
    <row r="271" spans="1:25">
      <c r="C271" t="s">
        <v>519</v>
      </c>
      <c r="J271" s="157" t="e">
        <f>J32/(G35*1000)</f>
        <v>#REF!</v>
      </c>
      <c r="K271" s="192" t="e">
        <f t="shared" ref="K271:Y271" si="149">K32/$G35</f>
        <v>#REF!</v>
      </c>
      <c r="L271" s="192" t="e">
        <f t="shared" si="149"/>
        <v>#REF!</v>
      </c>
      <c r="M271" s="192" t="e">
        <f t="shared" si="149"/>
        <v>#REF!</v>
      </c>
      <c r="N271" s="192" t="e">
        <f t="shared" si="149"/>
        <v>#REF!</v>
      </c>
      <c r="O271" s="192" t="e">
        <f t="shared" si="149"/>
        <v>#REF!</v>
      </c>
      <c r="P271" s="192" t="e">
        <f t="shared" si="149"/>
        <v>#REF!</v>
      </c>
      <c r="Q271" s="192" t="e">
        <f t="shared" si="149"/>
        <v>#REF!</v>
      </c>
      <c r="R271" s="192" t="e">
        <f t="shared" si="149"/>
        <v>#REF!</v>
      </c>
      <c r="S271" s="192" t="e">
        <f t="shared" si="149"/>
        <v>#REF!</v>
      </c>
      <c r="T271" s="192" t="e">
        <f t="shared" si="149"/>
        <v>#REF!</v>
      </c>
      <c r="U271" s="192" t="e">
        <f t="shared" si="149"/>
        <v>#REF!</v>
      </c>
      <c r="V271" s="192" t="e">
        <f t="shared" si="149"/>
        <v>#REF!</v>
      </c>
      <c r="W271" s="192" t="e">
        <f t="shared" si="149"/>
        <v>#REF!</v>
      </c>
      <c r="X271" s="192" t="e">
        <f t="shared" si="149"/>
        <v>#REF!</v>
      </c>
      <c r="Y271" s="192" t="e">
        <f t="shared" si="149"/>
        <v>#REF!</v>
      </c>
    </row>
    <row r="272" spans="1:25">
      <c r="C272" t="s">
        <v>485</v>
      </c>
      <c r="J272" s="157" t="e">
        <f>(J28+J29+J33)/(G35*1000)</f>
        <v>#REF!</v>
      </c>
      <c r="K272" s="192" t="e">
        <f t="shared" ref="K272:Y272" si="150">(K28+K29+K33)/$G35</f>
        <v>#REF!</v>
      </c>
      <c r="L272" s="192" t="e">
        <f t="shared" si="150"/>
        <v>#REF!</v>
      </c>
      <c r="M272" s="192" t="e">
        <f t="shared" si="150"/>
        <v>#REF!</v>
      </c>
      <c r="N272" s="192" t="e">
        <f t="shared" si="150"/>
        <v>#REF!</v>
      </c>
      <c r="O272" s="192" t="e">
        <f t="shared" si="150"/>
        <v>#REF!</v>
      </c>
      <c r="P272" s="192" t="e">
        <f t="shared" si="150"/>
        <v>#REF!</v>
      </c>
      <c r="Q272" s="192" t="e">
        <f t="shared" si="150"/>
        <v>#REF!</v>
      </c>
      <c r="R272" s="192" t="e">
        <f t="shared" si="150"/>
        <v>#REF!</v>
      </c>
      <c r="S272" s="192" t="e">
        <f t="shared" si="150"/>
        <v>#REF!</v>
      </c>
      <c r="T272" s="192" t="e">
        <f t="shared" si="150"/>
        <v>#REF!</v>
      </c>
      <c r="U272" s="192" t="e">
        <f t="shared" si="150"/>
        <v>#REF!</v>
      </c>
      <c r="V272" s="192" t="e">
        <f t="shared" si="150"/>
        <v>#REF!</v>
      </c>
      <c r="W272" s="192" t="e">
        <f t="shared" si="150"/>
        <v>#REF!</v>
      </c>
      <c r="X272" s="192" t="e">
        <f t="shared" si="150"/>
        <v>#REF!</v>
      </c>
      <c r="Y272" s="192" t="e">
        <f t="shared" si="150"/>
        <v>#REF!</v>
      </c>
    </row>
    <row r="273" spans="1:25">
      <c r="B273" t="s">
        <v>425</v>
      </c>
      <c r="C273" t="s">
        <v>380</v>
      </c>
      <c r="J273" s="171">
        <f>I34</f>
        <v>8.7076904926240983E-2</v>
      </c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  <c r="U273" s="192"/>
      <c r="V273" s="192"/>
      <c r="W273" s="192"/>
      <c r="X273" s="192"/>
      <c r="Y273" s="192"/>
    </row>
    <row r="274" spans="1:25">
      <c r="C274" t="s">
        <v>161</v>
      </c>
      <c r="J274" s="171">
        <f>I30</f>
        <v>0.4268749671194515</v>
      </c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</row>
    <row r="275" spans="1:25">
      <c r="C275" t="s">
        <v>424</v>
      </c>
      <c r="J275" s="171">
        <f>I29+I31+I32+I33</f>
        <v>0.48604812795430746</v>
      </c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</row>
    <row r="276" spans="1:25">
      <c r="B276" t="s">
        <v>422</v>
      </c>
      <c r="C276" t="s">
        <v>481</v>
      </c>
      <c r="I276" s="157"/>
      <c r="J276" s="181" t="e">
        <f>J27/1000</f>
        <v>#REF!</v>
      </c>
      <c r="K276" s="192" t="e">
        <f t="shared" ref="K276:Y276" si="151">K27</f>
        <v>#REF!</v>
      </c>
      <c r="L276" s="192" t="e">
        <f t="shared" si="151"/>
        <v>#REF!</v>
      </c>
      <c r="M276" s="192" t="e">
        <f t="shared" si="151"/>
        <v>#REF!</v>
      </c>
      <c r="N276" s="192" t="e">
        <f t="shared" si="151"/>
        <v>#REF!</v>
      </c>
      <c r="O276" s="192" t="e">
        <f t="shared" si="151"/>
        <v>#REF!</v>
      </c>
      <c r="P276" s="192" t="e">
        <f t="shared" si="151"/>
        <v>#REF!</v>
      </c>
      <c r="Q276" s="192" t="e">
        <f t="shared" si="151"/>
        <v>#REF!</v>
      </c>
      <c r="R276" s="192" t="e">
        <f t="shared" si="151"/>
        <v>#REF!</v>
      </c>
      <c r="S276" s="192" t="e">
        <f t="shared" si="151"/>
        <v>#REF!</v>
      </c>
      <c r="T276" s="192" t="e">
        <f t="shared" si="151"/>
        <v>#REF!</v>
      </c>
      <c r="U276" s="192" t="e">
        <f t="shared" si="151"/>
        <v>#REF!</v>
      </c>
      <c r="V276" s="192" t="e">
        <f t="shared" si="151"/>
        <v>#REF!</v>
      </c>
      <c r="W276" s="192" t="e">
        <f t="shared" si="151"/>
        <v>#REF!</v>
      </c>
      <c r="X276" s="192" t="e">
        <f t="shared" si="151"/>
        <v>#REF!</v>
      </c>
      <c r="Y276" s="192" t="e">
        <f t="shared" si="151"/>
        <v>#REF!</v>
      </c>
    </row>
    <row r="277" spans="1:25">
      <c r="C277" t="s">
        <v>487</v>
      </c>
      <c r="J277" s="157" t="e">
        <f>(J9+J10+J12+J16)/(G26*1000)</f>
        <v>#REF!</v>
      </c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  <c r="X277" s="192"/>
      <c r="Y277" s="192"/>
    </row>
    <row r="278" spans="1:25">
      <c r="C278" t="s">
        <v>488</v>
      </c>
      <c r="J278" s="157" t="e">
        <f>(J13+J14+J15+J18+J4/G4*G19)/1000/G26</f>
        <v>#REF!</v>
      </c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</row>
    <row r="279" spans="1:25">
      <c r="C279" t="s">
        <v>489</v>
      </c>
      <c r="J279" s="157" t="e">
        <f>(J20+J4/G4*G21+J22+J23+J24+J25)/1000/G26</f>
        <v>#REF!</v>
      </c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</row>
    <row r="280" spans="1:25">
      <c r="B280" t="s">
        <v>425</v>
      </c>
      <c r="C280" t="s">
        <v>420</v>
      </c>
      <c r="J280" s="180">
        <f>SUM(I13:I19)</f>
        <v>0.77368914318482596</v>
      </c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</row>
    <row r="281" spans="1:25">
      <c r="C281" t="s">
        <v>427</v>
      </c>
      <c r="J281" s="171">
        <f>SUM(I20:I25)</f>
        <v>0.22631085681517413</v>
      </c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</row>
    <row r="282" spans="1:25">
      <c r="B282" t="s">
        <v>423</v>
      </c>
      <c r="C282" t="s">
        <v>486</v>
      </c>
      <c r="J282" s="182" t="e">
        <f>J92/1000</f>
        <v>#REF!</v>
      </c>
      <c r="K282" s="192" t="e">
        <f t="shared" ref="K282:Y282" si="152">K92</f>
        <v>#REF!</v>
      </c>
      <c r="L282" s="192" t="e">
        <f t="shared" si="152"/>
        <v>#REF!</v>
      </c>
      <c r="M282" s="192" t="e">
        <f t="shared" si="152"/>
        <v>#REF!</v>
      </c>
      <c r="N282" s="192" t="e">
        <f t="shared" si="152"/>
        <v>#REF!</v>
      </c>
      <c r="O282" s="192" t="e">
        <f t="shared" si="152"/>
        <v>#REF!</v>
      </c>
      <c r="P282" s="192" t="e">
        <f t="shared" si="152"/>
        <v>#REF!</v>
      </c>
      <c r="Q282" s="192" t="e">
        <f t="shared" si="152"/>
        <v>#REF!</v>
      </c>
      <c r="R282" s="192" t="e">
        <f t="shared" si="152"/>
        <v>#REF!</v>
      </c>
      <c r="S282" s="192" t="e">
        <f t="shared" si="152"/>
        <v>#REF!</v>
      </c>
      <c r="T282" s="192" t="e">
        <f t="shared" si="152"/>
        <v>#REF!</v>
      </c>
      <c r="U282" s="192" t="e">
        <f t="shared" si="152"/>
        <v>#REF!</v>
      </c>
      <c r="V282" s="192" t="e">
        <f t="shared" si="152"/>
        <v>#REF!</v>
      </c>
      <c r="W282" s="192" t="e">
        <f t="shared" si="152"/>
        <v>#REF!</v>
      </c>
      <c r="X282" s="192" t="e">
        <f t="shared" si="152"/>
        <v>#REF!</v>
      </c>
      <c r="Y282" s="192" t="e">
        <f t="shared" si="152"/>
        <v>#REF!</v>
      </c>
    </row>
    <row r="283" spans="1:25">
      <c r="C283" t="s">
        <v>493</v>
      </c>
      <c r="J283" s="157" t="e">
        <f>(J38+J44)/(1000*E49)</f>
        <v>#REF!</v>
      </c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  <c r="X283" s="192"/>
      <c r="Y283" s="192"/>
    </row>
    <row r="284" spans="1:25">
      <c r="C284" t="s">
        <v>494</v>
      </c>
      <c r="J284" s="157" t="e">
        <f>(J43+J45+J46+J47+J48)/1000/E49</f>
        <v>#REF!</v>
      </c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</row>
    <row r="285" spans="1:25">
      <c r="C285" t="s">
        <v>495</v>
      </c>
      <c r="J285" s="157" t="e">
        <f>(J37+J39+J40+J41+J42)/1000/E49</f>
        <v>#REF!</v>
      </c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</row>
    <row r="286" spans="1:25">
      <c r="B286" t="s">
        <v>426</v>
      </c>
      <c r="C286" t="s">
        <v>327</v>
      </c>
      <c r="J286" s="171">
        <f>I43</f>
        <v>4.1030877209794807E-2</v>
      </c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  <c r="X286" s="192"/>
      <c r="Y286" s="192"/>
    </row>
    <row r="287" spans="1:25">
      <c r="C287" t="s">
        <v>328</v>
      </c>
      <c r="J287" s="171">
        <f>I37</f>
        <v>0.95896853328767306</v>
      </c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  <c r="X287" s="192"/>
      <c r="Y287" s="192"/>
    </row>
    <row r="288" spans="1:25">
      <c r="A288" t="s">
        <v>5</v>
      </c>
      <c r="B288" t="s">
        <v>421</v>
      </c>
      <c r="C288" t="s">
        <v>481</v>
      </c>
      <c r="J288" s="157" t="e">
        <f>J82/1000</f>
        <v>#REF!</v>
      </c>
      <c r="K288" s="192" t="e">
        <f t="shared" ref="K288:Y288" si="153">K82</f>
        <v>#REF!</v>
      </c>
      <c r="L288" s="192" t="e">
        <f t="shared" si="153"/>
        <v>#REF!</v>
      </c>
      <c r="M288" s="192" t="e">
        <f t="shared" si="153"/>
        <v>#REF!</v>
      </c>
      <c r="N288" s="192" t="e">
        <f t="shared" si="153"/>
        <v>#REF!</v>
      </c>
      <c r="O288" s="192" t="e">
        <f t="shared" si="153"/>
        <v>#REF!</v>
      </c>
      <c r="P288" s="192" t="e">
        <f t="shared" si="153"/>
        <v>#REF!</v>
      </c>
      <c r="Q288" s="192" t="e">
        <f t="shared" si="153"/>
        <v>#REF!</v>
      </c>
      <c r="R288" s="192" t="e">
        <f t="shared" si="153"/>
        <v>#REF!</v>
      </c>
      <c r="S288" s="192" t="e">
        <f t="shared" si="153"/>
        <v>#REF!</v>
      </c>
      <c r="T288" s="192" t="e">
        <f t="shared" si="153"/>
        <v>#REF!</v>
      </c>
      <c r="U288" s="192" t="e">
        <f t="shared" si="153"/>
        <v>#REF!</v>
      </c>
      <c r="V288" s="192" t="e">
        <f t="shared" si="153"/>
        <v>#REF!</v>
      </c>
      <c r="W288" s="192" t="e">
        <f t="shared" si="153"/>
        <v>#REF!</v>
      </c>
      <c r="X288" s="192" t="e">
        <f t="shared" si="153"/>
        <v>#REF!</v>
      </c>
      <c r="Y288" s="192" t="e">
        <f t="shared" si="153"/>
        <v>#REF!</v>
      </c>
    </row>
    <row r="289" spans="2:25">
      <c r="C289" t="s">
        <v>483</v>
      </c>
      <c r="J289" s="157" t="e">
        <f>J80/G81/1000</f>
        <v>#REF!</v>
      </c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</row>
    <row r="290" spans="2:25">
      <c r="C290" t="s">
        <v>484</v>
      </c>
      <c r="J290" s="157" t="e">
        <f>J76/G81/1000</f>
        <v>#REF!</v>
      </c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</row>
    <row r="291" spans="2:25">
      <c r="C291" t="s">
        <v>490</v>
      </c>
      <c r="J291" s="157" t="e">
        <f>(J72+J73)/G81/1000</f>
        <v>#REF!</v>
      </c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  <c r="X291" s="192"/>
      <c r="Y291" s="192"/>
    </row>
    <row r="292" spans="2:25">
      <c r="C292" t="s">
        <v>491</v>
      </c>
      <c r="J292" s="157" t="e">
        <f>(J74+J75)/G81/1000</f>
        <v>#REF!</v>
      </c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</row>
    <row r="293" spans="2:25">
      <c r="C293" t="s">
        <v>485</v>
      </c>
      <c r="J293" s="157" t="e">
        <f>(J70+J71+J77+J78+J79)/G81/1000</f>
        <v>#REF!</v>
      </c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</row>
    <row r="294" spans="2:25">
      <c r="B294" t="s">
        <v>425</v>
      </c>
      <c r="C294" t="s">
        <v>380</v>
      </c>
      <c r="J294" s="171">
        <f>I80</f>
        <v>0.13283707362490074</v>
      </c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</row>
    <row r="295" spans="2:25">
      <c r="C295" t="s">
        <v>161</v>
      </c>
      <c r="J295" s="171">
        <f>I76</f>
        <v>0.30564461435545154</v>
      </c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</row>
    <row r="296" spans="2:25">
      <c r="C296" t="s">
        <v>394</v>
      </c>
      <c r="J296" s="171">
        <f>I73</f>
        <v>0.12794190508260958</v>
      </c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</row>
    <row r="297" spans="2:25">
      <c r="C297" t="s">
        <v>424</v>
      </c>
      <c r="J297" s="171">
        <f>SUM(I77:I79)+I71</f>
        <v>0.43357640693703808</v>
      </c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</row>
    <row r="298" spans="2:25">
      <c r="B298" t="s">
        <v>422</v>
      </c>
      <c r="C298" t="s">
        <v>481</v>
      </c>
      <c r="J298" s="182" t="e">
        <f>J69/1000</f>
        <v>#REF!</v>
      </c>
      <c r="K298" s="192" t="e">
        <f t="shared" ref="K298:Y298" si="154">K69</f>
        <v>#REF!</v>
      </c>
      <c r="L298" s="192" t="e">
        <f t="shared" si="154"/>
        <v>#REF!</v>
      </c>
      <c r="M298" s="192" t="e">
        <f t="shared" si="154"/>
        <v>#REF!</v>
      </c>
      <c r="N298" s="192" t="e">
        <f t="shared" si="154"/>
        <v>#REF!</v>
      </c>
      <c r="O298" s="192" t="e">
        <f t="shared" si="154"/>
        <v>#REF!</v>
      </c>
      <c r="P298" s="192" t="e">
        <f t="shared" si="154"/>
        <v>#REF!</v>
      </c>
      <c r="Q298" s="192" t="e">
        <f t="shared" si="154"/>
        <v>#REF!</v>
      </c>
      <c r="R298" s="192" t="e">
        <f t="shared" si="154"/>
        <v>#REF!</v>
      </c>
      <c r="S298" s="192" t="e">
        <f t="shared" si="154"/>
        <v>#REF!</v>
      </c>
      <c r="T298" s="192" t="e">
        <f t="shared" si="154"/>
        <v>#REF!</v>
      </c>
      <c r="U298" s="192" t="e">
        <f t="shared" si="154"/>
        <v>#REF!</v>
      </c>
      <c r="V298" s="192" t="e">
        <f t="shared" si="154"/>
        <v>#REF!</v>
      </c>
      <c r="W298" s="192" t="e">
        <f t="shared" si="154"/>
        <v>#REF!</v>
      </c>
      <c r="X298" s="192" t="e">
        <f t="shared" si="154"/>
        <v>#REF!</v>
      </c>
      <c r="Y298" s="192" t="e">
        <f t="shared" si="154"/>
        <v>#REF!</v>
      </c>
    </row>
    <row r="299" spans="2:25">
      <c r="C299" t="s">
        <v>487</v>
      </c>
      <c r="J299" t="e">
        <f>(J55+J56+J59+J66)/(1000*G68)</f>
        <v>#REF!</v>
      </c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  <c r="X299" s="192"/>
      <c r="Y299" s="192"/>
    </row>
    <row r="300" spans="2:25">
      <c r="C300" t="s">
        <v>488</v>
      </c>
      <c r="J300" s="157" t="e">
        <f>(J58+J60)/G68/1000</f>
        <v>#REF!</v>
      </c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</row>
    <row r="301" spans="2:25">
      <c r="C301" t="s">
        <v>489</v>
      </c>
      <c r="J301" s="157" t="e">
        <f>(J52+J62+J63+J64+J65+J67)/G68/1000</f>
        <v>#REF!</v>
      </c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  <c r="X301" s="192"/>
      <c r="Y301" s="192"/>
    </row>
    <row r="302" spans="2:25">
      <c r="B302" t="s">
        <v>425</v>
      </c>
      <c r="C302" t="s">
        <v>420</v>
      </c>
      <c r="J302" s="171">
        <f>I58</f>
        <v>0.77369086059244696</v>
      </c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  <c r="X302" s="192"/>
      <c r="Y302" s="192"/>
    </row>
    <row r="303" spans="2:25">
      <c r="C303" t="s">
        <v>427</v>
      </c>
      <c r="J303" s="171">
        <f>I62+I63+I67</f>
        <v>0.22522813421311247</v>
      </c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  <c r="X303" s="192"/>
      <c r="Y303" s="192"/>
    </row>
    <row r="304" spans="2:25">
      <c r="B304" t="s">
        <v>423</v>
      </c>
      <c r="C304" t="s">
        <v>486</v>
      </c>
      <c r="J304" s="184" t="e">
        <f>J92/1000</f>
        <v>#REF!</v>
      </c>
      <c r="K304" s="192" t="e">
        <f t="shared" ref="K304:Y304" si="155">K92</f>
        <v>#REF!</v>
      </c>
      <c r="L304" s="192" t="e">
        <f t="shared" si="155"/>
        <v>#REF!</v>
      </c>
      <c r="M304" s="192" t="e">
        <f t="shared" si="155"/>
        <v>#REF!</v>
      </c>
      <c r="N304" s="192" t="e">
        <f t="shared" si="155"/>
        <v>#REF!</v>
      </c>
      <c r="O304" s="192" t="e">
        <f t="shared" si="155"/>
        <v>#REF!</v>
      </c>
      <c r="P304" s="192" t="e">
        <f t="shared" si="155"/>
        <v>#REF!</v>
      </c>
      <c r="Q304" s="192" t="e">
        <f t="shared" si="155"/>
        <v>#REF!</v>
      </c>
      <c r="R304" s="192" t="e">
        <f t="shared" si="155"/>
        <v>#REF!</v>
      </c>
      <c r="S304" s="192" t="e">
        <f t="shared" si="155"/>
        <v>#REF!</v>
      </c>
      <c r="T304" s="192" t="e">
        <f t="shared" si="155"/>
        <v>#REF!</v>
      </c>
      <c r="U304" s="192" t="e">
        <f t="shared" si="155"/>
        <v>#REF!</v>
      </c>
      <c r="V304" s="192" t="e">
        <f t="shared" si="155"/>
        <v>#REF!</v>
      </c>
      <c r="W304" s="192" t="e">
        <f t="shared" si="155"/>
        <v>#REF!</v>
      </c>
      <c r="X304" s="192" t="e">
        <f t="shared" si="155"/>
        <v>#REF!</v>
      </c>
      <c r="Y304" s="192" t="e">
        <f t="shared" si="155"/>
        <v>#REF!</v>
      </c>
    </row>
    <row r="305" spans="1:25">
      <c r="C305" t="s">
        <v>496</v>
      </c>
      <c r="J305" s="157" t="e">
        <f>(J84+J90)/(1000*E91)</f>
        <v>#REF!</v>
      </c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</row>
    <row r="306" spans="1:25">
      <c r="C306" t="s">
        <v>494</v>
      </c>
      <c r="J306" s="157" t="e">
        <f>J89/E91/1000</f>
        <v>#REF!</v>
      </c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  <c r="X306" s="192"/>
      <c r="Y306" s="192"/>
    </row>
    <row r="307" spans="1:25">
      <c r="C307" t="s">
        <v>495</v>
      </c>
      <c r="J307" s="157" t="e">
        <f>(J83+J85+J87)/E91/1000</f>
        <v>#REF!</v>
      </c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  <c r="X307" s="192"/>
      <c r="Y307" s="192"/>
    </row>
    <row r="308" spans="1:25">
      <c r="B308" t="s">
        <v>425</v>
      </c>
      <c r="C308" t="s">
        <v>327</v>
      </c>
      <c r="J308" s="171">
        <f>I89</f>
        <v>4.1030901397615081E-2</v>
      </c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</row>
    <row r="309" spans="1:25">
      <c r="C309" t="s">
        <v>328</v>
      </c>
      <c r="J309" s="171">
        <f>I83</f>
        <v>0.95896909860238488</v>
      </c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</row>
    <row r="310" spans="1:25">
      <c r="A310" t="s">
        <v>6</v>
      </c>
      <c r="B310" t="s">
        <v>421</v>
      </c>
      <c r="C310" t="s">
        <v>481</v>
      </c>
      <c r="J310" s="157" t="e">
        <f>J128/1000</f>
        <v>#REF!</v>
      </c>
      <c r="K310" s="192" t="e">
        <f t="shared" ref="K310:Y310" si="156">K128</f>
        <v>#REF!</v>
      </c>
      <c r="L310" s="192" t="e">
        <f t="shared" si="156"/>
        <v>#REF!</v>
      </c>
      <c r="M310" s="192" t="e">
        <f t="shared" si="156"/>
        <v>#REF!</v>
      </c>
      <c r="N310" s="192" t="e">
        <f t="shared" si="156"/>
        <v>#REF!</v>
      </c>
      <c r="O310" s="192" t="e">
        <f t="shared" si="156"/>
        <v>#REF!</v>
      </c>
      <c r="P310" s="192" t="e">
        <f t="shared" si="156"/>
        <v>#REF!</v>
      </c>
      <c r="Q310" s="192" t="e">
        <f t="shared" si="156"/>
        <v>#REF!</v>
      </c>
      <c r="R310" s="192" t="e">
        <f t="shared" si="156"/>
        <v>#REF!</v>
      </c>
      <c r="S310" s="192" t="e">
        <f t="shared" si="156"/>
        <v>#REF!</v>
      </c>
      <c r="T310" s="192" t="e">
        <f t="shared" si="156"/>
        <v>#REF!</v>
      </c>
      <c r="U310" s="192" t="e">
        <f t="shared" si="156"/>
        <v>#REF!</v>
      </c>
      <c r="V310" s="192" t="e">
        <f t="shared" si="156"/>
        <v>#REF!</v>
      </c>
      <c r="W310" s="192" t="e">
        <f t="shared" si="156"/>
        <v>#REF!</v>
      </c>
      <c r="X310" s="192" t="e">
        <f t="shared" si="156"/>
        <v>#REF!</v>
      </c>
      <c r="Y310" s="192" t="e">
        <f t="shared" si="156"/>
        <v>#REF!</v>
      </c>
    </row>
    <row r="311" spans="1:25">
      <c r="C311" t="s">
        <v>483</v>
      </c>
      <c r="J311" s="157" t="e">
        <f>J125/G127/1000</f>
        <v>#REF!</v>
      </c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  <c r="U311" s="192"/>
      <c r="V311" s="192"/>
      <c r="W311" s="192"/>
      <c r="X311" s="192"/>
      <c r="Y311" s="192"/>
    </row>
    <row r="312" spans="1:25">
      <c r="C312" t="s">
        <v>484</v>
      </c>
      <c r="J312" s="157" t="e">
        <f>J121/G127/1000</f>
        <v>#REF!</v>
      </c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  <c r="X312" s="192"/>
      <c r="Y312" s="192"/>
    </row>
    <row r="313" spans="1:25">
      <c r="C313" t="s">
        <v>492</v>
      </c>
      <c r="J313" s="157" t="e">
        <f>J126/G127/1000</f>
        <v>#REF!</v>
      </c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  <c r="Y313" s="192"/>
    </row>
    <row r="314" spans="1:25">
      <c r="C314" t="s">
        <v>490</v>
      </c>
      <c r="J314" s="157" t="e">
        <f>(J119+J120)/G127/1000</f>
        <v>#REF!</v>
      </c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</row>
    <row r="315" spans="1:25">
      <c r="C315" t="s">
        <v>485</v>
      </c>
      <c r="J315" s="157" t="e">
        <f>(J116+J117+J118+J122+J123+J124)/G127/1000</f>
        <v>#REF!</v>
      </c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  <c r="X315" s="192"/>
      <c r="Y315" s="192"/>
    </row>
    <row r="316" spans="1:25">
      <c r="B316" t="s">
        <v>425</v>
      </c>
      <c r="C316" t="s">
        <v>380</v>
      </c>
      <c r="J316" s="171">
        <f>I125</f>
        <v>1.8544491554853836E-2</v>
      </c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</row>
    <row r="317" spans="1:25">
      <c r="C317" t="s">
        <v>161</v>
      </c>
      <c r="J317" s="171">
        <f>I121</f>
        <v>0.35392483882292025</v>
      </c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  <c r="X317" s="192"/>
      <c r="Y317" s="192"/>
    </row>
    <row r="318" spans="1:25">
      <c r="C318" t="s">
        <v>398</v>
      </c>
      <c r="J318" s="171">
        <f>I126</f>
        <v>8.2601962383134442E-2</v>
      </c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</row>
    <row r="319" spans="1:25">
      <c r="C319" t="s">
        <v>394</v>
      </c>
      <c r="J319" s="171">
        <f>I120</f>
        <v>5.0075977195441275E-2</v>
      </c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  <c r="X319" s="192"/>
      <c r="Y319" s="192"/>
    </row>
    <row r="320" spans="1:25">
      <c r="C320" t="s">
        <v>424</v>
      </c>
      <c r="J320" s="171">
        <f>I117+I118+I122+I123+I124</f>
        <v>0.49485273004365016</v>
      </c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  <c r="X320" s="192"/>
      <c r="Y320" s="192"/>
    </row>
    <row r="321" spans="1:25">
      <c r="B321" t="s">
        <v>422</v>
      </c>
      <c r="C321" t="s">
        <v>481</v>
      </c>
      <c r="J321" s="157" t="e">
        <f>J115/1000</f>
        <v>#REF!</v>
      </c>
      <c r="K321" s="192" t="e">
        <f t="shared" ref="K321:Y321" si="157">K115</f>
        <v>#REF!</v>
      </c>
      <c r="L321" s="192" t="e">
        <f t="shared" si="157"/>
        <v>#REF!</v>
      </c>
      <c r="M321" s="192" t="e">
        <f t="shared" si="157"/>
        <v>#REF!</v>
      </c>
      <c r="N321" s="192" t="e">
        <f t="shared" si="157"/>
        <v>#REF!</v>
      </c>
      <c r="O321" s="192" t="e">
        <f t="shared" si="157"/>
        <v>#REF!</v>
      </c>
      <c r="P321" s="192" t="e">
        <f t="shared" si="157"/>
        <v>#REF!</v>
      </c>
      <c r="Q321" s="192" t="e">
        <f t="shared" si="157"/>
        <v>#REF!</v>
      </c>
      <c r="R321" s="192" t="e">
        <f t="shared" si="157"/>
        <v>#REF!</v>
      </c>
      <c r="S321" s="192" t="e">
        <f t="shared" si="157"/>
        <v>#REF!</v>
      </c>
      <c r="T321" s="192" t="e">
        <f t="shared" si="157"/>
        <v>#REF!</v>
      </c>
      <c r="U321" s="192" t="e">
        <f t="shared" si="157"/>
        <v>#REF!</v>
      </c>
      <c r="V321" s="192" t="e">
        <f t="shared" si="157"/>
        <v>#REF!</v>
      </c>
      <c r="W321" s="192" t="e">
        <f t="shared" si="157"/>
        <v>#REF!</v>
      </c>
      <c r="X321" s="192" t="e">
        <f t="shared" si="157"/>
        <v>#REF!</v>
      </c>
      <c r="Y321" s="192" t="e">
        <f t="shared" si="157"/>
        <v>#REF!</v>
      </c>
    </row>
    <row r="322" spans="1:25">
      <c r="C322" t="s">
        <v>487</v>
      </c>
      <c r="J322" t="e">
        <f>((J98+J99+J101)/G93*G107+J105+J112)/G114/1000</f>
        <v>#REF!</v>
      </c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</row>
    <row r="323" spans="1:25">
      <c r="C323" t="s">
        <v>488</v>
      </c>
      <c r="J323" t="e">
        <f>(J102+J103+J104)/G114/1000</f>
        <v>#REF!</v>
      </c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  <c r="X323" s="192"/>
      <c r="Y323" s="192"/>
    </row>
    <row r="324" spans="1:25">
      <c r="C324" t="s">
        <v>489</v>
      </c>
      <c r="J324" t="e">
        <f>(J94/G94*G107+J108+J109+J110+J111+J113)/G114/1000</f>
        <v>#REF!</v>
      </c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  <c r="X324" s="192"/>
      <c r="Y324" s="192"/>
    </row>
    <row r="325" spans="1:25">
      <c r="B325" t="s">
        <v>425</v>
      </c>
      <c r="C325" t="s">
        <v>420</v>
      </c>
      <c r="J325" s="171">
        <f>I103+I104</f>
        <v>0.77368132870961859</v>
      </c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  <c r="X325" s="192"/>
      <c r="Y325" s="192"/>
    </row>
    <row r="326" spans="1:25">
      <c r="C326" t="s">
        <v>427</v>
      </c>
      <c r="J326" s="171">
        <f>I108+I109+I113</f>
        <v>0.22523762056523511</v>
      </c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</row>
    <row r="327" spans="1:25">
      <c r="B327" t="s">
        <v>423</v>
      </c>
      <c r="C327" t="s">
        <v>486</v>
      </c>
      <c r="J327" s="157" t="e">
        <f>J141/1000</f>
        <v>#REF!</v>
      </c>
      <c r="K327" s="192" t="e">
        <f t="shared" ref="K327:Y327" si="158">K141</f>
        <v>#REF!</v>
      </c>
      <c r="L327" s="192" t="e">
        <f t="shared" si="158"/>
        <v>#REF!</v>
      </c>
      <c r="M327" s="192" t="e">
        <f t="shared" si="158"/>
        <v>#REF!</v>
      </c>
      <c r="N327" s="192" t="e">
        <f t="shared" si="158"/>
        <v>#REF!</v>
      </c>
      <c r="O327" s="192" t="e">
        <f t="shared" si="158"/>
        <v>#REF!</v>
      </c>
      <c r="P327" s="192" t="e">
        <f t="shared" si="158"/>
        <v>#REF!</v>
      </c>
      <c r="Q327" s="192" t="e">
        <f t="shared" si="158"/>
        <v>#REF!</v>
      </c>
      <c r="R327" s="192" t="e">
        <f t="shared" si="158"/>
        <v>#REF!</v>
      </c>
      <c r="S327" s="192" t="e">
        <f t="shared" si="158"/>
        <v>#REF!</v>
      </c>
      <c r="T327" s="192" t="e">
        <f t="shared" si="158"/>
        <v>#REF!</v>
      </c>
      <c r="U327" s="192" t="e">
        <f t="shared" si="158"/>
        <v>#REF!</v>
      </c>
      <c r="V327" s="192" t="e">
        <f t="shared" si="158"/>
        <v>#REF!</v>
      </c>
      <c r="W327" s="192" t="e">
        <f t="shared" si="158"/>
        <v>#REF!</v>
      </c>
      <c r="X327" s="192" t="e">
        <f t="shared" si="158"/>
        <v>#REF!</v>
      </c>
      <c r="Y327" s="192" t="e">
        <f t="shared" si="158"/>
        <v>#REF!</v>
      </c>
    </row>
    <row r="328" spans="1:25">
      <c r="C328" t="s">
        <v>496</v>
      </c>
      <c r="J328" s="157" t="e">
        <f>(J130+J137)/(E140*1000)</f>
        <v>#REF!</v>
      </c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  <c r="U328" s="192"/>
      <c r="V328" s="192"/>
      <c r="W328" s="192"/>
      <c r="X328" s="192"/>
      <c r="Y328" s="192"/>
    </row>
    <row r="329" spans="1:25">
      <c r="C329" t="s">
        <v>494</v>
      </c>
      <c r="J329" s="157" t="e">
        <f>(J136+J138+J139)/E140/1000</f>
        <v>#REF!</v>
      </c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</row>
    <row r="330" spans="1:25">
      <c r="B330" s="179"/>
      <c r="C330" t="s">
        <v>495</v>
      </c>
      <c r="J330" s="157" t="e">
        <f>(J129+J131+J132+J133+J134+J135)/E140/1000</f>
        <v>#REF!</v>
      </c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  <c r="X330" s="192"/>
      <c r="Y330" s="192"/>
    </row>
    <row r="331" spans="1:25">
      <c r="B331" t="s">
        <v>426</v>
      </c>
      <c r="C331" t="s">
        <v>327</v>
      </c>
      <c r="J331" s="171">
        <f>I136+I138</f>
        <v>4.1031080328523671E-2</v>
      </c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  <c r="U331" s="192"/>
      <c r="V331" s="192"/>
      <c r="W331" s="192"/>
      <c r="X331" s="192"/>
      <c r="Y331" s="192"/>
    </row>
    <row r="332" spans="1:25">
      <c r="B332" s="179"/>
      <c r="C332" t="s">
        <v>328</v>
      </c>
      <c r="J332" s="171">
        <f>I129+I131+I134</f>
        <v>0.95896891967147635</v>
      </c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</row>
    <row r="333" spans="1:25">
      <c r="A333" t="s">
        <v>520</v>
      </c>
      <c r="B333" t="s">
        <v>421</v>
      </c>
      <c r="C333" t="s">
        <v>481</v>
      </c>
      <c r="J333" s="182" t="e">
        <f>J185/1000</f>
        <v>#REF!</v>
      </c>
      <c r="K333" s="214" t="e">
        <f>K185</f>
        <v>#REF!</v>
      </c>
      <c r="L333" s="214" t="e">
        <f t="shared" ref="L333:Y333" si="159">L185</f>
        <v>#REF!</v>
      </c>
      <c r="M333" s="214" t="e">
        <f t="shared" si="159"/>
        <v>#REF!</v>
      </c>
      <c r="N333" s="214" t="e">
        <f t="shared" si="159"/>
        <v>#REF!</v>
      </c>
      <c r="O333" s="214" t="e">
        <f t="shared" si="159"/>
        <v>#REF!</v>
      </c>
      <c r="P333" s="214" t="e">
        <f t="shared" si="159"/>
        <v>#REF!</v>
      </c>
      <c r="Q333" s="214" t="e">
        <f t="shared" si="159"/>
        <v>#REF!</v>
      </c>
      <c r="R333" s="214" t="e">
        <f t="shared" si="159"/>
        <v>#REF!</v>
      </c>
      <c r="S333" s="214" t="e">
        <f t="shared" si="159"/>
        <v>#REF!</v>
      </c>
      <c r="T333" s="214" t="e">
        <f t="shared" si="159"/>
        <v>#REF!</v>
      </c>
      <c r="U333" s="214" t="e">
        <f t="shared" si="159"/>
        <v>#REF!</v>
      </c>
      <c r="V333" s="214" t="e">
        <f t="shared" si="159"/>
        <v>#REF!</v>
      </c>
      <c r="W333" s="214" t="e">
        <f t="shared" si="159"/>
        <v>#REF!</v>
      </c>
      <c r="X333" s="214" t="e">
        <f t="shared" si="159"/>
        <v>#REF!</v>
      </c>
      <c r="Y333" s="214" t="e">
        <f t="shared" si="159"/>
        <v>#REF!</v>
      </c>
    </row>
    <row r="334" spans="1:25">
      <c r="C334" t="s">
        <v>483</v>
      </c>
      <c r="I334" s="182"/>
      <c r="J334" s="182" t="e">
        <f>J183/G184/1000</f>
        <v>#REF!</v>
      </c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</row>
    <row r="335" spans="1:25">
      <c r="C335" t="s">
        <v>484</v>
      </c>
      <c r="J335" s="182" t="e">
        <f>J179/G184/1000</f>
        <v>#REF!</v>
      </c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</row>
    <row r="336" spans="1:25">
      <c r="C336" t="s">
        <v>424</v>
      </c>
      <c r="J336" s="182" t="e">
        <f>(J176+J177+J178+J180+J181+J182)/G184/1000</f>
        <v>#REF!</v>
      </c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</row>
    <row r="337" spans="1:25">
      <c r="B337" t="s">
        <v>422</v>
      </c>
      <c r="C337" t="s">
        <v>481</v>
      </c>
      <c r="G337" s="182"/>
      <c r="J337" s="182" t="e">
        <f>J174/1000</f>
        <v>#REF!</v>
      </c>
      <c r="K337" s="182" t="e">
        <f>K174</f>
        <v>#REF!</v>
      </c>
      <c r="L337" s="182" t="e">
        <f t="shared" ref="L337:Y337" si="160">L174</f>
        <v>#REF!</v>
      </c>
      <c r="M337" s="182" t="e">
        <f t="shared" si="160"/>
        <v>#REF!</v>
      </c>
      <c r="N337" s="182" t="e">
        <f t="shared" si="160"/>
        <v>#REF!</v>
      </c>
      <c r="O337" s="182" t="e">
        <f t="shared" si="160"/>
        <v>#REF!</v>
      </c>
      <c r="P337" s="182" t="e">
        <f t="shared" si="160"/>
        <v>#REF!</v>
      </c>
      <c r="Q337" s="182" t="e">
        <f t="shared" si="160"/>
        <v>#REF!</v>
      </c>
      <c r="R337" s="182" t="e">
        <f t="shared" si="160"/>
        <v>#REF!</v>
      </c>
      <c r="S337" s="182" t="e">
        <f t="shared" si="160"/>
        <v>#REF!</v>
      </c>
      <c r="T337" s="182" t="e">
        <f t="shared" si="160"/>
        <v>#REF!</v>
      </c>
      <c r="U337" s="182" t="e">
        <f t="shared" si="160"/>
        <v>#REF!</v>
      </c>
      <c r="V337" s="182" t="e">
        <f t="shared" si="160"/>
        <v>#REF!</v>
      </c>
      <c r="W337" s="182" t="e">
        <f t="shared" si="160"/>
        <v>#REF!</v>
      </c>
      <c r="X337" s="182" t="e">
        <f t="shared" si="160"/>
        <v>#REF!</v>
      </c>
      <c r="Y337" s="182" t="e">
        <f t="shared" si="160"/>
        <v>#REF!</v>
      </c>
    </row>
    <row r="338" spans="1:25">
      <c r="C338" t="s">
        <v>487</v>
      </c>
      <c r="G338" s="182"/>
      <c r="J338" s="182" t="e">
        <f>(J144/G142*(G156+G158+G164)+J163+J168+J171)/G173/1000</f>
        <v>#REF!</v>
      </c>
      <c r="K338" s="18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</row>
    <row r="339" spans="1:25">
      <c r="C339" t="s">
        <v>488</v>
      </c>
      <c r="G339" s="157"/>
      <c r="J339" s="182" t="e">
        <f>(J143/G143*(G156+G158)+J157+J159+J160+J161+J162)/G173/1000</f>
        <v>#REF!</v>
      </c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</row>
    <row r="340" spans="1:25">
      <c r="C340" t="s">
        <v>489</v>
      </c>
      <c r="G340" s="157"/>
      <c r="J340" s="182" t="e">
        <f>(J143/G143*G164+J165+J166+J167+J169+J170+J172)/G173/1000</f>
        <v>#REF!</v>
      </c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</row>
    <row r="341" spans="1:25">
      <c r="B341" t="s">
        <v>423</v>
      </c>
      <c r="C341" t="s">
        <v>486</v>
      </c>
      <c r="G341" s="157"/>
      <c r="H341" s="182"/>
      <c r="J341" s="182" t="e">
        <f>J193/1000</f>
        <v>#REF!</v>
      </c>
      <c r="K341" s="182" t="e">
        <f>K193</f>
        <v>#REF!</v>
      </c>
      <c r="L341" s="182" t="e">
        <f t="shared" ref="L341:Y341" si="161">L193</f>
        <v>#REF!</v>
      </c>
      <c r="M341" s="182" t="e">
        <f t="shared" si="161"/>
        <v>#REF!</v>
      </c>
      <c r="N341" s="182" t="e">
        <f t="shared" si="161"/>
        <v>#REF!</v>
      </c>
      <c r="O341" s="182" t="e">
        <f t="shared" si="161"/>
        <v>#REF!</v>
      </c>
      <c r="P341" s="182" t="e">
        <f t="shared" si="161"/>
        <v>#REF!</v>
      </c>
      <c r="Q341" s="182" t="e">
        <f t="shared" si="161"/>
        <v>#REF!</v>
      </c>
      <c r="R341" s="182" t="e">
        <f t="shared" si="161"/>
        <v>#REF!</v>
      </c>
      <c r="S341" s="182" t="e">
        <f t="shared" si="161"/>
        <v>#REF!</v>
      </c>
      <c r="T341" s="182" t="e">
        <f t="shared" si="161"/>
        <v>#REF!</v>
      </c>
      <c r="U341" s="182" t="e">
        <f t="shared" si="161"/>
        <v>#REF!</v>
      </c>
      <c r="V341" s="182" t="e">
        <f t="shared" si="161"/>
        <v>#REF!</v>
      </c>
      <c r="W341" s="182" t="e">
        <f t="shared" si="161"/>
        <v>#REF!</v>
      </c>
      <c r="X341" s="182" t="e">
        <f t="shared" si="161"/>
        <v>#REF!</v>
      </c>
      <c r="Y341" s="182" t="e">
        <f t="shared" si="161"/>
        <v>#REF!</v>
      </c>
    </row>
    <row r="342" spans="1:25">
      <c r="C342" t="s">
        <v>496</v>
      </c>
      <c r="G342" s="157"/>
      <c r="J342" s="182" t="e">
        <f>(J155/G151*(G189+G191)+J187)/E192/1000</f>
        <v>#REF!</v>
      </c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</row>
    <row r="343" spans="1:25">
      <c r="C343" t="s">
        <v>494</v>
      </c>
      <c r="G343" s="157"/>
      <c r="J343" s="182" t="e">
        <f>(J190+J152/G151*G191)/E192/1000</f>
        <v>#REF!</v>
      </c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</row>
    <row r="344" spans="1:25">
      <c r="C344" t="s">
        <v>495</v>
      </c>
      <c r="G344" s="157"/>
      <c r="J344" s="182" t="e">
        <f>(J186+J188+J152/G151*G189)/E192/1000</f>
        <v>#REF!</v>
      </c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  <c r="U344" s="192"/>
      <c r="V344" s="192"/>
      <c r="W344" s="192"/>
      <c r="X344" s="192"/>
      <c r="Y344" s="192"/>
    </row>
    <row r="345" spans="1:25">
      <c r="J345" s="171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  <c r="U345" s="192"/>
      <c r="V345" s="192"/>
      <c r="W345" s="192"/>
      <c r="X345" s="192"/>
      <c r="Y345" s="192"/>
    </row>
    <row r="347" spans="1:25" ht="15.5">
      <c r="A347" s="237" t="s">
        <v>369</v>
      </c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</row>
    <row r="348" spans="1:25">
      <c r="A348" t="s">
        <v>4</v>
      </c>
      <c r="B348" t="s">
        <v>421</v>
      </c>
      <c r="C348" t="s">
        <v>481</v>
      </c>
      <c r="J348" s="157" t="e">
        <f>Z36/1000</f>
        <v>#REF!</v>
      </c>
      <c r="K348" s="192" t="e">
        <f t="shared" ref="K348:Y348" si="162">AA36</f>
        <v>#REF!</v>
      </c>
      <c r="L348" s="192" t="e">
        <f t="shared" si="162"/>
        <v>#REF!</v>
      </c>
      <c r="M348" s="192" t="e">
        <f t="shared" si="162"/>
        <v>#REF!</v>
      </c>
      <c r="N348" s="192" t="e">
        <f t="shared" si="162"/>
        <v>#REF!</v>
      </c>
      <c r="O348" s="192" t="e">
        <f t="shared" si="162"/>
        <v>#REF!</v>
      </c>
      <c r="P348" s="192" t="e">
        <f t="shared" si="162"/>
        <v>#REF!</v>
      </c>
      <c r="Q348" s="192" t="e">
        <f t="shared" si="162"/>
        <v>#REF!</v>
      </c>
      <c r="R348" s="192" t="e">
        <f t="shared" si="162"/>
        <v>#REF!</v>
      </c>
      <c r="S348" s="192" t="e">
        <f t="shared" si="162"/>
        <v>#REF!</v>
      </c>
      <c r="T348" s="192" t="e">
        <f t="shared" si="162"/>
        <v>#REF!</v>
      </c>
      <c r="U348" s="192" t="e">
        <f t="shared" si="162"/>
        <v>#REF!</v>
      </c>
      <c r="V348" s="192" t="e">
        <f t="shared" si="162"/>
        <v>#REF!</v>
      </c>
      <c r="W348" s="192" t="e">
        <f t="shared" si="162"/>
        <v>#REF!</v>
      </c>
      <c r="X348" s="192" t="e">
        <f t="shared" si="162"/>
        <v>#REF!</v>
      </c>
      <c r="Y348" s="192" t="e">
        <f t="shared" si="162"/>
        <v>#REF!</v>
      </c>
    </row>
    <row r="349" spans="1:25">
      <c r="C349" t="s">
        <v>497</v>
      </c>
      <c r="J349" s="157" t="e">
        <f t="shared" ref="J349:Y349" si="163">J267-J348</f>
        <v>#REF!</v>
      </c>
      <c r="K349" s="192" t="e">
        <f t="shared" si="163"/>
        <v>#REF!</v>
      </c>
      <c r="L349" s="192" t="e">
        <f t="shared" si="163"/>
        <v>#REF!</v>
      </c>
      <c r="M349" s="192" t="e">
        <f t="shared" si="163"/>
        <v>#REF!</v>
      </c>
      <c r="N349" s="192" t="e">
        <f t="shared" si="163"/>
        <v>#REF!</v>
      </c>
      <c r="O349" s="192" t="e">
        <f t="shared" si="163"/>
        <v>#REF!</v>
      </c>
      <c r="P349" s="192" t="e">
        <f t="shared" si="163"/>
        <v>#REF!</v>
      </c>
      <c r="Q349" s="192" t="e">
        <f t="shared" si="163"/>
        <v>#REF!</v>
      </c>
      <c r="R349" s="192" t="e">
        <f t="shared" si="163"/>
        <v>#REF!</v>
      </c>
      <c r="S349" s="192" t="e">
        <f t="shared" si="163"/>
        <v>#REF!</v>
      </c>
      <c r="T349" s="192" t="e">
        <f t="shared" si="163"/>
        <v>#REF!</v>
      </c>
      <c r="U349" s="192" t="e">
        <f t="shared" si="163"/>
        <v>#REF!</v>
      </c>
      <c r="V349" s="192" t="e">
        <f t="shared" si="163"/>
        <v>#REF!</v>
      </c>
      <c r="W349" s="192" t="e">
        <f t="shared" si="163"/>
        <v>#REF!</v>
      </c>
      <c r="X349" s="192" t="e">
        <f t="shared" si="163"/>
        <v>#REF!</v>
      </c>
      <c r="Y349" s="192" t="e">
        <f t="shared" si="163"/>
        <v>#REF!</v>
      </c>
    </row>
    <row r="350" spans="1:25">
      <c r="C350" t="s">
        <v>483</v>
      </c>
      <c r="J350" s="157" t="e">
        <f>Z34/$G35/1000</f>
        <v>#REF!</v>
      </c>
      <c r="K350" s="192" t="e">
        <f t="shared" ref="K350:Y350" si="164">AA34/$G35</f>
        <v>#REF!</v>
      </c>
      <c r="L350" s="192" t="e">
        <f t="shared" si="164"/>
        <v>#REF!</v>
      </c>
      <c r="M350" s="192" t="e">
        <f t="shared" si="164"/>
        <v>#REF!</v>
      </c>
      <c r="N350" s="192" t="e">
        <f t="shared" si="164"/>
        <v>#REF!</v>
      </c>
      <c r="O350" s="192" t="e">
        <f t="shared" si="164"/>
        <v>#REF!</v>
      </c>
      <c r="P350" s="192" t="e">
        <f t="shared" si="164"/>
        <v>#REF!</v>
      </c>
      <c r="Q350" s="192" t="e">
        <f t="shared" si="164"/>
        <v>#REF!</v>
      </c>
      <c r="R350" s="192" t="e">
        <f t="shared" si="164"/>
        <v>#REF!</v>
      </c>
      <c r="S350" s="192" t="e">
        <f t="shared" si="164"/>
        <v>#REF!</v>
      </c>
      <c r="T350" s="192" t="e">
        <f t="shared" si="164"/>
        <v>#REF!</v>
      </c>
      <c r="U350" s="192" t="e">
        <f t="shared" si="164"/>
        <v>#REF!</v>
      </c>
      <c r="V350" s="192" t="e">
        <f t="shared" si="164"/>
        <v>#REF!</v>
      </c>
      <c r="W350" s="192" t="e">
        <f t="shared" si="164"/>
        <v>#REF!</v>
      </c>
      <c r="X350" s="192" t="e">
        <f t="shared" si="164"/>
        <v>#REF!</v>
      </c>
      <c r="Y350" s="192" t="e">
        <f t="shared" si="164"/>
        <v>#REF!</v>
      </c>
    </row>
    <row r="351" spans="1:25">
      <c r="C351" t="s">
        <v>484</v>
      </c>
      <c r="J351" s="157" t="e">
        <f>Z30/($G35*1000)</f>
        <v>#REF!</v>
      </c>
      <c r="K351" s="192" t="e">
        <f t="shared" ref="K351:Y351" si="165">AA30/$G35</f>
        <v>#REF!</v>
      </c>
      <c r="L351" s="192" t="e">
        <f t="shared" si="165"/>
        <v>#REF!</v>
      </c>
      <c r="M351" s="192" t="e">
        <f t="shared" si="165"/>
        <v>#REF!</v>
      </c>
      <c r="N351" s="192" t="e">
        <f t="shared" si="165"/>
        <v>#REF!</v>
      </c>
      <c r="O351" s="192" t="e">
        <f t="shared" si="165"/>
        <v>#REF!</v>
      </c>
      <c r="P351" s="192" t="e">
        <f t="shared" si="165"/>
        <v>#REF!</v>
      </c>
      <c r="Q351" s="192" t="e">
        <f t="shared" si="165"/>
        <v>#REF!</v>
      </c>
      <c r="R351" s="192" t="e">
        <f t="shared" si="165"/>
        <v>#REF!</v>
      </c>
      <c r="S351" s="192" t="e">
        <f t="shared" si="165"/>
        <v>#REF!</v>
      </c>
      <c r="T351" s="192" t="e">
        <f t="shared" si="165"/>
        <v>#REF!</v>
      </c>
      <c r="U351" s="192" t="e">
        <f t="shared" si="165"/>
        <v>#REF!</v>
      </c>
      <c r="V351" s="192" t="e">
        <f t="shared" si="165"/>
        <v>#REF!</v>
      </c>
      <c r="W351" s="192" t="e">
        <f t="shared" si="165"/>
        <v>#REF!</v>
      </c>
      <c r="X351" s="192" t="e">
        <f t="shared" si="165"/>
        <v>#REF!</v>
      </c>
      <c r="Y351" s="192" t="e">
        <f t="shared" si="165"/>
        <v>#REF!</v>
      </c>
    </row>
    <row r="352" spans="1:25">
      <c r="C352" t="s">
        <v>529</v>
      </c>
      <c r="J352" s="157" t="e">
        <f>Z31/(G35*1000)</f>
        <v>#REF!</v>
      </c>
      <c r="K352" s="192" t="e">
        <f t="shared" ref="K352:Y352" si="166">AA31/$G35</f>
        <v>#REF!</v>
      </c>
      <c r="L352" s="192" t="e">
        <f t="shared" si="166"/>
        <v>#REF!</v>
      </c>
      <c r="M352" s="192" t="e">
        <f t="shared" si="166"/>
        <v>#REF!</v>
      </c>
      <c r="N352" s="192" t="e">
        <f t="shared" si="166"/>
        <v>#REF!</v>
      </c>
      <c r="O352" s="192" t="e">
        <f t="shared" si="166"/>
        <v>#REF!</v>
      </c>
      <c r="P352" s="192" t="e">
        <f t="shared" si="166"/>
        <v>#REF!</v>
      </c>
      <c r="Q352" s="192" t="e">
        <f t="shared" si="166"/>
        <v>#REF!</v>
      </c>
      <c r="R352" s="192" t="e">
        <f t="shared" si="166"/>
        <v>#REF!</v>
      </c>
      <c r="S352" s="192" t="e">
        <f t="shared" si="166"/>
        <v>#REF!</v>
      </c>
      <c r="T352" s="192" t="e">
        <f t="shared" si="166"/>
        <v>#REF!</v>
      </c>
      <c r="U352" s="192" t="e">
        <f t="shared" si="166"/>
        <v>#REF!</v>
      </c>
      <c r="V352" s="192" t="e">
        <f t="shared" si="166"/>
        <v>#REF!</v>
      </c>
      <c r="W352" s="192" t="e">
        <f t="shared" si="166"/>
        <v>#REF!</v>
      </c>
      <c r="X352" s="192" t="e">
        <f t="shared" si="166"/>
        <v>#REF!</v>
      </c>
      <c r="Y352" s="192" t="e">
        <f t="shared" si="166"/>
        <v>#REF!</v>
      </c>
    </row>
    <row r="353" spans="2:25">
      <c r="C353" t="s">
        <v>530</v>
      </c>
      <c r="J353" s="157" t="e">
        <f>Z32/(G103*1000)</f>
        <v>#REF!</v>
      </c>
      <c r="K353" s="192" t="e">
        <f t="shared" ref="K353:Y353" si="167">AA32/$G35</f>
        <v>#REF!</v>
      </c>
      <c r="L353" s="192" t="e">
        <f t="shared" si="167"/>
        <v>#REF!</v>
      </c>
      <c r="M353" s="192" t="e">
        <f t="shared" si="167"/>
        <v>#REF!</v>
      </c>
      <c r="N353" s="192" t="e">
        <f t="shared" si="167"/>
        <v>#REF!</v>
      </c>
      <c r="O353" s="192" t="e">
        <f t="shared" si="167"/>
        <v>#REF!</v>
      </c>
      <c r="P353" s="192" t="e">
        <f t="shared" si="167"/>
        <v>#REF!</v>
      </c>
      <c r="Q353" s="192" t="e">
        <f t="shared" si="167"/>
        <v>#REF!</v>
      </c>
      <c r="R353" s="192" t="e">
        <f t="shared" si="167"/>
        <v>#REF!</v>
      </c>
      <c r="S353" s="192" t="e">
        <f t="shared" si="167"/>
        <v>#REF!</v>
      </c>
      <c r="T353" s="192" t="e">
        <f t="shared" si="167"/>
        <v>#REF!</v>
      </c>
      <c r="U353" s="192" t="e">
        <f t="shared" si="167"/>
        <v>#REF!</v>
      </c>
      <c r="V353" s="192" t="e">
        <f t="shared" si="167"/>
        <v>#REF!</v>
      </c>
      <c r="W353" s="192" t="e">
        <f t="shared" si="167"/>
        <v>#REF!</v>
      </c>
      <c r="X353" s="192" t="e">
        <f t="shared" si="167"/>
        <v>#REF!</v>
      </c>
      <c r="Y353" s="192" t="e">
        <f t="shared" si="167"/>
        <v>#REF!</v>
      </c>
    </row>
    <row r="354" spans="2:25">
      <c r="C354" t="s">
        <v>485</v>
      </c>
      <c r="J354" s="157" t="e">
        <f>(Z28+Z29+Z33)/($G35*1000)</f>
        <v>#REF!</v>
      </c>
      <c r="K354" s="192" t="e">
        <f t="shared" ref="K354:Y354" si="168">(AA28+AA29+AA33)/$G35</f>
        <v>#REF!</v>
      </c>
      <c r="L354" s="192" t="e">
        <f t="shared" si="168"/>
        <v>#REF!</v>
      </c>
      <c r="M354" s="192" t="e">
        <f t="shared" si="168"/>
        <v>#REF!</v>
      </c>
      <c r="N354" s="192" t="e">
        <f t="shared" si="168"/>
        <v>#REF!</v>
      </c>
      <c r="O354" s="192" t="e">
        <f t="shared" si="168"/>
        <v>#REF!</v>
      </c>
      <c r="P354" s="192" t="e">
        <f t="shared" si="168"/>
        <v>#REF!</v>
      </c>
      <c r="Q354" s="192" t="e">
        <f t="shared" si="168"/>
        <v>#REF!</v>
      </c>
      <c r="R354" s="192" t="e">
        <f t="shared" si="168"/>
        <v>#REF!</v>
      </c>
      <c r="S354" s="192" t="e">
        <f t="shared" si="168"/>
        <v>#REF!</v>
      </c>
      <c r="T354" s="192" t="e">
        <f t="shared" si="168"/>
        <v>#REF!</v>
      </c>
      <c r="U354" s="192" t="e">
        <f t="shared" si="168"/>
        <v>#REF!</v>
      </c>
      <c r="V354" s="192" t="e">
        <f t="shared" si="168"/>
        <v>#REF!</v>
      </c>
      <c r="W354" s="192" t="e">
        <f t="shared" si="168"/>
        <v>#REF!</v>
      </c>
      <c r="X354" s="192" t="e">
        <f t="shared" si="168"/>
        <v>#REF!</v>
      </c>
      <c r="Y354" s="192" t="e">
        <f t="shared" si="168"/>
        <v>#REF!</v>
      </c>
    </row>
    <row r="355" spans="2:25">
      <c r="B355" t="s">
        <v>422</v>
      </c>
      <c r="C355" t="s">
        <v>481</v>
      </c>
      <c r="J355" s="157" t="e">
        <f>Z27/1000</f>
        <v>#REF!</v>
      </c>
      <c r="K355" s="192" t="e">
        <f t="shared" ref="K355:Y355" si="169">AA27</f>
        <v>#REF!</v>
      </c>
      <c r="L355" s="192" t="e">
        <f t="shared" si="169"/>
        <v>#REF!</v>
      </c>
      <c r="M355" s="192" t="e">
        <f t="shared" si="169"/>
        <v>#REF!</v>
      </c>
      <c r="N355" s="192" t="e">
        <f t="shared" si="169"/>
        <v>#REF!</v>
      </c>
      <c r="O355" s="192" t="e">
        <f t="shared" si="169"/>
        <v>#REF!</v>
      </c>
      <c r="P355" s="192" t="e">
        <f t="shared" si="169"/>
        <v>#REF!</v>
      </c>
      <c r="Q355" s="192" t="e">
        <f t="shared" si="169"/>
        <v>#REF!</v>
      </c>
      <c r="R355" s="192" t="e">
        <f t="shared" si="169"/>
        <v>#REF!</v>
      </c>
      <c r="S355" s="192" t="e">
        <f t="shared" si="169"/>
        <v>#REF!</v>
      </c>
      <c r="T355" s="192" t="e">
        <f t="shared" si="169"/>
        <v>#REF!</v>
      </c>
      <c r="U355" s="192" t="e">
        <f t="shared" si="169"/>
        <v>#REF!</v>
      </c>
      <c r="V355" s="192" t="e">
        <f t="shared" si="169"/>
        <v>#REF!</v>
      </c>
      <c r="W355" s="192" t="e">
        <f t="shared" si="169"/>
        <v>#REF!</v>
      </c>
      <c r="X355" s="192" t="e">
        <f t="shared" si="169"/>
        <v>#REF!</v>
      </c>
      <c r="Y355" s="192" t="e">
        <f t="shared" si="169"/>
        <v>#REF!</v>
      </c>
    </row>
    <row r="356" spans="2:25">
      <c r="C356" t="s">
        <v>497</v>
      </c>
      <c r="J356" s="157" t="e">
        <f t="shared" ref="J356:Y356" si="170">J276-J355</f>
        <v>#REF!</v>
      </c>
      <c r="K356" s="192" t="e">
        <f t="shared" si="170"/>
        <v>#REF!</v>
      </c>
      <c r="L356" s="192" t="e">
        <f t="shared" si="170"/>
        <v>#REF!</v>
      </c>
      <c r="M356" s="192" t="e">
        <f t="shared" si="170"/>
        <v>#REF!</v>
      </c>
      <c r="N356" s="192" t="e">
        <f t="shared" si="170"/>
        <v>#REF!</v>
      </c>
      <c r="O356" s="192" t="e">
        <f t="shared" si="170"/>
        <v>#REF!</v>
      </c>
      <c r="P356" s="192" t="e">
        <f t="shared" si="170"/>
        <v>#REF!</v>
      </c>
      <c r="Q356" s="192" t="e">
        <f t="shared" si="170"/>
        <v>#REF!</v>
      </c>
      <c r="R356" s="192" t="e">
        <f t="shared" si="170"/>
        <v>#REF!</v>
      </c>
      <c r="S356" s="192" t="e">
        <f t="shared" si="170"/>
        <v>#REF!</v>
      </c>
      <c r="T356" s="192" t="e">
        <f t="shared" si="170"/>
        <v>#REF!</v>
      </c>
      <c r="U356" s="192" t="e">
        <f t="shared" si="170"/>
        <v>#REF!</v>
      </c>
      <c r="V356" s="192" t="e">
        <f t="shared" si="170"/>
        <v>#REF!</v>
      </c>
      <c r="W356" s="192" t="e">
        <f t="shared" si="170"/>
        <v>#REF!</v>
      </c>
      <c r="X356" s="192" t="e">
        <f t="shared" si="170"/>
        <v>#REF!</v>
      </c>
      <c r="Y356" s="192" t="e">
        <f t="shared" si="170"/>
        <v>#REF!</v>
      </c>
    </row>
    <row r="357" spans="2:25">
      <c r="C357" t="s">
        <v>487</v>
      </c>
      <c r="J357" s="157" t="e">
        <f>(Z9+Z10+Z12+Z16)/($G26*1000)</f>
        <v>#REF!</v>
      </c>
      <c r="K357" s="192" t="e">
        <f t="shared" ref="K357:Y357" si="171">(AA9+AA10+AA12+AA16)/$G26</f>
        <v>#REF!</v>
      </c>
      <c r="L357" s="192" t="e">
        <f t="shared" si="171"/>
        <v>#REF!</v>
      </c>
      <c r="M357" s="192" t="e">
        <f t="shared" si="171"/>
        <v>#REF!</v>
      </c>
      <c r="N357" s="192" t="e">
        <f t="shared" si="171"/>
        <v>#REF!</v>
      </c>
      <c r="O357" s="192" t="e">
        <f t="shared" si="171"/>
        <v>#REF!</v>
      </c>
      <c r="P357" s="192" t="e">
        <f t="shared" si="171"/>
        <v>#REF!</v>
      </c>
      <c r="Q357" s="192" t="e">
        <f t="shared" si="171"/>
        <v>#REF!</v>
      </c>
      <c r="R357" s="192" t="e">
        <f t="shared" si="171"/>
        <v>#REF!</v>
      </c>
      <c r="S357" s="192" t="e">
        <f t="shared" si="171"/>
        <v>#REF!</v>
      </c>
      <c r="T357" s="192" t="e">
        <f t="shared" si="171"/>
        <v>#REF!</v>
      </c>
      <c r="U357" s="192" t="e">
        <f t="shared" si="171"/>
        <v>#REF!</v>
      </c>
      <c r="V357" s="192" t="e">
        <f t="shared" si="171"/>
        <v>#REF!</v>
      </c>
      <c r="W357" s="192" t="e">
        <f t="shared" si="171"/>
        <v>#REF!</v>
      </c>
      <c r="X357" s="192" t="e">
        <f t="shared" si="171"/>
        <v>#REF!</v>
      </c>
      <c r="Y357" s="192" t="e">
        <f t="shared" si="171"/>
        <v>#REF!</v>
      </c>
    </row>
    <row r="358" spans="2:25">
      <c r="C358" t="s">
        <v>488</v>
      </c>
      <c r="J358" s="157" t="e">
        <f>(Z13+Z14+Z15+Z18+Z4/$G4*$G19)/1000/$G26</f>
        <v>#REF!</v>
      </c>
      <c r="K358" s="192" t="e">
        <f t="shared" ref="K358:Y358" si="172">(AA13+AA14+AA15+AA18+AA4/$G4*$G19)/$G26</f>
        <v>#REF!</v>
      </c>
      <c r="L358" s="192" t="e">
        <f t="shared" si="172"/>
        <v>#REF!</v>
      </c>
      <c r="M358" s="192" t="e">
        <f t="shared" si="172"/>
        <v>#REF!</v>
      </c>
      <c r="N358" s="192" t="e">
        <f t="shared" si="172"/>
        <v>#REF!</v>
      </c>
      <c r="O358" s="192" t="e">
        <f t="shared" si="172"/>
        <v>#REF!</v>
      </c>
      <c r="P358" s="192" t="e">
        <f t="shared" si="172"/>
        <v>#REF!</v>
      </c>
      <c r="Q358" s="192" t="e">
        <f t="shared" si="172"/>
        <v>#REF!</v>
      </c>
      <c r="R358" s="192" t="e">
        <f t="shared" si="172"/>
        <v>#REF!</v>
      </c>
      <c r="S358" s="192" t="e">
        <f t="shared" si="172"/>
        <v>#REF!</v>
      </c>
      <c r="T358" s="192" t="e">
        <f t="shared" si="172"/>
        <v>#REF!</v>
      </c>
      <c r="U358" s="192" t="e">
        <f t="shared" si="172"/>
        <v>#REF!</v>
      </c>
      <c r="V358" s="192" t="e">
        <f t="shared" si="172"/>
        <v>#REF!</v>
      </c>
      <c r="W358" s="192" t="e">
        <f t="shared" si="172"/>
        <v>#REF!</v>
      </c>
      <c r="X358" s="192" t="e">
        <f t="shared" si="172"/>
        <v>#REF!</v>
      </c>
      <c r="Y358" s="192" t="e">
        <f t="shared" si="172"/>
        <v>#REF!</v>
      </c>
    </row>
    <row r="359" spans="2:25">
      <c r="C359" t="s">
        <v>498</v>
      </c>
      <c r="J359" s="157" t="e">
        <f>(Z15)/1000/$G26</f>
        <v>#REF!</v>
      </c>
      <c r="K359" s="192" t="e">
        <f t="shared" ref="K359:Y359" si="173">AA15/$G26</f>
        <v>#REF!</v>
      </c>
      <c r="L359" s="192" t="e">
        <f t="shared" si="173"/>
        <v>#REF!</v>
      </c>
      <c r="M359" s="192" t="e">
        <f t="shared" si="173"/>
        <v>#REF!</v>
      </c>
      <c r="N359" s="192" t="e">
        <f t="shared" si="173"/>
        <v>#REF!</v>
      </c>
      <c r="O359" s="192" t="e">
        <f t="shared" si="173"/>
        <v>#REF!</v>
      </c>
      <c r="P359" s="192" t="e">
        <f t="shared" si="173"/>
        <v>#REF!</v>
      </c>
      <c r="Q359" s="192" t="e">
        <f t="shared" si="173"/>
        <v>#REF!</v>
      </c>
      <c r="R359" s="192" t="e">
        <f t="shared" si="173"/>
        <v>#REF!</v>
      </c>
      <c r="S359" s="192" t="e">
        <f t="shared" si="173"/>
        <v>#REF!</v>
      </c>
      <c r="T359" s="192" t="e">
        <f t="shared" si="173"/>
        <v>#REF!</v>
      </c>
      <c r="U359" s="192" t="e">
        <f t="shared" si="173"/>
        <v>#REF!</v>
      </c>
      <c r="V359" s="192" t="e">
        <f t="shared" si="173"/>
        <v>#REF!</v>
      </c>
      <c r="W359" s="192" t="e">
        <f t="shared" si="173"/>
        <v>#REF!</v>
      </c>
      <c r="X359" s="192" t="e">
        <f t="shared" si="173"/>
        <v>#REF!</v>
      </c>
      <c r="Y359" s="192" t="e">
        <f t="shared" si="173"/>
        <v>#REF!</v>
      </c>
    </row>
    <row r="360" spans="2:25">
      <c r="C360" t="s">
        <v>499</v>
      </c>
      <c r="F360" s="182"/>
      <c r="J360" s="157" t="e">
        <f>(Z13+Z14)/1000/$G26</f>
        <v>#REF!</v>
      </c>
      <c r="K360" s="192" t="e">
        <f t="shared" ref="K360:Y360" si="174">(AA13+AA14)/$G26</f>
        <v>#REF!</v>
      </c>
      <c r="L360" s="192" t="e">
        <f t="shared" si="174"/>
        <v>#REF!</v>
      </c>
      <c r="M360" s="192" t="e">
        <f t="shared" si="174"/>
        <v>#REF!</v>
      </c>
      <c r="N360" s="192" t="e">
        <f t="shared" si="174"/>
        <v>#REF!</v>
      </c>
      <c r="O360" s="192" t="e">
        <f t="shared" si="174"/>
        <v>#REF!</v>
      </c>
      <c r="P360" s="192" t="e">
        <f t="shared" si="174"/>
        <v>#REF!</v>
      </c>
      <c r="Q360" s="192" t="e">
        <f t="shared" si="174"/>
        <v>#REF!</v>
      </c>
      <c r="R360" s="192" t="e">
        <f t="shared" si="174"/>
        <v>#REF!</v>
      </c>
      <c r="S360" s="192" t="e">
        <f t="shared" si="174"/>
        <v>#REF!</v>
      </c>
      <c r="T360" s="192" t="e">
        <f t="shared" si="174"/>
        <v>#REF!</v>
      </c>
      <c r="U360" s="192" t="e">
        <f t="shared" si="174"/>
        <v>#REF!</v>
      </c>
      <c r="V360" s="192" t="e">
        <f t="shared" si="174"/>
        <v>#REF!</v>
      </c>
      <c r="W360" s="192" t="e">
        <f t="shared" si="174"/>
        <v>#REF!</v>
      </c>
      <c r="X360" s="192" t="e">
        <f t="shared" si="174"/>
        <v>#REF!</v>
      </c>
      <c r="Y360" s="192" t="e">
        <f t="shared" si="174"/>
        <v>#REF!</v>
      </c>
    </row>
    <row r="361" spans="2:25">
      <c r="C361" t="s">
        <v>500</v>
      </c>
      <c r="J361" s="157" t="e">
        <f>(Z18+Z4/$G4*$G19)/1000/$G26</f>
        <v>#REF!</v>
      </c>
      <c r="K361" s="192" t="e">
        <f t="shared" ref="K361:Y361" si="175">(AA18+AA4/$G4*$G19)/$G26</f>
        <v>#REF!</v>
      </c>
      <c r="L361" s="192" t="e">
        <f t="shared" si="175"/>
        <v>#REF!</v>
      </c>
      <c r="M361" s="192" t="e">
        <f t="shared" si="175"/>
        <v>#REF!</v>
      </c>
      <c r="N361" s="192" t="e">
        <f t="shared" si="175"/>
        <v>#REF!</v>
      </c>
      <c r="O361" s="192" t="e">
        <f t="shared" si="175"/>
        <v>#REF!</v>
      </c>
      <c r="P361" s="192" t="e">
        <f t="shared" si="175"/>
        <v>#REF!</v>
      </c>
      <c r="Q361" s="192" t="e">
        <f t="shared" si="175"/>
        <v>#REF!</v>
      </c>
      <c r="R361" s="192" t="e">
        <f t="shared" si="175"/>
        <v>#REF!</v>
      </c>
      <c r="S361" s="192" t="e">
        <f t="shared" si="175"/>
        <v>#REF!</v>
      </c>
      <c r="T361" s="192" t="e">
        <f t="shared" si="175"/>
        <v>#REF!</v>
      </c>
      <c r="U361" s="192" t="e">
        <f t="shared" si="175"/>
        <v>#REF!</v>
      </c>
      <c r="V361" s="192" t="e">
        <f t="shared" si="175"/>
        <v>#REF!</v>
      </c>
      <c r="W361" s="192" t="e">
        <f t="shared" si="175"/>
        <v>#REF!</v>
      </c>
      <c r="X361" s="192" t="e">
        <f t="shared" si="175"/>
        <v>#REF!</v>
      </c>
      <c r="Y361" s="192" t="e">
        <f t="shared" si="175"/>
        <v>#REF!</v>
      </c>
    </row>
    <row r="362" spans="2:25">
      <c r="C362" t="s">
        <v>501</v>
      </c>
      <c r="J362" s="190" t="e">
        <f>Z17/1000/$G26</f>
        <v>#REF!</v>
      </c>
      <c r="K362" s="192" t="e">
        <f t="shared" ref="K362:Y362" si="176">AA17/$G26</f>
        <v>#REF!</v>
      </c>
      <c r="L362" s="192" t="e">
        <f t="shared" si="176"/>
        <v>#REF!</v>
      </c>
      <c r="M362" s="192" t="e">
        <f t="shared" si="176"/>
        <v>#REF!</v>
      </c>
      <c r="N362" s="192" t="e">
        <f t="shared" si="176"/>
        <v>#REF!</v>
      </c>
      <c r="O362" s="192" t="e">
        <f t="shared" si="176"/>
        <v>#REF!</v>
      </c>
      <c r="P362" s="192" t="e">
        <f t="shared" si="176"/>
        <v>#REF!</v>
      </c>
      <c r="Q362" s="192" t="e">
        <f t="shared" si="176"/>
        <v>#REF!</v>
      </c>
      <c r="R362" s="192" t="e">
        <f t="shared" si="176"/>
        <v>#REF!</v>
      </c>
      <c r="S362" s="192" t="e">
        <f t="shared" si="176"/>
        <v>#REF!</v>
      </c>
      <c r="T362" s="192" t="e">
        <f t="shared" si="176"/>
        <v>#REF!</v>
      </c>
      <c r="U362" s="192" t="e">
        <f t="shared" si="176"/>
        <v>#REF!</v>
      </c>
      <c r="V362" s="192" t="e">
        <f t="shared" si="176"/>
        <v>#REF!</v>
      </c>
      <c r="W362" s="192" t="e">
        <f t="shared" si="176"/>
        <v>#REF!</v>
      </c>
      <c r="X362" s="192" t="e">
        <f t="shared" si="176"/>
        <v>#REF!</v>
      </c>
      <c r="Y362" s="192" t="e">
        <f t="shared" si="176"/>
        <v>#REF!</v>
      </c>
    </row>
    <row r="363" spans="2:25">
      <c r="C363" t="s">
        <v>489</v>
      </c>
      <c r="J363" s="157" t="e">
        <f>(Z20+Z4/$G4*$G21+Z22+Z23+Z24+Z25)/1000/$G26</f>
        <v>#REF!</v>
      </c>
      <c r="K363" s="192" t="e">
        <f t="shared" ref="K363:Y363" si="177">(AA20+AA4/$G4*$G21+AA22+AA23+AA24+AA25)/$G26</f>
        <v>#REF!</v>
      </c>
      <c r="L363" s="192" t="e">
        <f t="shared" si="177"/>
        <v>#REF!</v>
      </c>
      <c r="M363" s="192" t="e">
        <f t="shared" si="177"/>
        <v>#REF!</v>
      </c>
      <c r="N363" s="192" t="e">
        <f t="shared" si="177"/>
        <v>#REF!</v>
      </c>
      <c r="O363" s="192" t="e">
        <f t="shared" si="177"/>
        <v>#REF!</v>
      </c>
      <c r="P363" s="192" t="e">
        <f t="shared" si="177"/>
        <v>#REF!</v>
      </c>
      <c r="Q363" s="192" t="e">
        <f t="shared" si="177"/>
        <v>#REF!</v>
      </c>
      <c r="R363" s="192" t="e">
        <f t="shared" si="177"/>
        <v>#REF!</v>
      </c>
      <c r="S363" s="192" t="e">
        <f t="shared" si="177"/>
        <v>#REF!</v>
      </c>
      <c r="T363" s="192" t="e">
        <f t="shared" si="177"/>
        <v>#REF!</v>
      </c>
      <c r="U363" s="192" t="e">
        <f t="shared" si="177"/>
        <v>#REF!</v>
      </c>
      <c r="V363" s="192" t="e">
        <f t="shared" si="177"/>
        <v>#REF!</v>
      </c>
      <c r="W363" s="192" t="e">
        <f t="shared" si="177"/>
        <v>#REF!</v>
      </c>
      <c r="X363" s="192" t="e">
        <f t="shared" si="177"/>
        <v>#REF!</v>
      </c>
      <c r="Y363" s="192" t="e">
        <f t="shared" si="177"/>
        <v>#REF!</v>
      </c>
    </row>
    <row r="364" spans="2:25">
      <c r="C364" t="s">
        <v>502</v>
      </c>
      <c r="J364" s="157" t="e">
        <f>Z22/1000/$G26</f>
        <v>#REF!</v>
      </c>
      <c r="K364" s="192" t="e">
        <f t="shared" ref="K364:Y364" si="178">AA22/$G26</f>
        <v>#REF!</v>
      </c>
      <c r="L364" s="192" t="e">
        <f t="shared" si="178"/>
        <v>#REF!</v>
      </c>
      <c r="M364" s="192" t="e">
        <f t="shared" si="178"/>
        <v>#REF!</v>
      </c>
      <c r="N364" s="192" t="e">
        <f t="shared" si="178"/>
        <v>#REF!</v>
      </c>
      <c r="O364" s="192" t="e">
        <f t="shared" si="178"/>
        <v>#REF!</v>
      </c>
      <c r="P364" s="192" t="e">
        <f t="shared" si="178"/>
        <v>#REF!</v>
      </c>
      <c r="Q364" s="192" t="e">
        <f t="shared" si="178"/>
        <v>#REF!</v>
      </c>
      <c r="R364" s="192" t="e">
        <f t="shared" si="178"/>
        <v>#REF!</v>
      </c>
      <c r="S364" s="192" t="e">
        <f t="shared" si="178"/>
        <v>#REF!</v>
      </c>
      <c r="T364" s="192" t="e">
        <f t="shared" si="178"/>
        <v>#REF!</v>
      </c>
      <c r="U364" s="192" t="e">
        <f t="shared" si="178"/>
        <v>#REF!</v>
      </c>
      <c r="V364" s="192" t="e">
        <f t="shared" si="178"/>
        <v>#REF!</v>
      </c>
      <c r="W364" s="192" t="e">
        <f t="shared" si="178"/>
        <v>#REF!</v>
      </c>
      <c r="X364" s="192" t="e">
        <f t="shared" si="178"/>
        <v>#REF!</v>
      </c>
      <c r="Y364" s="192" t="e">
        <f t="shared" si="178"/>
        <v>#REF!</v>
      </c>
    </row>
    <row r="365" spans="2:25">
      <c r="C365" t="s">
        <v>503</v>
      </c>
      <c r="J365" s="157" t="e">
        <f>(Z20+Z4/$G4*$G21)/1000/$G26</f>
        <v>#REF!</v>
      </c>
      <c r="K365" s="192" t="e">
        <f t="shared" ref="K365:Y365" si="179">(AA20+AA4/$G4*$G21)/$G26</f>
        <v>#REF!</v>
      </c>
      <c r="L365" s="192" t="e">
        <f t="shared" si="179"/>
        <v>#REF!</v>
      </c>
      <c r="M365" s="192" t="e">
        <f t="shared" si="179"/>
        <v>#REF!</v>
      </c>
      <c r="N365" s="192" t="e">
        <f t="shared" si="179"/>
        <v>#REF!</v>
      </c>
      <c r="O365" s="192" t="e">
        <f t="shared" si="179"/>
        <v>#REF!</v>
      </c>
      <c r="P365" s="192" t="e">
        <f t="shared" si="179"/>
        <v>#REF!</v>
      </c>
      <c r="Q365" s="192" t="e">
        <f t="shared" si="179"/>
        <v>#REF!</v>
      </c>
      <c r="R365" s="192" t="e">
        <f t="shared" si="179"/>
        <v>#REF!</v>
      </c>
      <c r="S365" s="192" t="e">
        <f t="shared" si="179"/>
        <v>#REF!</v>
      </c>
      <c r="T365" s="192" t="e">
        <f t="shared" si="179"/>
        <v>#REF!</v>
      </c>
      <c r="U365" s="192" t="e">
        <f t="shared" si="179"/>
        <v>#REF!</v>
      </c>
      <c r="V365" s="192" t="e">
        <f t="shared" si="179"/>
        <v>#REF!</v>
      </c>
      <c r="W365" s="192" t="e">
        <f t="shared" si="179"/>
        <v>#REF!</v>
      </c>
      <c r="X365" s="192" t="e">
        <f t="shared" si="179"/>
        <v>#REF!</v>
      </c>
      <c r="Y365" s="192" t="e">
        <f t="shared" si="179"/>
        <v>#REF!</v>
      </c>
    </row>
    <row r="366" spans="2:25">
      <c r="C366" t="s">
        <v>504</v>
      </c>
      <c r="J366" s="157" t="e">
        <f>(Z23+Z24)/1000/$G26</f>
        <v>#REF!</v>
      </c>
      <c r="K366" s="192" t="e">
        <f t="shared" ref="K366:Y366" si="180">(AA23+AA24)/$G26</f>
        <v>#REF!</v>
      </c>
      <c r="L366" s="192" t="e">
        <f t="shared" si="180"/>
        <v>#REF!</v>
      </c>
      <c r="M366" s="192" t="e">
        <f t="shared" si="180"/>
        <v>#REF!</v>
      </c>
      <c r="N366" s="192" t="e">
        <f t="shared" si="180"/>
        <v>#REF!</v>
      </c>
      <c r="O366" s="192" t="e">
        <f t="shared" si="180"/>
        <v>#REF!</v>
      </c>
      <c r="P366" s="192" t="e">
        <f t="shared" si="180"/>
        <v>#REF!</v>
      </c>
      <c r="Q366" s="192" t="e">
        <f t="shared" si="180"/>
        <v>#REF!</v>
      </c>
      <c r="R366" s="192" t="e">
        <f t="shared" si="180"/>
        <v>#REF!</v>
      </c>
      <c r="S366" s="192" t="e">
        <f t="shared" si="180"/>
        <v>#REF!</v>
      </c>
      <c r="T366" s="192" t="e">
        <f t="shared" si="180"/>
        <v>#REF!</v>
      </c>
      <c r="U366" s="192" t="e">
        <f t="shared" si="180"/>
        <v>#REF!</v>
      </c>
      <c r="V366" s="192" t="e">
        <f t="shared" si="180"/>
        <v>#REF!</v>
      </c>
      <c r="W366" s="192" t="e">
        <f t="shared" si="180"/>
        <v>#REF!</v>
      </c>
      <c r="X366" s="192" t="e">
        <f t="shared" si="180"/>
        <v>#REF!</v>
      </c>
      <c r="Y366" s="192" t="e">
        <f t="shared" si="180"/>
        <v>#REF!</v>
      </c>
    </row>
    <row r="367" spans="2:25">
      <c r="C367" t="s">
        <v>505</v>
      </c>
      <c r="J367" s="157" t="e">
        <f>Z25/1000/$G26</f>
        <v>#REF!</v>
      </c>
      <c r="K367" s="192" t="e">
        <f t="shared" ref="K367:Y367" si="181">AA25/$G26</f>
        <v>#REF!</v>
      </c>
      <c r="L367" s="192" t="e">
        <f t="shared" si="181"/>
        <v>#REF!</v>
      </c>
      <c r="M367" s="192" t="e">
        <f t="shared" si="181"/>
        <v>#REF!</v>
      </c>
      <c r="N367" s="192" t="e">
        <f t="shared" si="181"/>
        <v>#REF!</v>
      </c>
      <c r="O367" s="192" t="e">
        <f t="shared" si="181"/>
        <v>#REF!</v>
      </c>
      <c r="P367" s="192" t="e">
        <f t="shared" si="181"/>
        <v>#REF!</v>
      </c>
      <c r="Q367" s="192" t="e">
        <f t="shared" si="181"/>
        <v>#REF!</v>
      </c>
      <c r="R367" s="192" t="e">
        <f t="shared" si="181"/>
        <v>#REF!</v>
      </c>
      <c r="S367" s="192" t="e">
        <f t="shared" si="181"/>
        <v>#REF!</v>
      </c>
      <c r="T367" s="192" t="e">
        <f t="shared" si="181"/>
        <v>#REF!</v>
      </c>
      <c r="U367" s="192" t="e">
        <f t="shared" si="181"/>
        <v>#REF!</v>
      </c>
      <c r="V367" s="192" t="e">
        <f t="shared" si="181"/>
        <v>#REF!</v>
      </c>
      <c r="W367" s="192" t="e">
        <f t="shared" si="181"/>
        <v>#REF!</v>
      </c>
      <c r="X367" s="192" t="e">
        <f t="shared" si="181"/>
        <v>#REF!</v>
      </c>
      <c r="Y367" s="192" t="e">
        <f t="shared" si="181"/>
        <v>#REF!</v>
      </c>
    </row>
    <row r="368" spans="2:25">
      <c r="B368" t="s">
        <v>423</v>
      </c>
      <c r="C368" t="s">
        <v>486</v>
      </c>
      <c r="J368" s="157" t="e">
        <f>Z50/1000</f>
        <v>#REF!</v>
      </c>
      <c r="K368" s="192" t="e">
        <f t="shared" ref="K368:Y368" si="182">AA50</f>
        <v>#REF!</v>
      </c>
      <c r="L368" s="192" t="e">
        <f t="shared" si="182"/>
        <v>#REF!</v>
      </c>
      <c r="M368" s="192" t="e">
        <f t="shared" si="182"/>
        <v>#REF!</v>
      </c>
      <c r="N368" s="192" t="e">
        <f t="shared" si="182"/>
        <v>#REF!</v>
      </c>
      <c r="O368" s="192" t="e">
        <f t="shared" si="182"/>
        <v>#REF!</v>
      </c>
      <c r="P368" s="192" t="e">
        <f t="shared" si="182"/>
        <v>#REF!</v>
      </c>
      <c r="Q368" s="192" t="e">
        <f t="shared" si="182"/>
        <v>#REF!</v>
      </c>
      <c r="R368" s="192" t="e">
        <f t="shared" si="182"/>
        <v>#REF!</v>
      </c>
      <c r="S368" s="192" t="e">
        <f t="shared" si="182"/>
        <v>#REF!</v>
      </c>
      <c r="T368" s="192" t="e">
        <f t="shared" si="182"/>
        <v>#REF!</v>
      </c>
      <c r="U368" s="192" t="e">
        <f t="shared" si="182"/>
        <v>#REF!</v>
      </c>
      <c r="V368" s="192" t="e">
        <f t="shared" si="182"/>
        <v>#REF!</v>
      </c>
      <c r="W368" s="192" t="e">
        <f t="shared" si="182"/>
        <v>#REF!</v>
      </c>
      <c r="X368" s="192" t="e">
        <f t="shared" si="182"/>
        <v>#REF!</v>
      </c>
      <c r="Y368" s="192" t="e">
        <f t="shared" si="182"/>
        <v>#REF!</v>
      </c>
    </row>
    <row r="369" spans="1:25">
      <c r="C369" t="s">
        <v>507</v>
      </c>
      <c r="J369" s="157" t="e">
        <f t="shared" ref="J369:Y369" si="183">J282-J368</f>
        <v>#REF!</v>
      </c>
      <c r="K369" s="192" t="e">
        <f t="shared" si="183"/>
        <v>#REF!</v>
      </c>
      <c r="L369" s="192" t="e">
        <f t="shared" si="183"/>
        <v>#REF!</v>
      </c>
      <c r="M369" s="192" t="e">
        <f t="shared" si="183"/>
        <v>#REF!</v>
      </c>
      <c r="N369" s="192" t="e">
        <f t="shared" si="183"/>
        <v>#REF!</v>
      </c>
      <c r="O369" s="192" t="e">
        <f t="shared" si="183"/>
        <v>#REF!</v>
      </c>
      <c r="P369" s="192" t="e">
        <f t="shared" si="183"/>
        <v>#REF!</v>
      </c>
      <c r="Q369" s="192" t="e">
        <f t="shared" si="183"/>
        <v>#REF!</v>
      </c>
      <c r="R369" s="192" t="e">
        <f t="shared" si="183"/>
        <v>#REF!</v>
      </c>
      <c r="S369" s="192" t="e">
        <f t="shared" si="183"/>
        <v>#REF!</v>
      </c>
      <c r="T369" s="192" t="e">
        <f t="shared" si="183"/>
        <v>#REF!</v>
      </c>
      <c r="U369" s="192" t="e">
        <f t="shared" si="183"/>
        <v>#REF!</v>
      </c>
      <c r="V369" s="192" t="e">
        <f t="shared" si="183"/>
        <v>#REF!</v>
      </c>
      <c r="W369" s="192" t="e">
        <f t="shared" si="183"/>
        <v>#REF!</v>
      </c>
      <c r="X369" s="192" t="e">
        <f t="shared" si="183"/>
        <v>#REF!</v>
      </c>
      <c r="Y369" s="192" t="e">
        <f t="shared" si="183"/>
        <v>#REF!</v>
      </c>
    </row>
    <row r="370" spans="1:25">
      <c r="C370" t="s">
        <v>496</v>
      </c>
      <c r="J370" s="157" t="e">
        <f>(Z38+Z44)/(1000*$E49)</f>
        <v>#REF!</v>
      </c>
      <c r="K370" s="192" t="e">
        <f t="shared" ref="K370:Y370" si="184">(AA38+AA44)/$E49</f>
        <v>#REF!</v>
      </c>
      <c r="L370" s="192" t="e">
        <f t="shared" si="184"/>
        <v>#REF!</v>
      </c>
      <c r="M370" s="192" t="e">
        <f t="shared" si="184"/>
        <v>#REF!</v>
      </c>
      <c r="N370" s="192" t="e">
        <f t="shared" si="184"/>
        <v>#REF!</v>
      </c>
      <c r="O370" s="192" t="e">
        <f t="shared" si="184"/>
        <v>#REF!</v>
      </c>
      <c r="P370" s="192" t="e">
        <f t="shared" si="184"/>
        <v>#REF!</v>
      </c>
      <c r="Q370" s="192" t="e">
        <f t="shared" si="184"/>
        <v>#REF!</v>
      </c>
      <c r="R370" s="192" t="e">
        <f t="shared" si="184"/>
        <v>#REF!</v>
      </c>
      <c r="S370" s="192" t="e">
        <f t="shared" si="184"/>
        <v>#REF!</v>
      </c>
      <c r="T370" s="192" t="e">
        <f t="shared" si="184"/>
        <v>#REF!</v>
      </c>
      <c r="U370" s="192" t="e">
        <f t="shared" si="184"/>
        <v>#REF!</v>
      </c>
      <c r="V370" s="192" t="e">
        <f t="shared" si="184"/>
        <v>#REF!</v>
      </c>
      <c r="W370" s="192" t="e">
        <f t="shared" si="184"/>
        <v>#REF!</v>
      </c>
      <c r="X370" s="192" t="e">
        <f t="shared" si="184"/>
        <v>#REF!</v>
      </c>
      <c r="Y370" s="192" t="e">
        <f t="shared" si="184"/>
        <v>#REF!</v>
      </c>
    </row>
    <row r="371" spans="1:25">
      <c r="C371" t="s">
        <v>494</v>
      </c>
      <c r="J371" s="157" t="e">
        <f>(Z43+Z45+Z46+Z47+Z48)/1000/$E49</f>
        <v>#REF!</v>
      </c>
      <c r="K371" s="192" t="e">
        <f t="shared" ref="K371:Y371" si="185">(AA43+AA45+AA46+AA47+AA48)/$E49</f>
        <v>#REF!</v>
      </c>
      <c r="L371" s="192" t="e">
        <f t="shared" si="185"/>
        <v>#REF!</v>
      </c>
      <c r="M371" s="192" t="e">
        <f t="shared" si="185"/>
        <v>#REF!</v>
      </c>
      <c r="N371" s="192" t="e">
        <f t="shared" si="185"/>
        <v>#REF!</v>
      </c>
      <c r="O371" s="192" t="e">
        <f t="shared" si="185"/>
        <v>#REF!</v>
      </c>
      <c r="P371" s="192" t="e">
        <f t="shared" si="185"/>
        <v>#REF!</v>
      </c>
      <c r="Q371" s="192" t="e">
        <f t="shared" si="185"/>
        <v>#REF!</v>
      </c>
      <c r="R371" s="192" t="e">
        <f t="shared" si="185"/>
        <v>#REF!</v>
      </c>
      <c r="S371" s="192" t="e">
        <f t="shared" si="185"/>
        <v>#REF!</v>
      </c>
      <c r="T371" s="192" t="e">
        <f t="shared" si="185"/>
        <v>#REF!</v>
      </c>
      <c r="U371" s="192" t="e">
        <f t="shared" si="185"/>
        <v>#REF!</v>
      </c>
      <c r="V371" s="192" t="e">
        <f t="shared" si="185"/>
        <v>#REF!</v>
      </c>
      <c r="W371" s="192" t="e">
        <f t="shared" si="185"/>
        <v>#REF!</v>
      </c>
      <c r="X371" s="192" t="e">
        <f t="shared" si="185"/>
        <v>#REF!</v>
      </c>
      <c r="Y371" s="192" t="e">
        <f t="shared" si="185"/>
        <v>#REF!</v>
      </c>
    </row>
    <row r="372" spans="1:25">
      <c r="C372" t="s">
        <v>508</v>
      </c>
      <c r="J372" s="157" t="e">
        <f>Z43/1000/$E49</f>
        <v>#REF!</v>
      </c>
      <c r="K372" s="192" t="e">
        <f t="shared" ref="K372:Y372" si="186">AA43/$E49</f>
        <v>#REF!</v>
      </c>
      <c r="L372" s="192" t="e">
        <f t="shared" si="186"/>
        <v>#REF!</v>
      </c>
      <c r="M372" s="192" t="e">
        <f t="shared" si="186"/>
        <v>#REF!</v>
      </c>
      <c r="N372" s="192" t="e">
        <f t="shared" si="186"/>
        <v>#REF!</v>
      </c>
      <c r="O372" s="192" t="e">
        <f t="shared" si="186"/>
        <v>#REF!</v>
      </c>
      <c r="P372" s="192" t="e">
        <f t="shared" si="186"/>
        <v>#REF!</v>
      </c>
      <c r="Q372" s="192" t="e">
        <f t="shared" si="186"/>
        <v>#REF!</v>
      </c>
      <c r="R372" s="192" t="e">
        <f t="shared" si="186"/>
        <v>#REF!</v>
      </c>
      <c r="S372" s="192" t="e">
        <f t="shared" si="186"/>
        <v>#REF!</v>
      </c>
      <c r="T372" s="192" t="e">
        <f t="shared" si="186"/>
        <v>#REF!</v>
      </c>
      <c r="U372" s="192" t="e">
        <f t="shared" si="186"/>
        <v>#REF!</v>
      </c>
      <c r="V372" s="192" t="e">
        <f t="shared" si="186"/>
        <v>#REF!</v>
      </c>
      <c r="W372" s="192" t="e">
        <f t="shared" si="186"/>
        <v>#REF!</v>
      </c>
      <c r="X372" s="192" t="e">
        <f t="shared" si="186"/>
        <v>#REF!</v>
      </c>
      <c r="Y372" s="192" t="e">
        <f t="shared" si="186"/>
        <v>#REF!</v>
      </c>
    </row>
    <row r="373" spans="1:25">
      <c r="C373" t="s">
        <v>509</v>
      </c>
      <c r="J373" s="157" t="e">
        <f>(Z45+Z46)/1000/$E49</f>
        <v>#REF!</v>
      </c>
      <c r="K373" s="192" t="e">
        <f t="shared" ref="K373:Y373" si="187">(AA45+AA46)/$E49</f>
        <v>#REF!</v>
      </c>
      <c r="L373" s="192" t="e">
        <f t="shared" si="187"/>
        <v>#REF!</v>
      </c>
      <c r="M373" s="192" t="e">
        <f t="shared" si="187"/>
        <v>#REF!</v>
      </c>
      <c r="N373" s="192" t="e">
        <f t="shared" si="187"/>
        <v>#REF!</v>
      </c>
      <c r="O373" s="192" t="e">
        <f t="shared" si="187"/>
        <v>#REF!</v>
      </c>
      <c r="P373" s="192" t="e">
        <f t="shared" si="187"/>
        <v>#REF!</v>
      </c>
      <c r="Q373" s="192" t="e">
        <f t="shared" si="187"/>
        <v>#REF!</v>
      </c>
      <c r="R373" s="192" t="e">
        <f t="shared" si="187"/>
        <v>#REF!</v>
      </c>
      <c r="S373" s="192" t="e">
        <f t="shared" si="187"/>
        <v>#REF!</v>
      </c>
      <c r="T373" s="192" t="e">
        <f t="shared" si="187"/>
        <v>#REF!</v>
      </c>
      <c r="U373" s="192" t="e">
        <f t="shared" si="187"/>
        <v>#REF!</v>
      </c>
      <c r="V373" s="192" t="e">
        <f t="shared" si="187"/>
        <v>#REF!</v>
      </c>
      <c r="W373" s="192" t="e">
        <f t="shared" si="187"/>
        <v>#REF!</v>
      </c>
      <c r="X373" s="192" t="e">
        <f t="shared" si="187"/>
        <v>#REF!</v>
      </c>
      <c r="Y373" s="192" t="e">
        <f t="shared" si="187"/>
        <v>#REF!</v>
      </c>
    </row>
    <row r="374" spans="1:25">
      <c r="C374" t="s">
        <v>510</v>
      </c>
      <c r="J374" s="157" t="e">
        <f>(Z47+Z48)/1000/$E49</f>
        <v>#REF!</v>
      </c>
      <c r="K374" s="192" t="e">
        <f t="shared" ref="K374:Y374" si="188">(AA47+AA48)/$E49</f>
        <v>#REF!</v>
      </c>
      <c r="L374" s="192" t="e">
        <f t="shared" si="188"/>
        <v>#REF!</v>
      </c>
      <c r="M374" s="192" t="e">
        <f t="shared" si="188"/>
        <v>#REF!</v>
      </c>
      <c r="N374" s="192" t="e">
        <f t="shared" si="188"/>
        <v>#REF!</v>
      </c>
      <c r="O374" s="192" t="e">
        <f t="shared" si="188"/>
        <v>#REF!</v>
      </c>
      <c r="P374" s="192" t="e">
        <f t="shared" si="188"/>
        <v>#REF!</v>
      </c>
      <c r="Q374" s="192" t="e">
        <f t="shared" si="188"/>
        <v>#REF!</v>
      </c>
      <c r="R374" s="192" t="e">
        <f t="shared" si="188"/>
        <v>#REF!</v>
      </c>
      <c r="S374" s="192" t="e">
        <f t="shared" si="188"/>
        <v>#REF!</v>
      </c>
      <c r="T374" s="192" t="e">
        <f t="shared" si="188"/>
        <v>#REF!</v>
      </c>
      <c r="U374" s="192" t="e">
        <f t="shared" si="188"/>
        <v>#REF!</v>
      </c>
      <c r="V374" s="192" t="e">
        <f t="shared" si="188"/>
        <v>#REF!</v>
      </c>
      <c r="W374" s="192" t="e">
        <f t="shared" si="188"/>
        <v>#REF!</v>
      </c>
      <c r="X374" s="192" t="e">
        <f t="shared" si="188"/>
        <v>#REF!</v>
      </c>
      <c r="Y374" s="192" t="e">
        <f t="shared" si="188"/>
        <v>#REF!</v>
      </c>
    </row>
    <row r="375" spans="1:25">
      <c r="C375" t="s">
        <v>495</v>
      </c>
      <c r="J375" s="157" t="e">
        <f>(Z37+Z39+Z40+Z41+Z42)/1000/$E49</f>
        <v>#REF!</v>
      </c>
      <c r="K375" s="192" t="e">
        <f t="shared" ref="K375:Y375" si="189">(AA37+AA39+AA40+AA41+AA42)/$E49</f>
        <v>#REF!</v>
      </c>
      <c r="L375" s="192" t="e">
        <f t="shared" si="189"/>
        <v>#REF!</v>
      </c>
      <c r="M375" s="192" t="e">
        <f t="shared" si="189"/>
        <v>#REF!</v>
      </c>
      <c r="N375" s="192" t="e">
        <f t="shared" si="189"/>
        <v>#REF!</v>
      </c>
      <c r="O375" s="192" t="e">
        <f t="shared" si="189"/>
        <v>#REF!</v>
      </c>
      <c r="P375" s="192" t="e">
        <f t="shared" si="189"/>
        <v>#REF!</v>
      </c>
      <c r="Q375" s="192" t="e">
        <f t="shared" si="189"/>
        <v>#REF!</v>
      </c>
      <c r="R375" s="192" t="e">
        <f t="shared" si="189"/>
        <v>#REF!</v>
      </c>
      <c r="S375" s="192" t="e">
        <f t="shared" si="189"/>
        <v>#REF!</v>
      </c>
      <c r="T375" s="192" t="e">
        <f t="shared" si="189"/>
        <v>#REF!</v>
      </c>
      <c r="U375" s="192" t="e">
        <f t="shared" si="189"/>
        <v>#REF!</v>
      </c>
      <c r="V375" s="192" t="e">
        <f t="shared" si="189"/>
        <v>#REF!</v>
      </c>
      <c r="W375" s="192" t="e">
        <f t="shared" si="189"/>
        <v>#REF!</v>
      </c>
      <c r="X375" s="192" t="e">
        <f t="shared" si="189"/>
        <v>#REF!</v>
      </c>
      <c r="Y375" s="192" t="e">
        <f t="shared" si="189"/>
        <v>#REF!</v>
      </c>
    </row>
    <row r="376" spans="1:25">
      <c r="C376" t="s">
        <v>511</v>
      </c>
      <c r="J376" s="157" t="e">
        <f>Z37/1000/$E49</f>
        <v>#REF!</v>
      </c>
      <c r="K376" s="192" t="e">
        <f t="shared" ref="K376:Y376" si="190">AA37/$E49</f>
        <v>#REF!</v>
      </c>
      <c r="L376" s="192" t="e">
        <f t="shared" si="190"/>
        <v>#REF!</v>
      </c>
      <c r="M376" s="192" t="e">
        <f t="shared" si="190"/>
        <v>#REF!</v>
      </c>
      <c r="N376" s="192" t="e">
        <f t="shared" si="190"/>
        <v>#REF!</v>
      </c>
      <c r="O376" s="192" t="e">
        <f t="shared" si="190"/>
        <v>#REF!</v>
      </c>
      <c r="P376" s="192" t="e">
        <f t="shared" si="190"/>
        <v>#REF!</v>
      </c>
      <c r="Q376" s="192" t="e">
        <f t="shared" si="190"/>
        <v>#REF!</v>
      </c>
      <c r="R376" s="192" t="e">
        <f t="shared" si="190"/>
        <v>#REF!</v>
      </c>
      <c r="S376" s="192" t="e">
        <f t="shared" si="190"/>
        <v>#REF!</v>
      </c>
      <c r="T376" s="192" t="e">
        <f t="shared" si="190"/>
        <v>#REF!</v>
      </c>
      <c r="U376" s="192" t="e">
        <f t="shared" si="190"/>
        <v>#REF!</v>
      </c>
      <c r="V376" s="192" t="e">
        <f t="shared" si="190"/>
        <v>#REF!</v>
      </c>
      <c r="W376" s="192" t="e">
        <f t="shared" si="190"/>
        <v>#REF!</v>
      </c>
      <c r="X376" s="192" t="e">
        <f t="shared" si="190"/>
        <v>#REF!</v>
      </c>
      <c r="Y376" s="192" t="e">
        <f t="shared" si="190"/>
        <v>#REF!</v>
      </c>
    </row>
    <row r="377" spans="1:25">
      <c r="C377" t="s">
        <v>512</v>
      </c>
      <c r="J377" s="157" t="e">
        <f>(Z39+Z40)/1000/$E49</f>
        <v>#REF!</v>
      </c>
      <c r="K377" s="192" t="e">
        <f t="shared" ref="K377:Y377" si="191">(AA39+AA40)/$E49</f>
        <v>#REF!</v>
      </c>
      <c r="L377" s="192" t="e">
        <f t="shared" si="191"/>
        <v>#REF!</v>
      </c>
      <c r="M377" s="192" t="e">
        <f t="shared" si="191"/>
        <v>#REF!</v>
      </c>
      <c r="N377" s="192" t="e">
        <f t="shared" si="191"/>
        <v>#REF!</v>
      </c>
      <c r="O377" s="192" t="e">
        <f t="shared" si="191"/>
        <v>#REF!</v>
      </c>
      <c r="P377" s="192" t="e">
        <f t="shared" si="191"/>
        <v>#REF!</v>
      </c>
      <c r="Q377" s="192" t="e">
        <f t="shared" si="191"/>
        <v>#REF!</v>
      </c>
      <c r="R377" s="192" t="e">
        <f t="shared" si="191"/>
        <v>#REF!</v>
      </c>
      <c r="S377" s="192" t="e">
        <f t="shared" si="191"/>
        <v>#REF!</v>
      </c>
      <c r="T377" s="192" t="e">
        <f t="shared" si="191"/>
        <v>#REF!</v>
      </c>
      <c r="U377" s="192" t="e">
        <f t="shared" si="191"/>
        <v>#REF!</v>
      </c>
      <c r="V377" s="192" t="e">
        <f t="shared" si="191"/>
        <v>#REF!</v>
      </c>
      <c r="W377" s="192" t="e">
        <f t="shared" si="191"/>
        <v>#REF!</v>
      </c>
      <c r="X377" s="192" t="e">
        <f t="shared" si="191"/>
        <v>#REF!</v>
      </c>
      <c r="Y377" s="192" t="e">
        <f t="shared" si="191"/>
        <v>#REF!</v>
      </c>
    </row>
    <row r="378" spans="1:25">
      <c r="C378" t="s">
        <v>513</v>
      </c>
      <c r="J378" s="157" t="e">
        <f>(Z41+Z42)/1000/$E49</f>
        <v>#REF!</v>
      </c>
      <c r="K378" s="192" t="e">
        <f t="shared" ref="K378:Y378" si="192">(AA41+AA42)/$E49</f>
        <v>#REF!</v>
      </c>
      <c r="L378" s="192" t="e">
        <f t="shared" si="192"/>
        <v>#REF!</v>
      </c>
      <c r="M378" s="192" t="e">
        <f t="shared" si="192"/>
        <v>#REF!</v>
      </c>
      <c r="N378" s="192" t="e">
        <f t="shared" si="192"/>
        <v>#REF!</v>
      </c>
      <c r="O378" s="192" t="e">
        <f t="shared" si="192"/>
        <v>#REF!</v>
      </c>
      <c r="P378" s="192" t="e">
        <f t="shared" si="192"/>
        <v>#REF!</v>
      </c>
      <c r="Q378" s="192" t="e">
        <f t="shared" si="192"/>
        <v>#REF!</v>
      </c>
      <c r="R378" s="192" t="e">
        <f t="shared" si="192"/>
        <v>#REF!</v>
      </c>
      <c r="S378" s="192" t="e">
        <f t="shared" si="192"/>
        <v>#REF!</v>
      </c>
      <c r="T378" s="192" t="e">
        <f t="shared" si="192"/>
        <v>#REF!</v>
      </c>
      <c r="U378" s="192" t="e">
        <f t="shared" si="192"/>
        <v>#REF!</v>
      </c>
      <c r="V378" s="192" t="e">
        <f t="shared" si="192"/>
        <v>#REF!</v>
      </c>
      <c r="W378" s="192" t="e">
        <f t="shared" si="192"/>
        <v>#REF!</v>
      </c>
      <c r="X378" s="192" t="e">
        <f t="shared" si="192"/>
        <v>#REF!</v>
      </c>
      <c r="Y378" s="192" t="e">
        <f t="shared" si="192"/>
        <v>#REF!</v>
      </c>
    </row>
    <row r="379" spans="1:25">
      <c r="A379" t="s">
        <v>5</v>
      </c>
      <c r="B379" t="s">
        <v>421</v>
      </c>
      <c r="C379" t="s">
        <v>481</v>
      </c>
      <c r="J379" s="157" t="e">
        <f>Z82/1000</f>
        <v>#REF!</v>
      </c>
      <c r="K379" s="192" t="e">
        <f t="shared" ref="K379:Y379" si="193">AA82</f>
        <v>#REF!</v>
      </c>
      <c r="L379" s="192" t="e">
        <f t="shared" si="193"/>
        <v>#REF!</v>
      </c>
      <c r="M379" s="192" t="e">
        <f t="shared" si="193"/>
        <v>#REF!</v>
      </c>
      <c r="N379" s="192" t="e">
        <f t="shared" si="193"/>
        <v>#REF!</v>
      </c>
      <c r="O379" s="192" t="e">
        <f t="shared" si="193"/>
        <v>#REF!</v>
      </c>
      <c r="P379" s="192" t="e">
        <f t="shared" si="193"/>
        <v>#REF!</v>
      </c>
      <c r="Q379" s="192" t="e">
        <f t="shared" si="193"/>
        <v>#REF!</v>
      </c>
      <c r="R379" s="192" t="e">
        <f t="shared" si="193"/>
        <v>#REF!</v>
      </c>
      <c r="S379" s="192" t="e">
        <f t="shared" si="193"/>
        <v>#REF!</v>
      </c>
      <c r="T379" s="192" t="e">
        <f t="shared" si="193"/>
        <v>#REF!</v>
      </c>
      <c r="U379" s="192" t="e">
        <f t="shared" si="193"/>
        <v>#REF!</v>
      </c>
      <c r="V379" s="192" t="e">
        <f t="shared" si="193"/>
        <v>#REF!</v>
      </c>
      <c r="W379" s="192" t="e">
        <f t="shared" si="193"/>
        <v>#REF!</v>
      </c>
      <c r="X379" s="192" t="e">
        <f t="shared" si="193"/>
        <v>#REF!</v>
      </c>
      <c r="Y379" s="192" t="e">
        <f t="shared" si="193"/>
        <v>#REF!</v>
      </c>
    </row>
    <row r="380" spans="1:25">
      <c r="C380" t="s">
        <v>497</v>
      </c>
      <c r="J380" s="157" t="e">
        <f t="shared" ref="J380:Y380" si="194">J288-J379</f>
        <v>#REF!</v>
      </c>
      <c r="K380" s="192" t="e">
        <f t="shared" si="194"/>
        <v>#REF!</v>
      </c>
      <c r="L380" s="192" t="e">
        <f t="shared" si="194"/>
        <v>#REF!</v>
      </c>
      <c r="M380" s="192" t="e">
        <f t="shared" si="194"/>
        <v>#REF!</v>
      </c>
      <c r="N380" s="192" t="e">
        <f t="shared" si="194"/>
        <v>#REF!</v>
      </c>
      <c r="O380" s="192" t="e">
        <f t="shared" si="194"/>
        <v>#REF!</v>
      </c>
      <c r="P380" s="192" t="e">
        <f t="shared" si="194"/>
        <v>#REF!</v>
      </c>
      <c r="Q380" s="192" t="e">
        <f t="shared" si="194"/>
        <v>#REF!</v>
      </c>
      <c r="R380" s="192" t="e">
        <f t="shared" si="194"/>
        <v>#REF!</v>
      </c>
      <c r="S380" s="192" t="e">
        <f t="shared" si="194"/>
        <v>#REF!</v>
      </c>
      <c r="T380" s="192" t="e">
        <f t="shared" si="194"/>
        <v>#REF!</v>
      </c>
      <c r="U380" s="192" t="e">
        <f t="shared" si="194"/>
        <v>#REF!</v>
      </c>
      <c r="V380" s="192" t="e">
        <f t="shared" si="194"/>
        <v>#REF!</v>
      </c>
      <c r="W380" s="192" t="e">
        <f t="shared" si="194"/>
        <v>#REF!</v>
      </c>
      <c r="X380" s="192" t="e">
        <f t="shared" si="194"/>
        <v>#REF!</v>
      </c>
      <c r="Y380" s="192" t="e">
        <f t="shared" si="194"/>
        <v>#REF!</v>
      </c>
    </row>
    <row r="381" spans="1:25">
      <c r="C381" t="s">
        <v>483</v>
      </c>
      <c r="J381" s="157" t="e">
        <f>Z80/$G81/1000</f>
        <v>#REF!</v>
      </c>
      <c r="K381" s="192" t="e">
        <f t="shared" ref="K381:Y381" si="195">AA80/$G81</f>
        <v>#REF!</v>
      </c>
      <c r="L381" s="192" t="e">
        <f t="shared" si="195"/>
        <v>#REF!</v>
      </c>
      <c r="M381" s="192" t="e">
        <f t="shared" si="195"/>
        <v>#REF!</v>
      </c>
      <c r="N381" s="192" t="e">
        <f t="shared" si="195"/>
        <v>#REF!</v>
      </c>
      <c r="O381" s="192" t="e">
        <f t="shared" si="195"/>
        <v>#REF!</v>
      </c>
      <c r="P381" s="192" t="e">
        <f t="shared" si="195"/>
        <v>#REF!</v>
      </c>
      <c r="Q381" s="192" t="e">
        <f t="shared" si="195"/>
        <v>#REF!</v>
      </c>
      <c r="R381" s="192" t="e">
        <f t="shared" si="195"/>
        <v>#REF!</v>
      </c>
      <c r="S381" s="192" t="e">
        <f t="shared" si="195"/>
        <v>#REF!</v>
      </c>
      <c r="T381" s="192" t="e">
        <f t="shared" si="195"/>
        <v>#REF!</v>
      </c>
      <c r="U381" s="192" t="e">
        <f t="shared" si="195"/>
        <v>#REF!</v>
      </c>
      <c r="V381" s="192" t="e">
        <f t="shared" si="195"/>
        <v>#REF!</v>
      </c>
      <c r="W381" s="192" t="e">
        <f t="shared" si="195"/>
        <v>#REF!</v>
      </c>
      <c r="X381" s="192" t="e">
        <f t="shared" si="195"/>
        <v>#REF!</v>
      </c>
      <c r="Y381" s="192" t="e">
        <f t="shared" si="195"/>
        <v>#REF!</v>
      </c>
    </row>
    <row r="382" spans="1:25">
      <c r="C382" t="s">
        <v>484</v>
      </c>
      <c r="J382" s="157" t="e">
        <f>Z76/$G81/1000</f>
        <v>#REF!</v>
      </c>
      <c r="K382" s="192" t="e">
        <f t="shared" ref="K382:Y382" si="196">AA76/$G81</f>
        <v>#REF!</v>
      </c>
      <c r="L382" s="192" t="e">
        <f t="shared" si="196"/>
        <v>#REF!</v>
      </c>
      <c r="M382" s="192" t="e">
        <f t="shared" si="196"/>
        <v>#REF!</v>
      </c>
      <c r="N382" s="192" t="e">
        <f t="shared" si="196"/>
        <v>#REF!</v>
      </c>
      <c r="O382" s="192" t="e">
        <f t="shared" si="196"/>
        <v>#REF!</v>
      </c>
      <c r="P382" s="192" t="e">
        <f t="shared" si="196"/>
        <v>#REF!</v>
      </c>
      <c r="Q382" s="192" t="e">
        <f t="shared" si="196"/>
        <v>#REF!</v>
      </c>
      <c r="R382" s="192" t="e">
        <f t="shared" si="196"/>
        <v>#REF!</v>
      </c>
      <c r="S382" s="192" t="e">
        <f t="shared" si="196"/>
        <v>#REF!</v>
      </c>
      <c r="T382" s="192" t="e">
        <f t="shared" si="196"/>
        <v>#REF!</v>
      </c>
      <c r="U382" s="192" t="e">
        <f t="shared" si="196"/>
        <v>#REF!</v>
      </c>
      <c r="V382" s="192" t="e">
        <f t="shared" si="196"/>
        <v>#REF!</v>
      </c>
      <c r="W382" s="192" t="e">
        <f t="shared" si="196"/>
        <v>#REF!</v>
      </c>
      <c r="X382" s="192" t="e">
        <f t="shared" si="196"/>
        <v>#REF!</v>
      </c>
      <c r="Y382" s="192" t="e">
        <f t="shared" si="196"/>
        <v>#REF!</v>
      </c>
    </row>
    <row r="383" spans="1:25">
      <c r="C383" t="s">
        <v>529</v>
      </c>
      <c r="J383" s="157" t="e">
        <f>Z77/$G81/1000</f>
        <v>#REF!</v>
      </c>
      <c r="K383" s="192" t="e">
        <f t="shared" ref="K383:Y383" si="197">AA77/$G81</f>
        <v>#REF!</v>
      </c>
      <c r="L383" s="192" t="e">
        <f t="shared" si="197"/>
        <v>#REF!</v>
      </c>
      <c r="M383" s="192" t="e">
        <f t="shared" si="197"/>
        <v>#REF!</v>
      </c>
      <c r="N383" s="192" t="e">
        <f t="shared" si="197"/>
        <v>#REF!</v>
      </c>
      <c r="O383" s="192" t="e">
        <f t="shared" si="197"/>
        <v>#REF!</v>
      </c>
      <c r="P383" s="192" t="e">
        <f t="shared" si="197"/>
        <v>#REF!</v>
      </c>
      <c r="Q383" s="192" t="e">
        <f t="shared" si="197"/>
        <v>#REF!</v>
      </c>
      <c r="R383" s="192" t="e">
        <f t="shared" si="197"/>
        <v>#REF!</v>
      </c>
      <c r="S383" s="192" t="e">
        <f t="shared" si="197"/>
        <v>#REF!</v>
      </c>
      <c r="T383" s="192" t="e">
        <f t="shared" si="197"/>
        <v>#REF!</v>
      </c>
      <c r="U383" s="192" t="e">
        <f t="shared" si="197"/>
        <v>#REF!</v>
      </c>
      <c r="V383" s="192" t="e">
        <f t="shared" si="197"/>
        <v>#REF!</v>
      </c>
      <c r="W383" s="192" t="e">
        <f t="shared" si="197"/>
        <v>#REF!</v>
      </c>
      <c r="X383" s="192" t="e">
        <f t="shared" si="197"/>
        <v>#REF!</v>
      </c>
      <c r="Y383" s="192" t="e">
        <f t="shared" si="197"/>
        <v>#REF!</v>
      </c>
    </row>
    <row r="384" spans="1:25">
      <c r="C384" t="s">
        <v>530</v>
      </c>
      <c r="J384" s="157" t="e">
        <f>Z78/$G81/1000</f>
        <v>#REF!</v>
      </c>
      <c r="K384" s="192" t="e">
        <f t="shared" ref="K384:Y384" si="198">AA78/$G81</f>
        <v>#REF!</v>
      </c>
      <c r="L384" s="192" t="e">
        <f t="shared" si="198"/>
        <v>#REF!</v>
      </c>
      <c r="M384" s="192" t="e">
        <f t="shared" si="198"/>
        <v>#REF!</v>
      </c>
      <c r="N384" s="192" t="e">
        <f t="shared" si="198"/>
        <v>#REF!</v>
      </c>
      <c r="O384" s="192" t="e">
        <f t="shared" si="198"/>
        <v>#REF!</v>
      </c>
      <c r="P384" s="192" t="e">
        <f t="shared" si="198"/>
        <v>#REF!</v>
      </c>
      <c r="Q384" s="192" t="e">
        <f t="shared" si="198"/>
        <v>#REF!</v>
      </c>
      <c r="R384" s="192" t="e">
        <f t="shared" si="198"/>
        <v>#REF!</v>
      </c>
      <c r="S384" s="192" t="e">
        <f t="shared" si="198"/>
        <v>#REF!</v>
      </c>
      <c r="T384" s="192" t="e">
        <f t="shared" si="198"/>
        <v>#REF!</v>
      </c>
      <c r="U384" s="192" t="e">
        <f t="shared" si="198"/>
        <v>#REF!</v>
      </c>
      <c r="V384" s="192" t="e">
        <f t="shared" si="198"/>
        <v>#REF!</v>
      </c>
      <c r="W384" s="192" t="e">
        <f t="shared" si="198"/>
        <v>#REF!</v>
      </c>
      <c r="X384" s="192" t="e">
        <f t="shared" si="198"/>
        <v>#REF!</v>
      </c>
      <c r="Y384" s="192" t="e">
        <f t="shared" si="198"/>
        <v>#REF!</v>
      </c>
    </row>
    <row r="385" spans="2:25">
      <c r="C385" t="s">
        <v>490</v>
      </c>
      <c r="J385" s="157" t="e">
        <f>(Z72+Z73)/$G81/1000</f>
        <v>#REF!</v>
      </c>
      <c r="K385" s="192" t="e">
        <f t="shared" ref="K385:Y385" si="199">(AA72+AA73)/$G81</f>
        <v>#REF!</v>
      </c>
      <c r="L385" s="192" t="e">
        <f t="shared" si="199"/>
        <v>#REF!</v>
      </c>
      <c r="M385" s="192" t="e">
        <f t="shared" si="199"/>
        <v>#REF!</v>
      </c>
      <c r="N385" s="192" t="e">
        <f t="shared" si="199"/>
        <v>#REF!</v>
      </c>
      <c r="O385" s="192" t="e">
        <f t="shared" si="199"/>
        <v>#REF!</v>
      </c>
      <c r="P385" s="192" t="e">
        <f t="shared" si="199"/>
        <v>#REF!</v>
      </c>
      <c r="Q385" s="192" t="e">
        <f t="shared" si="199"/>
        <v>#REF!</v>
      </c>
      <c r="R385" s="192" t="e">
        <f t="shared" si="199"/>
        <v>#REF!</v>
      </c>
      <c r="S385" s="192" t="e">
        <f t="shared" si="199"/>
        <v>#REF!</v>
      </c>
      <c r="T385" s="192" t="e">
        <f t="shared" si="199"/>
        <v>#REF!</v>
      </c>
      <c r="U385" s="192" t="e">
        <f t="shared" si="199"/>
        <v>#REF!</v>
      </c>
      <c r="V385" s="192" t="e">
        <f t="shared" si="199"/>
        <v>#REF!</v>
      </c>
      <c r="W385" s="192" t="e">
        <f t="shared" si="199"/>
        <v>#REF!</v>
      </c>
      <c r="X385" s="192" t="e">
        <f t="shared" si="199"/>
        <v>#REF!</v>
      </c>
      <c r="Y385" s="192" t="e">
        <f t="shared" si="199"/>
        <v>#REF!</v>
      </c>
    </row>
    <row r="386" spans="2:25">
      <c r="C386" t="s">
        <v>491</v>
      </c>
      <c r="J386" s="157" t="e">
        <f>(Z74+Z75)/$G81/1000</f>
        <v>#REF!</v>
      </c>
      <c r="K386" s="192" t="e">
        <f t="shared" ref="K386:Y386" si="200">(AA74+AA75)/$G81</f>
        <v>#REF!</v>
      </c>
      <c r="L386" s="192" t="e">
        <f t="shared" si="200"/>
        <v>#REF!</v>
      </c>
      <c r="M386" s="192" t="e">
        <f t="shared" si="200"/>
        <v>#REF!</v>
      </c>
      <c r="N386" s="192" t="e">
        <f t="shared" si="200"/>
        <v>#REF!</v>
      </c>
      <c r="O386" s="192" t="e">
        <f t="shared" si="200"/>
        <v>#REF!</v>
      </c>
      <c r="P386" s="192" t="e">
        <f t="shared" si="200"/>
        <v>#REF!</v>
      </c>
      <c r="Q386" s="192" t="e">
        <f t="shared" si="200"/>
        <v>#REF!</v>
      </c>
      <c r="R386" s="192" t="e">
        <f t="shared" si="200"/>
        <v>#REF!</v>
      </c>
      <c r="S386" s="192" t="e">
        <f t="shared" si="200"/>
        <v>#REF!</v>
      </c>
      <c r="T386" s="192" t="e">
        <f t="shared" si="200"/>
        <v>#REF!</v>
      </c>
      <c r="U386" s="192" t="e">
        <f t="shared" si="200"/>
        <v>#REF!</v>
      </c>
      <c r="V386" s="192" t="e">
        <f t="shared" si="200"/>
        <v>#REF!</v>
      </c>
      <c r="W386" s="192" t="e">
        <f t="shared" si="200"/>
        <v>#REF!</v>
      </c>
      <c r="X386" s="192" t="e">
        <f t="shared" si="200"/>
        <v>#REF!</v>
      </c>
      <c r="Y386" s="192" t="e">
        <f t="shared" si="200"/>
        <v>#REF!</v>
      </c>
    </row>
    <row r="387" spans="2:25">
      <c r="C387" t="s">
        <v>485</v>
      </c>
      <c r="J387" s="157" t="e">
        <f>(Z70+Z71+Z79)/$G81/1000</f>
        <v>#REF!</v>
      </c>
      <c r="K387" s="192" t="e">
        <f t="shared" ref="K387:Y387" si="201">(AA70+AA71+AA79)/$G81</f>
        <v>#REF!</v>
      </c>
      <c r="L387" s="192" t="e">
        <f t="shared" si="201"/>
        <v>#REF!</v>
      </c>
      <c r="M387" s="192" t="e">
        <f t="shared" si="201"/>
        <v>#REF!</v>
      </c>
      <c r="N387" s="192" t="e">
        <f t="shared" si="201"/>
        <v>#REF!</v>
      </c>
      <c r="O387" s="192" t="e">
        <f t="shared" si="201"/>
        <v>#REF!</v>
      </c>
      <c r="P387" s="192" t="e">
        <f t="shared" si="201"/>
        <v>#REF!</v>
      </c>
      <c r="Q387" s="192" t="e">
        <f t="shared" si="201"/>
        <v>#REF!</v>
      </c>
      <c r="R387" s="192" t="e">
        <f t="shared" si="201"/>
        <v>#REF!</v>
      </c>
      <c r="S387" s="192" t="e">
        <f t="shared" si="201"/>
        <v>#REF!</v>
      </c>
      <c r="T387" s="192" t="e">
        <f t="shared" si="201"/>
        <v>#REF!</v>
      </c>
      <c r="U387" s="192" t="e">
        <f t="shared" si="201"/>
        <v>#REF!</v>
      </c>
      <c r="V387" s="192" t="e">
        <f t="shared" si="201"/>
        <v>#REF!</v>
      </c>
      <c r="W387" s="192" t="e">
        <f t="shared" si="201"/>
        <v>#REF!</v>
      </c>
      <c r="X387" s="192" t="e">
        <f t="shared" si="201"/>
        <v>#REF!</v>
      </c>
      <c r="Y387" s="192" t="e">
        <f t="shared" si="201"/>
        <v>#REF!</v>
      </c>
    </row>
    <row r="388" spans="2:25">
      <c r="B388" t="s">
        <v>422</v>
      </c>
      <c r="C388" t="s">
        <v>481</v>
      </c>
      <c r="J388" s="157" t="e">
        <f>Z69/1000</f>
        <v>#REF!</v>
      </c>
      <c r="K388" s="192" t="e">
        <f t="shared" ref="K388:Y388" si="202">AA69</f>
        <v>#REF!</v>
      </c>
      <c r="L388" s="192" t="e">
        <f t="shared" si="202"/>
        <v>#REF!</v>
      </c>
      <c r="M388" s="192" t="e">
        <f t="shared" si="202"/>
        <v>#REF!</v>
      </c>
      <c r="N388" s="192" t="e">
        <f t="shared" si="202"/>
        <v>#REF!</v>
      </c>
      <c r="O388" s="192" t="e">
        <f t="shared" si="202"/>
        <v>#REF!</v>
      </c>
      <c r="P388" s="192" t="e">
        <f t="shared" si="202"/>
        <v>#REF!</v>
      </c>
      <c r="Q388" s="192" t="e">
        <f t="shared" si="202"/>
        <v>#REF!</v>
      </c>
      <c r="R388" s="192" t="e">
        <f t="shared" si="202"/>
        <v>#REF!</v>
      </c>
      <c r="S388" s="192" t="e">
        <f t="shared" si="202"/>
        <v>#REF!</v>
      </c>
      <c r="T388" s="192" t="e">
        <f t="shared" si="202"/>
        <v>#REF!</v>
      </c>
      <c r="U388" s="192" t="e">
        <f t="shared" si="202"/>
        <v>#REF!</v>
      </c>
      <c r="V388" s="192" t="e">
        <f t="shared" si="202"/>
        <v>#REF!</v>
      </c>
      <c r="W388" s="192" t="e">
        <f t="shared" si="202"/>
        <v>#REF!</v>
      </c>
      <c r="X388" s="192" t="e">
        <f t="shared" si="202"/>
        <v>#REF!</v>
      </c>
      <c r="Y388" s="192" t="e">
        <f t="shared" si="202"/>
        <v>#REF!</v>
      </c>
    </row>
    <row r="389" spans="2:25">
      <c r="C389" t="s">
        <v>497</v>
      </c>
      <c r="J389" s="157" t="e">
        <f t="shared" ref="J389:Y389" si="203">J298-J388</f>
        <v>#REF!</v>
      </c>
      <c r="K389" s="192" t="e">
        <f t="shared" si="203"/>
        <v>#REF!</v>
      </c>
      <c r="L389" s="192" t="e">
        <f t="shared" si="203"/>
        <v>#REF!</v>
      </c>
      <c r="M389" s="192" t="e">
        <f t="shared" si="203"/>
        <v>#REF!</v>
      </c>
      <c r="N389" s="192" t="e">
        <f t="shared" si="203"/>
        <v>#REF!</v>
      </c>
      <c r="O389" s="192" t="e">
        <f t="shared" si="203"/>
        <v>#REF!</v>
      </c>
      <c r="P389" s="192" t="e">
        <f t="shared" si="203"/>
        <v>#REF!</v>
      </c>
      <c r="Q389" s="192" t="e">
        <f t="shared" si="203"/>
        <v>#REF!</v>
      </c>
      <c r="R389" s="192" t="e">
        <f t="shared" si="203"/>
        <v>#REF!</v>
      </c>
      <c r="S389" s="192" t="e">
        <f t="shared" si="203"/>
        <v>#REF!</v>
      </c>
      <c r="T389" s="192" t="e">
        <f t="shared" si="203"/>
        <v>#REF!</v>
      </c>
      <c r="U389" s="192" t="e">
        <f t="shared" si="203"/>
        <v>#REF!</v>
      </c>
      <c r="V389" s="192" t="e">
        <f t="shared" si="203"/>
        <v>#REF!</v>
      </c>
      <c r="W389" s="192" t="e">
        <f t="shared" si="203"/>
        <v>#REF!</v>
      </c>
      <c r="X389" s="192" t="e">
        <f t="shared" si="203"/>
        <v>#REF!</v>
      </c>
      <c r="Y389" s="192" t="e">
        <f t="shared" si="203"/>
        <v>#REF!</v>
      </c>
    </row>
    <row r="390" spans="2:25">
      <c r="C390" t="s">
        <v>487</v>
      </c>
      <c r="J390" s="157" t="e">
        <f>(Z55+Z56+Z59+Z66)/(1000*$G68)</f>
        <v>#REF!</v>
      </c>
      <c r="K390" s="192" t="e">
        <f t="shared" ref="K390:Y390" si="204">(AA55+AA56+AA59+AA66)/$G68</f>
        <v>#REF!</v>
      </c>
      <c r="L390" s="192" t="e">
        <f t="shared" si="204"/>
        <v>#REF!</v>
      </c>
      <c r="M390" s="192" t="e">
        <f t="shared" si="204"/>
        <v>#REF!</v>
      </c>
      <c r="N390" s="192" t="e">
        <f t="shared" si="204"/>
        <v>#REF!</v>
      </c>
      <c r="O390" s="192" t="e">
        <f t="shared" si="204"/>
        <v>#REF!</v>
      </c>
      <c r="P390" s="192" t="e">
        <f t="shared" si="204"/>
        <v>#REF!</v>
      </c>
      <c r="Q390" s="192" t="e">
        <f t="shared" si="204"/>
        <v>#REF!</v>
      </c>
      <c r="R390" s="192" t="e">
        <f t="shared" si="204"/>
        <v>#REF!</v>
      </c>
      <c r="S390" s="192" t="e">
        <f t="shared" si="204"/>
        <v>#REF!</v>
      </c>
      <c r="T390" s="192" t="e">
        <f t="shared" si="204"/>
        <v>#REF!</v>
      </c>
      <c r="U390" s="192" t="e">
        <f t="shared" si="204"/>
        <v>#REF!</v>
      </c>
      <c r="V390" s="192" t="e">
        <f t="shared" si="204"/>
        <v>#REF!</v>
      </c>
      <c r="W390" s="192" t="e">
        <f t="shared" si="204"/>
        <v>#REF!</v>
      </c>
      <c r="X390" s="192" t="e">
        <f t="shared" si="204"/>
        <v>#REF!</v>
      </c>
      <c r="Y390" s="192" t="e">
        <f t="shared" si="204"/>
        <v>#REF!</v>
      </c>
    </row>
    <row r="391" spans="2:25">
      <c r="C391" t="s">
        <v>488</v>
      </c>
      <c r="J391" s="157" t="e">
        <f>Z58/$G68/1000</f>
        <v>#REF!</v>
      </c>
      <c r="K391" s="192" t="e">
        <f t="shared" ref="K391:Y391" si="205">AA58/$G68</f>
        <v>#REF!</v>
      </c>
      <c r="L391" s="192" t="e">
        <f t="shared" si="205"/>
        <v>#REF!</v>
      </c>
      <c r="M391" s="192" t="e">
        <f t="shared" si="205"/>
        <v>#REF!</v>
      </c>
      <c r="N391" s="192" t="e">
        <f t="shared" si="205"/>
        <v>#REF!</v>
      </c>
      <c r="O391" s="192" t="e">
        <f t="shared" si="205"/>
        <v>#REF!</v>
      </c>
      <c r="P391" s="192" t="e">
        <f t="shared" si="205"/>
        <v>#REF!</v>
      </c>
      <c r="Q391" s="192" t="e">
        <f t="shared" si="205"/>
        <v>#REF!</v>
      </c>
      <c r="R391" s="192" t="e">
        <f t="shared" si="205"/>
        <v>#REF!</v>
      </c>
      <c r="S391" s="192" t="e">
        <f t="shared" si="205"/>
        <v>#REF!</v>
      </c>
      <c r="T391" s="192" t="e">
        <f t="shared" si="205"/>
        <v>#REF!</v>
      </c>
      <c r="U391" s="192" t="e">
        <f t="shared" si="205"/>
        <v>#REF!</v>
      </c>
      <c r="V391" s="192" t="e">
        <f t="shared" si="205"/>
        <v>#REF!</v>
      </c>
      <c r="W391" s="192" t="e">
        <f t="shared" si="205"/>
        <v>#REF!</v>
      </c>
      <c r="X391" s="192" t="e">
        <f t="shared" si="205"/>
        <v>#REF!</v>
      </c>
      <c r="Y391" s="192" t="e">
        <f t="shared" si="205"/>
        <v>#REF!</v>
      </c>
    </row>
    <row r="392" spans="2:25">
      <c r="C392" t="s">
        <v>498</v>
      </c>
      <c r="F392" s="182"/>
      <c r="J392" s="157" t="e">
        <f>Z58/1000/$G68</f>
        <v>#REF!</v>
      </c>
      <c r="K392" s="192" t="e">
        <f t="shared" ref="K392:Y392" si="206">AA58/$G68</f>
        <v>#REF!</v>
      </c>
      <c r="L392" s="192" t="e">
        <f t="shared" si="206"/>
        <v>#REF!</v>
      </c>
      <c r="M392" s="192" t="e">
        <f t="shared" si="206"/>
        <v>#REF!</v>
      </c>
      <c r="N392" s="192" t="e">
        <f t="shared" si="206"/>
        <v>#REF!</v>
      </c>
      <c r="O392" s="192" t="e">
        <f t="shared" si="206"/>
        <v>#REF!</v>
      </c>
      <c r="P392" s="192" t="e">
        <f t="shared" si="206"/>
        <v>#REF!</v>
      </c>
      <c r="Q392" s="192" t="e">
        <f t="shared" si="206"/>
        <v>#REF!</v>
      </c>
      <c r="R392" s="192" t="e">
        <f t="shared" si="206"/>
        <v>#REF!</v>
      </c>
      <c r="S392" s="192" t="e">
        <f t="shared" si="206"/>
        <v>#REF!</v>
      </c>
      <c r="T392" s="192" t="e">
        <f t="shared" si="206"/>
        <v>#REF!</v>
      </c>
      <c r="U392" s="192" t="e">
        <f t="shared" si="206"/>
        <v>#REF!</v>
      </c>
      <c r="V392" s="192" t="e">
        <f t="shared" si="206"/>
        <v>#REF!</v>
      </c>
      <c r="W392" s="192" t="e">
        <f t="shared" si="206"/>
        <v>#REF!</v>
      </c>
      <c r="X392" s="192" t="e">
        <f t="shared" si="206"/>
        <v>#REF!</v>
      </c>
      <c r="Y392" s="192" t="e">
        <f t="shared" si="206"/>
        <v>#REF!</v>
      </c>
    </row>
    <row r="393" spans="2:25">
      <c r="C393" t="s">
        <v>501</v>
      </c>
      <c r="J393" s="157" t="e">
        <f>Z60/1000/$G68</f>
        <v>#REF!</v>
      </c>
      <c r="K393" s="192" t="e">
        <f t="shared" ref="K393:Y393" si="207">AA60/$G68</f>
        <v>#REF!</v>
      </c>
      <c r="L393" s="192" t="e">
        <f t="shared" si="207"/>
        <v>#REF!</v>
      </c>
      <c r="M393" s="192" t="e">
        <f t="shared" si="207"/>
        <v>#REF!</v>
      </c>
      <c r="N393" s="192" t="e">
        <f t="shared" si="207"/>
        <v>#REF!</v>
      </c>
      <c r="O393" s="192" t="e">
        <f t="shared" si="207"/>
        <v>#REF!</v>
      </c>
      <c r="P393" s="192" t="e">
        <f t="shared" si="207"/>
        <v>#REF!</v>
      </c>
      <c r="Q393" s="192" t="e">
        <f t="shared" si="207"/>
        <v>#REF!</v>
      </c>
      <c r="R393" s="192" t="e">
        <f t="shared" si="207"/>
        <v>#REF!</v>
      </c>
      <c r="S393" s="192" t="e">
        <f t="shared" si="207"/>
        <v>#REF!</v>
      </c>
      <c r="T393" s="192" t="e">
        <f t="shared" si="207"/>
        <v>#REF!</v>
      </c>
      <c r="U393" s="192" t="e">
        <f t="shared" si="207"/>
        <v>#REF!</v>
      </c>
      <c r="V393" s="192" t="e">
        <f t="shared" si="207"/>
        <v>#REF!</v>
      </c>
      <c r="W393" s="192" t="e">
        <f t="shared" si="207"/>
        <v>#REF!</v>
      </c>
      <c r="X393" s="192" t="e">
        <f t="shared" si="207"/>
        <v>#REF!</v>
      </c>
      <c r="Y393" s="192" t="e">
        <f t="shared" si="207"/>
        <v>#REF!</v>
      </c>
    </row>
    <row r="394" spans="2:25">
      <c r="C394" t="s">
        <v>489</v>
      </c>
      <c r="J394" s="157" t="e">
        <f>(Z52+Z62+Z63+Z64+Z65+Z67)/$G68/1000</f>
        <v>#REF!</v>
      </c>
      <c r="K394" s="192" t="e">
        <f t="shared" ref="K394:Y394" si="208">(AA52+AA62+AA63+AA64+AA65+AA67)/$G68</f>
        <v>#REF!</v>
      </c>
      <c r="L394" s="192" t="e">
        <f t="shared" si="208"/>
        <v>#REF!</v>
      </c>
      <c r="M394" s="192" t="e">
        <f t="shared" si="208"/>
        <v>#REF!</v>
      </c>
      <c r="N394" s="192" t="e">
        <f t="shared" si="208"/>
        <v>#REF!</v>
      </c>
      <c r="O394" s="192" t="e">
        <f t="shared" si="208"/>
        <v>#REF!</v>
      </c>
      <c r="P394" s="192" t="e">
        <f t="shared" si="208"/>
        <v>#REF!</v>
      </c>
      <c r="Q394" s="192" t="e">
        <f t="shared" si="208"/>
        <v>#REF!</v>
      </c>
      <c r="R394" s="192" t="e">
        <f t="shared" si="208"/>
        <v>#REF!</v>
      </c>
      <c r="S394" s="192" t="e">
        <f t="shared" si="208"/>
        <v>#REF!</v>
      </c>
      <c r="T394" s="192" t="e">
        <f t="shared" si="208"/>
        <v>#REF!</v>
      </c>
      <c r="U394" s="192" t="e">
        <f t="shared" si="208"/>
        <v>#REF!</v>
      </c>
      <c r="V394" s="192" t="e">
        <f t="shared" si="208"/>
        <v>#REF!</v>
      </c>
      <c r="W394" s="192" t="e">
        <f t="shared" si="208"/>
        <v>#REF!</v>
      </c>
      <c r="X394" s="192" t="e">
        <f t="shared" si="208"/>
        <v>#REF!</v>
      </c>
      <c r="Y394" s="192" t="e">
        <f t="shared" si="208"/>
        <v>#REF!</v>
      </c>
    </row>
    <row r="395" spans="2:25">
      <c r="C395" t="s">
        <v>503</v>
      </c>
      <c r="J395" s="157" t="e">
        <f>(Z52/$G52*$G61+Z62)/1000/$G68</f>
        <v>#REF!</v>
      </c>
      <c r="K395" s="192" t="e">
        <f t="shared" ref="K395:Y395" si="209">(AA52/$G52*$G61+AA62)/$G68</f>
        <v>#REF!</v>
      </c>
      <c r="L395" s="192" t="e">
        <f t="shared" si="209"/>
        <v>#REF!</v>
      </c>
      <c r="M395" s="192" t="e">
        <f t="shared" si="209"/>
        <v>#REF!</v>
      </c>
      <c r="N395" s="192" t="e">
        <f t="shared" si="209"/>
        <v>#REF!</v>
      </c>
      <c r="O395" s="192" t="e">
        <f t="shared" si="209"/>
        <v>#REF!</v>
      </c>
      <c r="P395" s="192" t="e">
        <f t="shared" si="209"/>
        <v>#REF!</v>
      </c>
      <c r="Q395" s="192" t="e">
        <f t="shared" si="209"/>
        <v>#REF!</v>
      </c>
      <c r="R395" s="192" t="e">
        <f t="shared" si="209"/>
        <v>#REF!</v>
      </c>
      <c r="S395" s="192" t="e">
        <f t="shared" si="209"/>
        <v>#REF!</v>
      </c>
      <c r="T395" s="192" t="e">
        <f t="shared" si="209"/>
        <v>#REF!</v>
      </c>
      <c r="U395" s="192" t="e">
        <f t="shared" si="209"/>
        <v>#REF!</v>
      </c>
      <c r="V395" s="192" t="e">
        <f t="shared" si="209"/>
        <v>#REF!</v>
      </c>
      <c r="W395" s="192" t="e">
        <f t="shared" si="209"/>
        <v>#REF!</v>
      </c>
      <c r="X395" s="192" t="e">
        <f t="shared" si="209"/>
        <v>#REF!</v>
      </c>
      <c r="Y395" s="192" t="e">
        <f t="shared" si="209"/>
        <v>#REF!</v>
      </c>
    </row>
    <row r="396" spans="2:25">
      <c r="C396" t="s">
        <v>502</v>
      </c>
      <c r="J396" s="157" t="e">
        <f>Z63/1000/$G68</f>
        <v>#REF!</v>
      </c>
      <c r="K396" s="192" t="e">
        <f t="shared" ref="K396:Y396" si="210">AA63/$G68</f>
        <v>#REF!</v>
      </c>
      <c r="L396" s="192" t="e">
        <f t="shared" si="210"/>
        <v>#REF!</v>
      </c>
      <c r="M396" s="192" t="e">
        <f t="shared" si="210"/>
        <v>#REF!</v>
      </c>
      <c r="N396" s="192" t="e">
        <f t="shared" si="210"/>
        <v>#REF!</v>
      </c>
      <c r="O396" s="192" t="e">
        <f t="shared" si="210"/>
        <v>#REF!</v>
      </c>
      <c r="P396" s="192" t="e">
        <f t="shared" si="210"/>
        <v>#REF!</v>
      </c>
      <c r="Q396" s="192" t="e">
        <f t="shared" si="210"/>
        <v>#REF!</v>
      </c>
      <c r="R396" s="192" t="e">
        <f t="shared" si="210"/>
        <v>#REF!</v>
      </c>
      <c r="S396" s="192" t="e">
        <f t="shared" si="210"/>
        <v>#REF!</v>
      </c>
      <c r="T396" s="192" t="e">
        <f t="shared" si="210"/>
        <v>#REF!</v>
      </c>
      <c r="U396" s="192" t="e">
        <f t="shared" si="210"/>
        <v>#REF!</v>
      </c>
      <c r="V396" s="192" t="e">
        <f t="shared" si="210"/>
        <v>#REF!</v>
      </c>
      <c r="W396" s="192" t="e">
        <f t="shared" si="210"/>
        <v>#REF!</v>
      </c>
      <c r="X396" s="192" t="e">
        <f t="shared" si="210"/>
        <v>#REF!</v>
      </c>
      <c r="Y396" s="192" t="e">
        <f t="shared" si="210"/>
        <v>#REF!</v>
      </c>
    </row>
    <row r="397" spans="2:25">
      <c r="C397" t="s">
        <v>504</v>
      </c>
      <c r="J397" s="157" t="e">
        <f>(Z64+Z65)/1000/$G68</f>
        <v>#REF!</v>
      </c>
      <c r="K397" s="192" t="e">
        <f t="shared" ref="K397:Y397" si="211">(AA64+AA65)/$G68</f>
        <v>#REF!</v>
      </c>
      <c r="L397" s="192" t="e">
        <f t="shared" si="211"/>
        <v>#REF!</v>
      </c>
      <c r="M397" s="192" t="e">
        <f t="shared" si="211"/>
        <v>#REF!</v>
      </c>
      <c r="N397" s="192" t="e">
        <f t="shared" si="211"/>
        <v>#REF!</v>
      </c>
      <c r="O397" s="192" t="e">
        <f t="shared" si="211"/>
        <v>#REF!</v>
      </c>
      <c r="P397" s="192" t="e">
        <f t="shared" si="211"/>
        <v>#REF!</v>
      </c>
      <c r="Q397" s="192" t="e">
        <f t="shared" si="211"/>
        <v>#REF!</v>
      </c>
      <c r="R397" s="192" t="e">
        <f t="shared" si="211"/>
        <v>#REF!</v>
      </c>
      <c r="S397" s="192" t="e">
        <f t="shared" si="211"/>
        <v>#REF!</v>
      </c>
      <c r="T397" s="192" t="e">
        <f t="shared" si="211"/>
        <v>#REF!</v>
      </c>
      <c r="U397" s="192" t="e">
        <f t="shared" si="211"/>
        <v>#REF!</v>
      </c>
      <c r="V397" s="192" t="e">
        <f t="shared" si="211"/>
        <v>#REF!</v>
      </c>
      <c r="W397" s="192" t="e">
        <f t="shared" si="211"/>
        <v>#REF!</v>
      </c>
      <c r="X397" s="192" t="e">
        <f t="shared" si="211"/>
        <v>#REF!</v>
      </c>
      <c r="Y397" s="192" t="e">
        <f t="shared" si="211"/>
        <v>#REF!</v>
      </c>
    </row>
    <row r="398" spans="2:25">
      <c r="C398" t="s">
        <v>505</v>
      </c>
      <c r="J398" s="157" t="e">
        <f>Z67/1000/$G68</f>
        <v>#REF!</v>
      </c>
      <c r="K398" s="192" t="e">
        <f t="shared" ref="K398:Y398" si="212">AA67/$G68</f>
        <v>#REF!</v>
      </c>
      <c r="L398" s="192" t="e">
        <f t="shared" si="212"/>
        <v>#REF!</v>
      </c>
      <c r="M398" s="192" t="e">
        <f t="shared" si="212"/>
        <v>#REF!</v>
      </c>
      <c r="N398" s="192" t="e">
        <f t="shared" si="212"/>
        <v>#REF!</v>
      </c>
      <c r="O398" s="192" t="e">
        <f t="shared" si="212"/>
        <v>#REF!</v>
      </c>
      <c r="P398" s="192" t="e">
        <f t="shared" si="212"/>
        <v>#REF!</v>
      </c>
      <c r="Q398" s="192" t="e">
        <f t="shared" si="212"/>
        <v>#REF!</v>
      </c>
      <c r="R398" s="192" t="e">
        <f t="shared" si="212"/>
        <v>#REF!</v>
      </c>
      <c r="S398" s="192" t="e">
        <f t="shared" si="212"/>
        <v>#REF!</v>
      </c>
      <c r="T398" s="192" t="e">
        <f t="shared" si="212"/>
        <v>#REF!</v>
      </c>
      <c r="U398" s="192" t="e">
        <f t="shared" si="212"/>
        <v>#REF!</v>
      </c>
      <c r="V398" s="192" t="e">
        <f t="shared" si="212"/>
        <v>#REF!</v>
      </c>
      <c r="W398" s="192" t="e">
        <f t="shared" si="212"/>
        <v>#REF!</v>
      </c>
      <c r="X398" s="192" t="e">
        <f t="shared" si="212"/>
        <v>#REF!</v>
      </c>
      <c r="Y398" s="192" t="e">
        <f t="shared" si="212"/>
        <v>#REF!</v>
      </c>
    </row>
    <row r="399" spans="2:25">
      <c r="B399" t="s">
        <v>423</v>
      </c>
      <c r="C399" t="s">
        <v>486</v>
      </c>
      <c r="J399" s="157" t="e">
        <f>Z92/1000</f>
        <v>#REF!</v>
      </c>
      <c r="K399" s="192" t="e">
        <f t="shared" ref="K399:Y399" si="213">AA92</f>
        <v>#REF!</v>
      </c>
      <c r="L399" s="192" t="e">
        <f t="shared" si="213"/>
        <v>#REF!</v>
      </c>
      <c r="M399" s="192" t="e">
        <f t="shared" si="213"/>
        <v>#REF!</v>
      </c>
      <c r="N399" s="192" t="e">
        <f t="shared" si="213"/>
        <v>#REF!</v>
      </c>
      <c r="O399" s="192" t="e">
        <f t="shared" si="213"/>
        <v>#REF!</v>
      </c>
      <c r="P399" s="192" t="e">
        <f t="shared" si="213"/>
        <v>#REF!</v>
      </c>
      <c r="Q399" s="192" t="e">
        <f t="shared" si="213"/>
        <v>#REF!</v>
      </c>
      <c r="R399" s="192" t="e">
        <f t="shared" si="213"/>
        <v>#REF!</v>
      </c>
      <c r="S399" s="192" t="e">
        <f t="shared" si="213"/>
        <v>#REF!</v>
      </c>
      <c r="T399" s="192" t="e">
        <f t="shared" si="213"/>
        <v>#REF!</v>
      </c>
      <c r="U399" s="192" t="e">
        <f t="shared" si="213"/>
        <v>#REF!</v>
      </c>
      <c r="V399" s="192" t="e">
        <f t="shared" si="213"/>
        <v>#REF!</v>
      </c>
      <c r="W399" s="192" t="e">
        <f t="shared" si="213"/>
        <v>#REF!</v>
      </c>
      <c r="X399" s="192" t="e">
        <f t="shared" si="213"/>
        <v>#REF!</v>
      </c>
      <c r="Y399" s="192" t="e">
        <f t="shared" si="213"/>
        <v>#REF!</v>
      </c>
    </row>
    <row r="400" spans="2:25">
      <c r="C400" t="s">
        <v>507</v>
      </c>
      <c r="J400" s="157" t="e">
        <f t="shared" ref="J400:Y400" si="214">J304-J399</f>
        <v>#REF!</v>
      </c>
      <c r="K400" s="192" t="e">
        <f t="shared" si="214"/>
        <v>#REF!</v>
      </c>
      <c r="L400" s="192" t="e">
        <f t="shared" si="214"/>
        <v>#REF!</v>
      </c>
      <c r="M400" s="192" t="e">
        <f t="shared" si="214"/>
        <v>#REF!</v>
      </c>
      <c r="N400" s="192" t="e">
        <f t="shared" si="214"/>
        <v>#REF!</v>
      </c>
      <c r="O400" s="192" t="e">
        <f t="shared" si="214"/>
        <v>#REF!</v>
      </c>
      <c r="P400" s="192" t="e">
        <f t="shared" si="214"/>
        <v>#REF!</v>
      </c>
      <c r="Q400" s="192" t="e">
        <f t="shared" si="214"/>
        <v>#REF!</v>
      </c>
      <c r="R400" s="192" t="e">
        <f t="shared" si="214"/>
        <v>#REF!</v>
      </c>
      <c r="S400" s="192" t="e">
        <f t="shared" si="214"/>
        <v>#REF!</v>
      </c>
      <c r="T400" s="192" t="e">
        <f t="shared" si="214"/>
        <v>#REF!</v>
      </c>
      <c r="U400" s="192" t="e">
        <f t="shared" si="214"/>
        <v>#REF!</v>
      </c>
      <c r="V400" s="192" t="e">
        <f t="shared" si="214"/>
        <v>#REF!</v>
      </c>
      <c r="W400" s="192" t="e">
        <f t="shared" si="214"/>
        <v>#REF!</v>
      </c>
      <c r="X400" s="192" t="e">
        <f t="shared" si="214"/>
        <v>#REF!</v>
      </c>
      <c r="Y400" s="192" t="e">
        <f t="shared" si="214"/>
        <v>#REF!</v>
      </c>
    </row>
    <row r="401" spans="1:25">
      <c r="C401" t="s">
        <v>496</v>
      </c>
      <c r="J401" s="157" t="e">
        <f>(Z84+Z90)/(1000*$E91)</f>
        <v>#REF!</v>
      </c>
      <c r="K401" s="192" t="e">
        <f t="shared" ref="K401:Y401" si="215">(AA84+AA90)/$E91</f>
        <v>#REF!</v>
      </c>
      <c r="L401" s="192" t="e">
        <f t="shared" si="215"/>
        <v>#REF!</v>
      </c>
      <c r="M401" s="192" t="e">
        <f t="shared" si="215"/>
        <v>#REF!</v>
      </c>
      <c r="N401" s="192" t="e">
        <f t="shared" si="215"/>
        <v>#REF!</v>
      </c>
      <c r="O401" s="192" t="e">
        <f t="shared" si="215"/>
        <v>#REF!</v>
      </c>
      <c r="P401" s="192" t="e">
        <f t="shared" si="215"/>
        <v>#REF!</v>
      </c>
      <c r="Q401" s="192" t="e">
        <f t="shared" si="215"/>
        <v>#REF!</v>
      </c>
      <c r="R401" s="192" t="e">
        <f t="shared" si="215"/>
        <v>#REF!</v>
      </c>
      <c r="S401" s="192" t="e">
        <f t="shared" si="215"/>
        <v>#REF!</v>
      </c>
      <c r="T401" s="192" t="e">
        <f t="shared" si="215"/>
        <v>#REF!</v>
      </c>
      <c r="U401" s="192" t="e">
        <f t="shared" si="215"/>
        <v>#REF!</v>
      </c>
      <c r="V401" s="192" t="e">
        <f t="shared" si="215"/>
        <v>#REF!</v>
      </c>
      <c r="W401" s="192" t="e">
        <f t="shared" si="215"/>
        <v>#REF!</v>
      </c>
      <c r="X401" s="192" t="e">
        <f t="shared" si="215"/>
        <v>#REF!</v>
      </c>
      <c r="Y401" s="192" t="e">
        <f t="shared" si="215"/>
        <v>#REF!</v>
      </c>
    </row>
    <row r="402" spans="1:25">
      <c r="C402" t="s">
        <v>494</v>
      </c>
      <c r="J402" s="157" t="e">
        <f>Z89/$E91/1000</f>
        <v>#REF!</v>
      </c>
      <c r="K402" s="192" t="e">
        <f t="shared" ref="K402:Y402" si="216">AA89/$E91</f>
        <v>#REF!</v>
      </c>
      <c r="L402" s="192" t="e">
        <f t="shared" si="216"/>
        <v>#REF!</v>
      </c>
      <c r="M402" s="192" t="e">
        <f t="shared" si="216"/>
        <v>#REF!</v>
      </c>
      <c r="N402" s="192" t="e">
        <f t="shared" si="216"/>
        <v>#REF!</v>
      </c>
      <c r="O402" s="192" t="e">
        <f t="shared" si="216"/>
        <v>#REF!</v>
      </c>
      <c r="P402" s="192" t="e">
        <f t="shared" si="216"/>
        <v>#REF!</v>
      </c>
      <c r="Q402" s="192" t="e">
        <f t="shared" si="216"/>
        <v>#REF!</v>
      </c>
      <c r="R402" s="192" t="e">
        <f t="shared" si="216"/>
        <v>#REF!</v>
      </c>
      <c r="S402" s="192" t="e">
        <f t="shared" si="216"/>
        <v>#REF!</v>
      </c>
      <c r="T402" s="192" t="e">
        <f t="shared" si="216"/>
        <v>#REF!</v>
      </c>
      <c r="U402" s="192" t="e">
        <f t="shared" si="216"/>
        <v>#REF!</v>
      </c>
      <c r="V402" s="192" t="e">
        <f t="shared" si="216"/>
        <v>#REF!</v>
      </c>
      <c r="W402" s="192" t="e">
        <f t="shared" si="216"/>
        <v>#REF!</v>
      </c>
      <c r="X402" s="192" t="e">
        <f t="shared" si="216"/>
        <v>#REF!</v>
      </c>
      <c r="Y402" s="192" t="e">
        <f t="shared" si="216"/>
        <v>#REF!</v>
      </c>
    </row>
    <row r="403" spans="1:25">
      <c r="C403" t="s">
        <v>508</v>
      </c>
      <c r="J403" s="157" t="e">
        <f>Z89/1000/$E91</f>
        <v>#REF!</v>
      </c>
      <c r="K403" s="192" t="e">
        <f t="shared" ref="K403:Y403" si="217">AA89/$E91</f>
        <v>#REF!</v>
      </c>
      <c r="L403" s="192" t="e">
        <f t="shared" si="217"/>
        <v>#REF!</v>
      </c>
      <c r="M403" s="192" t="e">
        <f t="shared" si="217"/>
        <v>#REF!</v>
      </c>
      <c r="N403" s="192" t="e">
        <f t="shared" si="217"/>
        <v>#REF!</v>
      </c>
      <c r="O403" s="192" t="e">
        <f t="shared" si="217"/>
        <v>#REF!</v>
      </c>
      <c r="P403" s="192" t="e">
        <f t="shared" si="217"/>
        <v>#REF!</v>
      </c>
      <c r="Q403" s="192" t="e">
        <f t="shared" si="217"/>
        <v>#REF!</v>
      </c>
      <c r="R403" s="192" t="e">
        <f t="shared" si="217"/>
        <v>#REF!</v>
      </c>
      <c r="S403" s="192" t="e">
        <f t="shared" si="217"/>
        <v>#REF!</v>
      </c>
      <c r="T403" s="192" t="e">
        <f t="shared" si="217"/>
        <v>#REF!</v>
      </c>
      <c r="U403" s="192" t="e">
        <f t="shared" si="217"/>
        <v>#REF!</v>
      </c>
      <c r="V403" s="192" t="e">
        <f t="shared" si="217"/>
        <v>#REF!</v>
      </c>
      <c r="W403" s="192" t="e">
        <f t="shared" si="217"/>
        <v>#REF!</v>
      </c>
      <c r="X403" s="192" t="e">
        <f t="shared" si="217"/>
        <v>#REF!</v>
      </c>
      <c r="Y403" s="192" t="e">
        <f t="shared" si="217"/>
        <v>#REF!</v>
      </c>
    </row>
    <row r="404" spans="1:25">
      <c r="C404" t="s">
        <v>495</v>
      </c>
      <c r="J404" s="157" t="e">
        <f>(Z83+Z85+Z87)/$E91/1000</f>
        <v>#REF!</v>
      </c>
      <c r="K404" s="192" t="e">
        <f t="shared" ref="K404:Y404" si="218">(AA83+AA85+AA87)/$E91</f>
        <v>#REF!</v>
      </c>
      <c r="L404" s="192" t="e">
        <f t="shared" si="218"/>
        <v>#REF!</v>
      </c>
      <c r="M404" s="192" t="e">
        <f t="shared" si="218"/>
        <v>#REF!</v>
      </c>
      <c r="N404" s="192" t="e">
        <f t="shared" si="218"/>
        <v>#REF!</v>
      </c>
      <c r="O404" s="192" t="e">
        <f t="shared" si="218"/>
        <v>#REF!</v>
      </c>
      <c r="P404" s="192" t="e">
        <f t="shared" si="218"/>
        <v>#REF!</v>
      </c>
      <c r="Q404" s="192" t="e">
        <f t="shared" si="218"/>
        <v>#REF!</v>
      </c>
      <c r="R404" s="192" t="e">
        <f t="shared" si="218"/>
        <v>#REF!</v>
      </c>
      <c r="S404" s="192" t="e">
        <f t="shared" si="218"/>
        <v>#REF!</v>
      </c>
      <c r="T404" s="192" t="e">
        <f t="shared" si="218"/>
        <v>#REF!</v>
      </c>
      <c r="U404" s="192" t="e">
        <f t="shared" si="218"/>
        <v>#REF!</v>
      </c>
      <c r="V404" s="192" t="e">
        <f t="shared" si="218"/>
        <v>#REF!</v>
      </c>
      <c r="W404" s="192" t="e">
        <f t="shared" si="218"/>
        <v>#REF!</v>
      </c>
      <c r="X404" s="192" t="e">
        <f t="shared" si="218"/>
        <v>#REF!</v>
      </c>
      <c r="Y404" s="192" t="e">
        <f t="shared" si="218"/>
        <v>#REF!</v>
      </c>
    </row>
    <row r="405" spans="1:25">
      <c r="C405" t="s">
        <v>511</v>
      </c>
      <c r="J405" s="157" t="e">
        <f>Z83/1000/$E91</f>
        <v>#REF!</v>
      </c>
      <c r="K405" s="192" t="e">
        <f t="shared" ref="K405:Y405" si="219">AA83/$E91</f>
        <v>#REF!</v>
      </c>
      <c r="L405" s="192" t="e">
        <f t="shared" si="219"/>
        <v>#REF!</v>
      </c>
      <c r="M405" s="192" t="e">
        <f t="shared" si="219"/>
        <v>#REF!</v>
      </c>
      <c r="N405" s="192" t="e">
        <f t="shared" si="219"/>
        <v>#REF!</v>
      </c>
      <c r="O405" s="192" t="e">
        <f t="shared" si="219"/>
        <v>#REF!</v>
      </c>
      <c r="P405" s="192" t="e">
        <f t="shared" si="219"/>
        <v>#REF!</v>
      </c>
      <c r="Q405" s="192" t="e">
        <f t="shared" si="219"/>
        <v>#REF!</v>
      </c>
      <c r="R405" s="192" t="e">
        <f t="shared" si="219"/>
        <v>#REF!</v>
      </c>
      <c r="S405" s="192" t="e">
        <f t="shared" si="219"/>
        <v>#REF!</v>
      </c>
      <c r="T405" s="192" t="e">
        <f t="shared" si="219"/>
        <v>#REF!</v>
      </c>
      <c r="U405" s="192" t="e">
        <f t="shared" si="219"/>
        <v>#REF!</v>
      </c>
      <c r="V405" s="192" t="e">
        <f t="shared" si="219"/>
        <v>#REF!</v>
      </c>
      <c r="W405" s="192" t="e">
        <f t="shared" si="219"/>
        <v>#REF!</v>
      </c>
      <c r="X405" s="192" t="e">
        <f t="shared" si="219"/>
        <v>#REF!</v>
      </c>
      <c r="Y405" s="192" t="e">
        <f t="shared" si="219"/>
        <v>#REF!</v>
      </c>
    </row>
    <row r="406" spans="1:25">
      <c r="C406" t="s">
        <v>512</v>
      </c>
      <c r="J406" s="157" t="e">
        <f>(Z85+Z86)/1000/$E91</f>
        <v>#REF!</v>
      </c>
      <c r="K406" s="192" t="e">
        <f t="shared" ref="K406:Y406" si="220">(AA85+AA86)/$E91</f>
        <v>#REF!</v>
      </c>
      <c r="L406" s="192" t="e">
        <f t="shared" si="220"/>
        <v>#REF!</v>
      </c>
      <c r="M406" s="192" t="e">
        <f t="shared" si="220"/>
        <v>#REF!</v>
      </c>
      <c r="N406" s="192" t="e">
        <f t="shared" si="220"/>
        <v>#REF!</v>
      </c>
      <c r="O406" s="192" t="e">
        <f t="shared" si="220"/>
        <v>#REF!</v>
      </c>
      <c r="P406" s="192" t="e">
        <f t="shared" si="220"/>
        <v>#REF!</v>
      </c>
      <c r="Q406" s="192" t="e">
        <f t="shared" si="220"/>
        <v>#REF!</v>
      </c>
      <c r="R406" s="192" t="e">
        <f t="shared" si="220"/>
        <v>#REF!</v>
      </c>
      <c r="S406" s="192" t="e">
        <f t="shared" si="220"/>
        <v>#REF!</v>
      </c>
      <c r="T406" s="192" t="e">
        <f t="shared" si="220"/>
        <v>#REF!</v>
      </c>
      <c r="U406" s="192" t="e">
        <f t="shared" si="220"/>
        <v>#REF!</v>
      </c>
      <c r="V406" s="192" t="e">
        <f t="shared" si="220"/>
        <v>#REF!</v>
      </c>
      <c r="W406" s="192" t="e">
        <f t="shared" si="220"/>
        <v>#REF!</v>
      </c>
      <c r="X406" s="192" t="e">
        <f t="shared" si="220"/>
        <v>#REF!</v>
      </c>
      <c r="Y406" s="192" t="e">
        <f t="shared" si="220"/>
        <v>#REF!</v>
      </c>
    </row>
    <row r="407" spans="1:25">
      <c r="C407" t="s">
        <v>513</v>
      </c>
      <c r="J407" s="157" t="e">
        <f>(Z87+Z88)/1000/$E91</f>
        <v>#REF!</v>
      </c>
      <c r="K407" s="192" t="e">
        <f t="shared" ref="K407:Y407" si="221">(AA87+AA88)/$E91</f>
        <v>#REF!</v>
      </c>
      <c r="L407" s="192" t="e">
        <f t="shared" si="221"/>
        <v>#REF!</v>
      </c>
      <c r="M407" s="192" t="e">
        <f t="shared" si="221"/>
        <v>#REF!</v>
      </c>
      <c r="N407" s="192" t="e">
        <f t="shared" si="221"/>
        <v>#REF!</v>
      </c>
      <c r="O407" s="192" t="e">
        <f t="shared" si="221"/>
        <v>#REF!</v>
      </c>
      <c r="P407" s="192" t="e">
        <f t="shared" si="221"/>
        <v>#REF!</v>
      </c>
      <c r="Q407" s="192" t="e">
        <f t="shared" si="221"/>
        <v>#REF!</v>
      </c>
      <c r="R407" s="192" t="e">
        <f t="shared" si="221"/>
        <v>#REF!</v>
      </c>
      <c r="S407" s="192" t="e">
        <f t="shared" si="221"/>
        <v>#REF!</v>
      </c>
      <c r="T407" s="192" t="e">
        <f t="shared" si="221"/>
        <v>#REF!</v>
      </c>
      <c r="U407" s="192" t="e">
        <f t="shared" si="221"/>
        <v>#REF!</v>
      </c>
      <c r="V407" s="192" t="e">
        <f t="shared" si="221"/>
        <v>#REF!</v>
      </c>
      <c r="W407" s="192" t="e">
        <f t="shared" si="221"/>
        <v>#REF!</v>
      </c>
      <c r="X407" s="192" t="e">
        <f t="shared" si="221"/>
        <v>#REF!</v>
      </c>
      <c r="Y407" s="192" t="e">
        <f t="shared" si="221"/>
        <v>#REF!</v>
      </c>
    </row>
    <row r="408" spans="1:25">
      <c r="A408" t="s">
        <v>6</v>
      </c>
      <c r="B408" t="s">
        <v>421</v>
      </c>
      <c r="C408" t="s">
        <v>481</v>
      </c>
      <c r="J408" s="157" t="e">
        <f>Z128/1000</f>
        <v>#REF!</v>
      </c>
      <c r="K408" s="192" t="e">
        <f t="shared" ref="K408:Y408" si="222">AA128</f>
        <v>#REF!</v>
      </c>
      <c r="L408" s="192" t="e">
        <f t="shared" si="222"/>
        <v>#REF!</v>
      </c>
      <c r="M408" s="192" t="e">
        <f t="shared" si="222"/>
        <v>#REF!</v>
      </c>
      <c r="N408" s="192" t="e">
        <f t="shared" si="222"/>
        <v>#REF!</v>
      </c>
      <c r="O408" s="192" t="e">
        <f t="shared" si="222"/>
        <v>#REF!</v>
      </c>
      <c r="P408" s="192" t="e">
        <f t="shared" si="222"/>
        <v>#REF!</v>
      </c>
      <c r="Q408" s="192" t="e">
        <f t="shared" si="222"/>
        <v>#REF!</v>
      </c>
      <c r="R408" s="192" t="e">
        <f t="shared" si="222"/>
        <v>#REF!</v>
      </c>
      <c r="S408" s="192" t="e">
        <f t="shared" si="222"/>
        <v>#REF!</v>
      </c>
      <c r="T408" s="192" t="e">
        <f t="shared" si="222"/>
        <v>#REF!</v>
      </c>
      <c r="U408" s="192" t="e">
        <f t="shared" si="222"/>
        <v>#REF!</v>
      </c>
      <c r="V408" s="192" t="e">
        <f t="shared" si="222"/>
        <v>#REF!</v>
      </c>
      <c r="W408" s="192" t="e">
        <f t="shared" si="222"/>
        <v>#REF!</v>
      </c>
      <c r="X408" s="192" t="e">
        <f t="shared" si="222"/>
        <v>#REF!</v>
      </c>
      <c r="Y408" s="192" t="e">
        <f t="shared" si="222"/>
        <v>#REF!</v>
      </c>
    </row>
    <row r="409" spans="1:25">
      <c r="C409" t="s">
        <v>497</v>
      </c>
      <c r="J409" s="157" t="e">
        <f t="shared" ref="J409:Y409" si="223">J310-J408</f>
        <v>#REF!</v>
      </c>
      <c r="K409" s="192" t="e">
        <f t="shared" si="223"/>
        <v>#REF!</v>
      </c>
      <c r="L409" s="192" t="e">
        <f t="shared" si="223"/>
        <v>#REF!</v>
      </c>
      <c r="M409" s="192" t="e">
        <f t="shared" si="223"/>
        <v>#REF!</v>
      </c>
      <c r="N409" s="192" t="e">
        <f t="shared" si="223"/>
        <v>#REF!</v>
      </c>
      <c r="O409" s="192" t="e">
        <f t="shared" si="223"/>
        <v>#REF!</v>
      </c>
      <c r="P409" s="192" t="e">
        <f t="shared" si="223"/>
        <v>#REF!</v>
      </c>
      <c r="Q409" s="192" t="e">
        <f t="shared" si="223"/>
        <v>#REF!</v>
      </c>
      <c r="R409" s="192" t="e">
        <f t="shared" si="223"/>
        <v>#REF!</v>
      </c>
      <c r="S409" s="192" t="e">
        <f t="shared" si="223"/>
        <v>#REF!</v>
      </c>
      <c r="T409" s="192" t="e">
        <f t="shared" si="223"/>
        <v>#REF!</v>
      </c>
      <c r="U409" s="192" t="e">
        <f t="shared" si="223"/>
        <v>#REF!</v>
      </c>
      <c r="V409" s="192" t="e">
        <f t="shared" si="223"/>
        <v>#REF!</v>
      </c>
      <c r="W409" s="192" t="e">
        <f t="shared" si="223"/>
        <v>#REF!</v>
      </c>
      <c r="X409" s="192" t="e">
        <f t="shared" si="223"/>
        <v>#REF!</v>
      </c>
      <c r="Y409" s="192" t="e">
        <f t="shared" si="223"/>
        <v>#REF!</v>
      </c>
    </row>
    <row r="410" spans="1:25">
      <c r="C410" t="s">
        <v>483</v>
      </c>
      <c r="J410" s="157" t="e">
        <f>Z125/$G127/1000</f>
        <v>#REF!</v>
      </c>
      <c r="K410" s="192" t="e">
        <f t="shared" ref="K410:Y410" si="224">AA125/$G127</f>
        <v>#REF!</v>
      </c>
      <c r="L410" s="192" t="e">
        <f t="shared" si="224"/>
        <v>#REF!</v>
      </c>
      <c r="M410" s="192" t="e">
        <f t="shared" si="224"/>
        <v>#REF!</v>
      </c>
      <c r="N410" s="192" t="e">
        <f t="shared" si="224"/>
        <v>#REF!</v>
      </c>
      <c r="O410" s="192" t="e">
        <f t="shared" si="224"/>
        <v>#REF!</v>
      </c>
      <c r="P410" s="192" t="e">
        <f t="shared" si="224"/>
        <v>#REF!</v>
      </c>
      <c r="Q410" s="192" t="e">
        <f t="shared" si="224"/>
        <v>#REF!</v>
      </c>
      <c r="R410" s="192" t="e">
        <f t="shared" si="224"/>
        <v>#REF!</v>
      </c>
      <c r="S410" s="192" t="e">
        <f t="shared" si="224"/>
        <v>#REF!</v>
      </c>
      <c r="T410" s="192" t="e">
        <f t="shared" si="224"/>
        <v>#REF!</v>
      </c>
      <c r="U410" s="192" t="e">
        <f t="shared" si="224"/>
        <v>#REF!</v>
      </c>
      <c r="V410" s="192" t="e">
        <f t="shared" si="224"/>
        <v>#REF!</v>
      </c>
      <c r="W410" s="192" t="e">
        <f t="shared" si="224"/>
        <v>#REF!</v>
      </c>
      <c r="X410" s="192" t="e">
        <f t="shared" si="224"/>
        <v>#REF!</v>
      </c>
      <c r="Y410" s="192" t="e">
        <f t="shared" si="224"/>
        <v>#REF!</v>
      </c>
    </row>
    <row r="411" spans="1:25">
      <c r="C411" t="s">
        <v>484</v>
      </c>
      <c r="J411" s="157" t="e">
        <f>Z121/$G127/1000</f>
        <v>#REF!</v>
      </c>
      <c r="K411" s="192" t="e">
        <f t="shared" ref="K411:Y411" si="225">AA121/$G127</f>
        <v>#REF!</v>
      </c>
      <c r="L411" s="192" t="e">
        <f t="shared" si="225"/>
        <v>#REF!</v>
      </c>
      <c r="M411" s="192" t="e">
        <f t="shared" si="225"/>
        <v>#REF!</v>
      </c>
      <c r="N411" s="192" t="e">
        <f t="shared" si="225"/>
        <v>#REF!</v>
      </c>
      <c r="O411" s="192" t="e">
        <f t="shared" si="225"/>
        <v>#REF!</v>
      </c>
      <c r="P411" s="192" t="e">
        <f t="shared" si="225"/>
        <v>#REF!</v>
      </c>
      <c r="Q411" s="192" t="e">
        <f t="shared" si="225"/>
        <v>#REF!</v>
      </c>
      <c r="R411" s="192" t="e">
        <f t="shared" si="225"/>
        <v>#REF!</v>
      </c>
      <c r="S411" s="192" t="e">
        <f t="shared" si="225"/>
        <v>#REF!</v>
      </c>
      <c r="T411" s="192" t="e">
        <f t="shared" si="225"/>
        <v>#REF!</v>
      </c>
      <c r="U411" s="192" t="e">
        <f t="shared" si="225"/>
        <v>#REF!</v>
      </c>
      <c r="V411" s="192" t="e">
        <f t="shared" si="225"/>
        <v>#REF!</v>
      </c>
      <c r="W411" s="192" t="e">
        <f t="shared" si="225"/>
        <v>#REF!</v>
      </c>
      <c r="X411" s="192" t="e">
        <f t="shared" si="225"/>
        <v>#REF!</v>
      </c>
      <c r="Y411" s="192" t="e">
        <f t="shared" si="225"/>
        <v>#REF!</v>
      </c>
    </row>
    <row r="412" spans="1:25">
      <c r="C412" t="s">
        <v>529</v>
      </c>
      <c r="J412" s="157" t="e">
        <f>Z122/$G127/1000</f>
        <v>#REF!</v>
      </c>
      <c r="K412" s="192" t="e">
        <f t="shared" ref="K412:Y412" si="226">AA122/$G127</f>
        <v>#REF!</v>
      </c>
      <c r="L412" s="192" t="e">
        <f t="shared" si="226"/>
        <v>#REF!</v>
      </c>
      <c r="M412" s="192" t="e">
        <f t="shared" si="226"/>
        <v>#REF!</v>
      </c>
      <c r="N412" s="192" t="e">
        <f t="shared" si="226"/>
        <v>#REF!</v>
      </c>
      <c r="O412" s="192" t="e">
        <f t="shared" si="226"/>
        <v>#REF!</v>
      </c>
      <c r="P412" s="192" t="e">
        <f t="shared" si="226"/>
        <v>#REF!</v>
      </c>
      <c r="Q412" s="192" t="e">
        <f t="shared" si="226"/>
        <v>#REF!</v>
      </c>
      <c r="R412" s="192" t="e">
        <f t="shared" si="226"/>
        <v>#REF!</v>
      </c>
      <c r="S412" s="192" t="e">
        <f t="shared" si="226"/>
        <v>#REF!</v>
      </c>
      <c r="T412" s="192" t="e">
        <f t="shared" si="226"/>
        <v>#REF!</v>
      </c>
      <c r="U412" s="192" t="e">
        <f t="shared" si="226"/>
        <v>#REF!</v>
      </c>
      <c r="V412" s="192" t="e">
        <f t="shared" si="226"/>
        <v>#REF!</v>
      </c>
      <c r="W412" s="192" t="e">
        <f t="shared" si="226"/>
        <v>#REF!</v>
      </c>
      <c r="X412" s="192" t="e">
        <f t="shared" si="226"/>
        <v>#REF!</v>
      </c>
      <c r="Y412" s="192" t="e">
        <f t="shared" si="226"/>
        <v>#REF!</v>
      </c>
    </row>
    <row r="413" spans="1:25">
      <c r="C413" t="s">
        <v>530</v>
      </c>
      <c r="J413" s="157" t="e">
        <f>Z123/$G127/1000</f>
        <v>#REF!</v>
      </c>
      <c r="K413" s="192" t="e">
        <f t="shared" ref="K413:Y413" si="227">AA123/$G127</f>
        <v>#REF!</v>
      </c>
      <c r="L413" s="192" t="e">
        <f t="shared" si="227"/>
        <v>#REF!</v>
      </c>
      <c r="M413" s="192" t="e">
        <f t="shared" si="227"/>
        <v>#REF!</v>
      </c>
      <c r="N413" s="192" t="e">
        <f t="shared" si="227"/>
        <v>#REF!</v>
      </c>
      <c r="O413" s="192" t="e">
        <f t="shared" si="227"/>
        <v>#REF!</v>
      </c>
      <c r="P413" s="192" t="e">
        <f t="shared" si="227"/>
        <v>#REF!</v>
      </c>
      <c r="Q413" s="192" t="e">
        <f t="shared" si="227"/>
        <v>#REF!</v>
      </c>
      <c r="R413" s="192" t="e">
        <f t="shared" si="227"/>
        <v>#REF!</v>
      </c>
      <c r="S413" s="192" t="e">
        <f t="shared" si="227"/>
        <v>#REF!</v>
      </c>
      <c r="T413" s="192" t="e">
        <f t="shared" si="227"/>
        <v>#REF!</v>
      </c>
      <c r="U413" s="192" t="e">
        <f t="shared" si="227"/>
        <v>#REF!</v>
      </c>
      <c r="V413" s="192" t="e">
        <f t="shared" si="227"/>
        <v>#REF!</v>
      </c>
      <c r="W413" s="192" t="e">
        <f t="shared" si="227"/>
        <v>#REF!</v>
      </c>
      <c r="X413" s="192" t="e">
        <f t="shared" si="227"/>
        <v>#REF!</v>
      </c>
      <c r="Y413" s="192" t="e">
        <f t="shared" si="227"/>
        <v>#REF!</v>
      </c>
    </row>
    <row r="414" spans="1:25">
      <c r="C414" t="s">
        <v>492</v>
      </c>
      <c r="J414" s="157" t="e">
        <f>Z126/$G127/1000</f>
        <v>#REF!</v>
      </c>
      <c r="K414" s="192" t="e">
        <f t="shared" ref="K414:Y414" si="228">AA126/$G127</f>
        <v>#REF!</v>
      </c>
      <c r="L414" s="192" t="e">
        <f t="shared" si="228"/>
        <v>#REF!</v>
      </c>
      <c r="M414" s="192" t="e">
        <f t="shared" si="228"/>
        <v>#REF!</v>
      </c>
      <c r="N414" s="192" t="e">
        <f t="shared" si="228"/>
        <v>#REF!</v>
      </c>
      <c r="O414" s="192" t="e">
        <f t="shared" si="228"/>
        <v>#REF!</v>
      </c>
      <c r="P414" s="192" t="e">
        <f t="shared" si="228"/>
        <v>#REF!</v>
      </c>
      <c r="Q414" s="192" t="e">
        <f t="shared" si="228"/>
        <v>#REF!</v>
      </c>
      <c r="R414" s="192" t="e">
        <f t="shared" si="228"/>
        <v>#REF!</v>
      </c>
      <c r="S414" s="192" t="e">
        <f t="shared" si="228"/>
        <v>#REF!</v>
      </c>
      <c r="T414" s="192" t="e">
        <f t="shared" si="228"/>
        <v>#REF!</v>
      </c>
      <c r="U414" s="192" t="e">
        <f t="shared" si="228"/>
        <v>#REF!</v>
      </c>
      <c r="V414" s="192" t="e">
        <f t="shared" si="228"/>
        <v>#REF!</v>
      </c>
      <c r="W414" s="192" t="e">
        <f t="shared" si="228"/>
        <v>#REF!</v>
      </c>
      <c r="X414" s="192" t="e">
        <f t="shared" si="228"/>
        <v>#REF!</v>
      </c>
      <c r="Y414" s="192" t="e">
        <f t="shared" si="228"/>
        <v>#REF!</v>
      </c>
    </row>
    <row r="415" spans="1:25">
      <c r="C415" t="s">
        <v>490</v>
      </c>
      <c r="J415" s="157" t="e">
        <f>(Z119+Z120)/$G127/1000</f>
        <v>#REF!</v>
      </c>
      <c r="K415" s="192" t="e">
        <f t="shared" ref="K415:Y415" si="229">(AA119+AA120)/$G127</f>
        <v>#REF!</v>
      </c>
      <c r="L415" s="192" t="e">
        <f t="shared" si="229"/>
        <v>#REF!</v>
      </c>
      <c r="M415" s="192" t="e">
        <f t="shared" si="229"/>
        <v>#REF!</v>
      </c>
      <c r="N415" s="192" t="e">
        <f t="shared" si="229"/>
        <v>#REF!</v>
      </c>
      <c r="O415" s="192" t="e">
        <f t="shared" si="229"/>
        <v>#REF!</v>
      </c>
      <c r="P415" s="192" t="e">
        <f t="shared" si="229"/>
        <v>#REF!</v>
      </c>
      <c r="Q415" s="192" t="e">
        <f t="shared" si="229"/>
        <v>#REF!</v>
      </c>
      <c r="R415" s="192" t="e">
        <f t="shared" si="229"/>
        <v>#REF!</v>
      </c>
      <c r="S415" s="192" t="e">
        <f t="shared" si="229"/>
        <v>#REF!</v>
      </c>
      <c r="T415" s="192" t="e">
        <f t="shared" si="229"/>
        <v>#REF!</v>
      </c>
      <c r="U415" s="192" t="e">
        <f t="shared" si="229"/>
        <v>#REF!</v>
      </c>
      <c r="V415" s="192" t="e">
        <f t="shared" si="229"/>
        <v>#REF!</v>
      </c>
      <c r="W415" s="192" t="e">
        <f t="shared" si="229"/>
        <v>#REF!</v>
      </c>
      <c r="X415" s="192" t="e">
        <f t="shared" si="229"/>
        <v>#REF!</v>
      </c>
      <c r="Y415" s="192" t="e">
        <f t="shared" si="229"/>
        <v>#REF!</v>
      </c>
    </row>
    <row r="416" spans="1:25">
      <c r="C416" t="s">
        <v>485</v>
      </c>
      <c r="J416" s="157" t="e">
        <f>(Z116+Z117+Z118+Z124)/$G127/1000</f>
        <v>#REF!</v>
      </c>
      <c r="K416" s="192" t="e">
        <f t="shared" ref="K416:Y416" si="230">(AA116+AA117+AA118+AA124)/$G127</f>
        <v>#REF!</v>
      </c>
      <c r="L416" s="192" t="e">
        <f t="shared" si="230"/>
        <v>#REF!</v>
      </c>
      <c r="M416" s="192" t="e">
        <f t="shared" si="230"/>
        <v>#REF!</v>
      </c>
      <c r="N416" s="192" t="e">
        <f t="shared" si="230"/>
        <v>#REF!</v>
      </c>
      <c r="O416" s="192" t="e">
        <f t="shared" si="230"/>
        <v>#REF!</v>
      </c>
      <c r="P416" s="192" t="e">
        <f t="shared" si="230"/>
        <v>#REF!</v>
      </c>
      <c r="Q416" s="192" t="e">
        <f t="shared" si="230"/>
        <v>#REF!</v>
      </c>
      <c r="R416" s="192" t="e">
        <f t="shared" si="230"/>
        <v>#REF!</v>
      </c>
      <c r="S416" s="192" t="e">
        <f t="shared" si="230"/>
        <v>#REF!</v>
      </c>
      <c r="T416" s="192" t="e">
        <f t="shared" si="230"/>
        <v>#REF!</v>
      </c>
      <c r="U416" s="192" t="e">
        <f t="shared" si="230"/>
        <v>#REF!</v>
      </c>
      <c r="V416" s="192" t="e">
        <f t="shared" si="230"/>
        <v>#REF!</v>
      </c>
      <c r="W416" s="192" t="e">
        <f t="shared" si="230"/>
        <v>#REF!</v>
      </c>
      <c r="X416" s="192" t="e">
        <f t="shared" si="230"/>
        <v>#REF!</v>
      </c>
      <c r="Y416" s="192" t="e">
        <f t="shared" si="230"/>
        <v>#REF!</v>
      </c>
    </row>
    <row r="417" spans="2:25">
      <c r="B417" t="s">
        <v>422</v>
      </c>
      <c r="C417" t="s">
        <v>481</v>
      </c>
      <c r="J417" s="157" t="e">
        <f>Z115/1000</f>
        <v>#REF!</v>
      </c>
      <c r="K417" s="192" t="e">
        <f t="shared" ref="K417:Y417" si="231">AA115</f>
        <v>#REF!</v>
      </c>
      <c r="L417" s="192" t="e">
        <f t="shared" si="231"/>
        <v>#REF!</v>
      </c>
      <c r="M417" s="192" t="e">
        <f t="shared" si="231"/>
        <v>#REF!</v>
      </c>
      <c r="N417" s="192" t="e">
        <f t="shared" si="231"/>
        <v>#REF!</v>
      </c>
      <c r="O417" s="192" t="e">
        <f t="shared" si="231"/>
        <v>#REF!</v>
      </c>
      <c r="P417" s="192" t="e">
        <f t="shared" si="231"/>
        <v>#REF!</v>
      </c>
      <c r="Q417" s="192" t="e">
        <f t="shared" si="231"/>
        <v>#REF!</v>
      </c>
      <c r="R417" s="192" t="e">
        <f t="shared" si="231"/>
        <v>#REF!</v>
      </c>
      <c r="S417" s="192" t="e">
        <f t="shared" si="231"/>
        <v>#REF!</v>
      </c>
      <c r="T417" s="192" t="e">
        <f t="shared" si="231"/>
        <v>#REF!</v>
      </c>
      <c r="U417" s="192" t="e">
        <f t="shared" si="231"/>
        <v>#REF!</v>
      </c>
      <c r="V417" s="192" t="e">
        <f t="shared" si="231"/>
        <v>#REF!</v>
      </c>
      <c r="W417" s="192" t="e">
        <f t="shared" si="231"/>
        <v>#REF!</v>
      </c>
      <c r="X417" s="192" t="e">
        <f t="shared" si="231"/>
        <v>#REF!</v>
      </c>
      <c r="Y417" s="192" t="e">
        <f t="shared" si="231"/>
        <v>#REF!</v>
      </c>
    </row>
    <row r="418" spans="2:25">
      <c r="C418" t="s">
        <v>497</v>
      </c>
      <c r="F418" s="182"/>
      <c r="J418" s="157" t="e">
        <f t="shared" ref="J418:Y418" si="232">J321-J417</f>
        <v>#REF!</v>
      </c>
      <c r="K418" s="192" t="e">
        <f t="shared" si="232"/>
        <v>#REF!</v>
      </c>
      <c r="L418" s="192" t="e">
        <f t="shared" si="232"/>
        <v>#REF!</v>
      </c>
      <c r="M418" s="192" t="e">
        <f t="shared" si="232"/>
        <v>#REF!</v>
      </c>
      <c r="N418" s="192" t="e">
        <f t="shared" si="232"/>
        <v>#REF!</v>
      </c>
      <c r="O418" s="192" t="e">
        <f t="shared" si="232"/>
        <v>#REF!</v>
      </c>
      <c r="P418" s="192" t="e">
        <f t="shared" si="232"/>
        <v>#REF!</v>
      </c>
      <c r="Q418" s="192" t="e">
        <f t="shared" si="232"/>
        <v>#REF!</v>
      </c>
      <c r="R418" s="192" t="e">
        <f t="shared" si="232"/>
        <v>#REF!</v>
      </c>
      <c r="S418" s="192" t="e">
        <f t="shared" si="232"/>
        <v>#REF!</v>
      </c>
      <c r="T418" s="192" t="e">
        <f t="shared" si="232"/>
        <v>#REF!</v>
      </c>
      <c r="U418" s="192" t="e">
        <f t="shared" si="232"/>
        <v>#REF!</v>
      </c>
      <c r="V418" s="192" t="e">
        <f t="shared" si="232"/>
        <v>#REF!</v>
      </c>
      <c r="W418" s="192" t="e">
        <f t="shared" si="232"/>
        <v>#REF!</v>
      </c>
      <c r="X418" s="192" t="e">
        <f t="shared" si="232"/>
        <v>#REF!</v>
      </c>
      <c r="Y418" s="192" t="e">
        <f t="shared" si="232"/>
        <v>#REF!</v>
      </c>
    </row>
    <row r="419" spans="2:25">
      <c r="C419" t="s">
        <v>487</v>
      </c>
      <c r="J419" s="182" t="e">
        <f>((Z98+Z99+Z101)/G93*G107+Z105+Z112)/$G114/1000</f>
        <v>#REF!</v>
      </c>
      <c r="K419" s="192" t="e">
        <f t="shared" ref="K419:Y419" si="233">((AA98+AA99+AA101)/$G93*$G107+AA105+AA112)/$G114</f>
        <v>#REF!</v>
      </c>
      <c r="L419" s="192" t="e">
        <f t="shared" si="233"/>
        <v>#REF!</v>
      </c>
      <c r="M419" s="192" t="e">
        <f t="shared" si="233"/>
        <v>#REF!</v>
      </c>
      <c r="N419" s="192" t="e">
        <f t="shared" si="233"/>
        <v>#REF!</v>
      </c>
      <c r="O419" s="192" t="e">
        <f t="shared" si="233"/>
        <v>#REF!</v>
      </c>
      <c r="P419" s="192" t="e">
        <f t="shared" si="233"/>
        <v>#REF!</v>
      </c>
      <c r="Q419" s="192" t="e">
        <f t="shared" si="233"/>
        <v>#REF!</v>
      </c>
      <c r="R419" s="192" t="e">
        <f t="shared" si="233"/>
        <v>#REF!</v>
      </c>
      <c r="S419" s="192" t="e">
        <f t="shared" si="233"/>
        <v>#REF!</v>
      </c>
      <c r="T419" s="192" t="e">
        <f t="shared" si="233"/>
        <v>#REF!</v>
      </c>
      <c r="U419" s="192" t="e">
        <f t="shared" si="233"/>
        <v>#REF!</v>
      </c>
      <c r="V419" s="192" t="e">
        <f t="shared" si="233"/>
        <v>#REF!</v>
      </c>
      <c r="W419" s="192" t="e">
        <f t="shared" si="233"/>
        <v>#REF!</v>
      </c>
      <c r="X419" s="192" t="e">
        <f t="shared" si="233"/>
        <v>#REF!</v>
      </c>
      <c r="Y419" s="192" t="e">
        <f t="shared" si="233"/>
        <v>#REF!</v>
      </c>
    </row>
    <row r="420" spans="2:25">
      <c r="C420" t="s">
        <v>488</v>
      </c>
      <c r="J420" s="182" t="e">
        <f>(Z102+Z103+Z104)/$G114/1000</f>
        <v>#REF!</v>
      </c>
      <c r="K420" s="192" t="e">
        <f t="shared" ref="K420:Y420" si="234">(AA102+AA103+AA104)/$G114</f>
        <v>#REF!</v>
      </c>
      <c r="L420" s="192" t="e">
        <f t="shared" si="234"/>
        <v>#REF!</v>
      </c>
      <c r="M420" s="192" t="e">
        <f t="shared" si="234"/>
        <v>#REF!</v>
      </c>
      <c r="N420" s="192" t="e">
        <f t="shared" si="234"/>
        <v>#REF!</v>
      </c>
      <c r="O420" s="192" t="e">
        <f t="shared" si="234"/>
        <v>#REF!</v>
      </c>
      <c r="P420" s="192" t="e">
        <f t="shared" si="234"/>
        <v>#REF!</v>
      </c>
      <c r="Q420" s="192" t="e">
        <f t="shared" si="234"/>
        <v>#REF!</v>
      </c>
      <c r="R420" s="192" t="e">
        <f t="shared" si="234"/>
        <v>#REF!</v>
      </c>
      <c r="S420" s="192" t="e">
        <f t="shared" si="234"/>
        <v>#REF!</v>
      </c>
      <c r="T420" s="192" t="e">
        <f t="shared" si="234"/>
        <v>#REF!</v>
      </c>
      <c r="U420" s="192" t="e">
        <f t="shared" si="234"/>
        <v>#REF!</v>
      </c>
      <c r="V420" s="192" t="e">
        <f t="shared" si="234"/>
        <v>#REF!</v>
      </c>
      <c r="W420" s="192" t="e">
        <f t="shared" si="234"/>
        <v>#REF!</v>
      </c>
      <c r="X420" s="192" t="e">
        <f t="shared" si="234"/>
        <v>#REF!</v>
      </c>
      <c r="Y420" s="192" t="e">
        <f t="shared" si="234"/>
        <v>#REF!</v>
      </c>
    </row>
    <row r="421" spans="2:25">
      <c r="C421" t="s">
        <v>498</v>
      </c>
      <c r="J421" s="182" t="e">
        <f>Z104/1000/$G114</f>
        <v>#REF!</v>
      </c>
      <c r="K421" s="192" t="e">
        <f t="shared" ref="K421:Y421" si="235">AA104/$G114</f>
        <v>#REF!</v>
      </c>
      <c r="L421" s="192" t="e">
        <f t="shared" si="235"/>
        <v>#REF!</v>
      </c>
      <c r="M421" s="192" t="e">
        <f t="shared" si="235"/>
        <v>#REF!</v>
      </c>
      <c r="N421" s="192" t="e">
        <f t="shared" si="235"/>
        <v>#REF!</v>
      </c>
      <c r="O421" s="192" t="e">
        <f t="shared" si="235"/>
        <v>#REF!</v>
      </c>
      <c r="P421" s="192" t="e">
        <f t="shared" si="235"/>
        <v>#REF!</v>
      </c>
      <c r="Q421" s="192" t="e">
        <f t="shared" si="235"/>
        <v>#REF!</v>
      </c>
      <c r="R421" s="192" t="e">
        <f t="shared" si="235"/>
        <v>#REF!</v>
      </c>
      <c r="S421" s="192" t="e">
        <f t="shared" si="235"/>
        <v>#REF!</v>
      </c>
      <c r="T421" s="192" t="e">
        <f t="shared" si="235"/>
        <v>#REF!</v>
      </c>
      <c r="U421" s="192" t="e">
        <f t="shared" si="235"/>
        <v>#REF!</v>
      </c>
      <c r="V421" s="192" t="e">
        <f t="shared" si="235"/>
        <v>#REF!</v>
      </c>
      <c r="W421" s="192" t="e">
        <f t="shared" si="235"/>
        <v>#REF!</v>
      </c>
      <c r="X421" s="192" t="e">
        <f t="shared" si="235"/>
        <v>#REF!</v>
      </c>
      <c r="Y421" s="192" t="e">
        <f t="shared" si="235"/>
        <v>#REF!</v>
      </c>
    </row>
    <row r="422" spans="2:25">
      <c r="C422" t="s">
        <v>499</v>
      </c>
      <c r="J422" s="182" t="e">
        <f>(Z102+Z103)/1000/$G114</f>
        <v>#REF!</v>
      </c>
      <c r="K422" s="192" t="e">
        <f t="shared" ref="K422:Y422" si="236">(AA102+AA103)/$G114</f>
        <v>#REF!</v>
      </c>
      <c r="L422" s="192" t="e">
        <f t="shared" si="236"/>
        <v>#REF!</v>
      </c>
      <c r="M422" s="192" t="e">
        <f t="shared" si="236"/>
        <v>#REF!</v>
      </c>
      <c r="N422" s="192" t="e">
        <f t="shared" si="236"/>
        <v>#REF!</v>
      </c>
      <c r="O422" s="192" t="e">
        <f t="shared" si="236"/>
        <v>#REF!</v>
      </c>
      <c r="P422" s="192" t="e">
        <f t="shared" si="236"/>
        <v>#REF!</v>
      </c>
      <c r="Q422" s="192" t="e">
        <f t="shared" si="236"/>
        <v>#REF!</v>
      </c>
      <c r="R422" s="192" t="e">
        <f t="shared" si="236"/>
        <v>#REF!</v>
      </c>
      <c r="S422" s="192" t="e">
        <f t="shared" si="236"/>
        <v>#REF!</v>
      </c>
      <c r="T422" s="192" t="e">
        <f t="shared" si="236"/>
        <v>#REF!</v>
      </c>
      <c r="U422" s="192" t="e">
        <f t="shared" si="236"/>
        <v>#REF!</v>
      </c>
      <c r="V422" s="192" t="e">
        <f t="shared" si="236"/>
        <v>#REF!</v>
      </c>
      <c r="W422" s="192" t="e">
        <f t="shared" si="236"/>
        <v>#REF!</v>
      </c>
      <c r="X422" s="192" t="e">
        <f t="shared" si="236"/>
        <v>#REF!</v>
      </c>
      <c r="Y422" s="192" t="e">
        <f t="shared" si="236"/>
        <v>#REF!</v>
      </c>
    </row>
    <row r="423" spans="2:25">
      <c r="C423" t="s">
        <v>501</v>
      </c>
      <c r="J423" s="182" t="e">
        <f>Z106/1000/$G114</f>
        <v>#REF!</v>
      </c>
      <c r="K423" s="192" t="e">
        <f t="shared" ref="K423:Y423" si="237">AA106/$G114</f>
        <v>#REF!</v>
      </c>
      <c r="L423" s="192" t="e">
        <f t="shared" si="237"/>
        <v>#REF!</v>
      </c>
      <c r="M423" s="192" t="e">
        <f t="shared" si="237"/>
        <v>#REF!</v>
      </c>
      <c r="N423" s="192" t="e">
        <f t="shared" si="237"/>
        <v>#REF!</v>
      </c>
      <c r="O423" s="192" t="e">
        <f t="shared" si="237"/>
        <v>#REF!</v>
      </c>
      <c r="P423" s="192" t="e">
        <f t="shared" si="237"/>
        <v>#REF!</v>
      </c>
      <c r="Q423" s="192" t="e">
        <f t="shared" si="237"/>
        <v>#REF!</v>
      </c>
      <c r="R423" s="192" t="e">
        <f t="shared" si="237"/>
        <v>#REF!</v>
      </c>
      <c r="S423" s="192" t="e">
        <f t="shared" si="237"/>
        <v>#REF!</v>
      </c>
      <c r="T423" s="192" t="e">
        <f t="shared" si="237"/>
        <v>#REF!</v>
      </c>
      <c r="U423" s="192" t="e">
        <f t="shared" si="237"/>
        <v>#REF!</v>
      </c>
      <c r="V423" s="192" t="e">
        <f t="shared" si="237"/>
        <v>#REF!</v>
      </c>
      <c r="W423" s="192" t="e">
        <f t="shared" si="237"/>
        <v>#REF!</v>
      </c>
      <c r="X423" s="192" t="e">
        <f t="shared" si="237"/>
        <v>#REF!</v>
      </c>
      <c r="Y423" s="192" t="e">
        <f t="shared" si="237"/>
        <v>#REF!</v>
      </c>
    </row>
    <row r="424" spans="2:25">
      <c r="C424" t="s">
        <v>489</v>
      </c>
      <c r="J424" s="182" t="e">
        <f>(Z94/$G94*$G107+Z108+Z109+Z110+Z111+Z113)/$G114/1000</f>
        <v>#REF!</v>
      </c>
      <c r="K424" s="192" t="e">
        <f t="shared" ref="K424:Y424" si="238">(AA94/$G94*$G107+AA108+AA109+AA110+AA111+AA113)/$G114</f>
        <v>#REF!</v>
      </c>
      <c r="L424" s="192" t="e">
        <f t="shared" si="238"/>
        <v>#REF!</v>
      </c>
      <c r="M424" s="192" t="e">
        <f t="shared" si="238"/>
        <v>#REF!</v>
      </c>
      <c r="N424" s="192" t="e">
        <f t="shared" si="238"/>
        <v>#REF!</v>
      </c>
      <c r="O424" s="192" t="e">
        <f t="shared" si="238"/>
        <v>#REF!</v>
      </c>
      <c r="P424" s="192" t="e">
        <f t="shared" si="238"/>
        <v>#REF!</v>
      </c>
      <c r="Q424" s="192" t="e">
        <f t="shared" si="238"/>
        <v>#REF!</v>
      </c>
      <c r="R424" s="192" t="e">
        <f t="shared" si="238"/>
        <v>#REF!</v>
      </c>
      <c r="S424" s="192" t="e">
        <f t="shared" si="238"/>
        <v>#REF!</v>
      </c>
      <c r="T424" s="192" t="e">
        <f t="shared" si="238"/>
        <v>#REF!</v>
      </c>
      <c r="U424" s="192" t="e">
        <f t="shared" si="238"/>
        <v>#REF!</v>
      </c>
      <c r="V424" s="192" t="e">
        <f t="shared" si="238"/>
        <v>#REF!</v>
      </c>
      <c r="W424" s="192" t="e">
        <f t="shared" si="238"/>
        <v>#REF!</v>
      </c>
      <c r="X424" s="192" t="e">
        <f t="shared" si="238"/>
        <v>#REF!</v>
      </c>
      <c r="Y424" s="192" t="e">
        <f t="shared" si="238"/>
        <v>#REF!</v>
      </c>
    </row>
    <row r="425" spans="2:25">
      <c r="C425" t="s">
        <v>503</v>
      </c>
      <c r="J425" s="182" t="e">
        <f>(Z94/$G94*$G107+Z108)/1000/$G114</f>
        <v>#REF!</v>
      </c>
      <c r="K425" s="192" t="e">
        <f t="shared" ref="K425:Y425" si="239">(AA94/$G94*$G107+AA108)/$G114</f>
        <v>#REF!</v>
      </c>
      <c r="L425" s="192" t="e">
        <f t="shared" si="239"/>
        <v>#REF!</v>
      </c>
      <c r="M425" s="192" t="e">
        <f t="shared" si="239"/>
        <v>#REF!</v>
      </c>
      <c r="N425" s="192" t="e">
        <f t="shared" si="239"/>
        <v>#REF!</v>
      </c>
      <c r="O425" s="192" t="e">
        <f t="shared" si="239"/>
        <v>#REF!</v>
      </c>
      <c r="P425" s="192" t="e">
        <f t="shared" si="239"/>
        <v>#REF!</v>
      </c>
      <c r="Q425" s="192" t="e">
        <f t="shared" si="239"/>
        <v>#REF!</v>
      </c>
      <c r="R425" s="192" t="e">
        <f t="shared" si="239"/>
        <v>#REF!</v>
      </c>
      <c r="S425" s="192" t="e">
        <f t="shared" si="239"/>
        <v>#REF!</v>
      </c>
      <c r="T425" s="192" t="e">
        <f t="shared" si="239"/>
        <v>#REF!</v>
      </c>
      <c r="U425" s="192" t="e">
        <f t="shared" si="239"/>
        <v>#REF!</v>
      </c>
      <c r="V425" s="192" t="e">
        <f t="shared" si="239"/>
        <v>#REF!</v>
      </c>
      <c r="W425" s="192" t="e">
        <f t="shared" si="239"/>
        <v>#REF!</v>
      </c>
      <c r="X425" s="192" t="e">
        <f t="shared" si="239"/>
        <v>#REF!</v>
      </c>
      <c r="Y425" s="192" t="e">
        <f t="shared" si="239"/>
        <v>#REF!</v>
      </c>
    </row>
    <row r="426" spans="2:25">
      <c r="C426" t="s">
        <v>502</v>
      </c>
      <c r="J426" s="182" t="e">
        <f>Z109/1000/$G114</f>
        <v>#REF!</v>
      </c>
      <c r="K426" s="192" t="e">
        <f t="shared" ref="K426:Y426" si="240">AA109/$G114</f>
        <v>#REF!</v>
      </c>
      <c r="L426" s="192" t="e">
        <f t="shared" si="240"/>
        <v>#REF!</v>
      </c>
      <c r="M426" s="192" t="e">
        <f t="shared" si="240"/>
        <v>#REF!</v>
      </c>
      <c r="N426" s="192" t="e">
        <f t="shared" si="240"/>
        <v>#REF!</v>
      </c>
      <c r="O426" s="192" t="e">
        <f t="shared" si="240"/>
        <v>#REF!</v>
      </c>
      <c r="P426" s="192" t="e">
        <f t="shared" si="240"/>
        <v>#REF!</v>
      </c>
      <c r="Q426" s="192" t="e">
        <f t="shared" si="240"/>
        <v>#REF!</v>
      </c>
      <c r="R426" s="192" t="e">
        <f t="shared" si="240"/>
        <v>#REF!</v>
      </c>
      <c r="S426" s="192" t="e">
        <f t="shared" si="240"/>
        <v>#REF!</v>
      </c>
      <c r="T426" s="192" t="e">
        <f t="shared" si="240"/>
        <v>#REF!</v>
      </c>
      <c r="U426" s="192" t="e">
        <f t="shared" si="240"/>
        <v>#REF!</v>
      </c>
      <c r="V426" s="192" t="e">
        <f t="shared" si="240"/>
        <v>#REF!</v>
      </c>
      <c r="W426" s="192" t="e">
        <f t="shared" si="240"/>
        <v>#REF!</v>
      </c>
      <c r="X426" s="192" t="e">
        <f t="shared" si="240"/>
        <v>#REF!</v>
      </c>
      <c r="Y426" s="192" t="e">
        <f t="shared" si="240"/>
        <v>#REF!</v>
      </c>
    </row>
    <row r="427" spans="2:25">
      <c r="C427" t="s">
        <v>506</v>
      </c>
      <c r="J427" s="182" t="e">
        <f>(Z110+Z111)/1000/$G114</f>
        <v>#REF!</v>
      </c>
      <c r="K427" s="192" t="e">
        <f t="shared" ref="K427:Y427" si="241">(AA110+AA111)/$G114</f>
        <v>#REF!</v>
      </c>
      <c r="L427" s="192" t="e">
        <f t="shared" si="241"/>
        <v>#REF!</v>
      </c>
      <c r="M427" s="192" t="e">
        <f t="shared" si="241"/>
        <v>#REF!</v>
      </c>
      <c r="N427" s="192" t="e">
        <f t="shared" si="241"/>
        <v>#REF!</v>
      </c>
      <c r="O427" s="192" t="e">
        <f t="shared" si="241"/>
        <v>#REF!</v>
      </c>
      <c r="P427" s="192" t="e">
        <f t="shared" si="241"/>
        <v>#REF!</v>
      </c>
      <c r="Q427" s="192" t="e">
        <f t="shared" si="241"/>
        <v>#REF!</v>
      </c>
      <c r="R427" s="192" t="e">
        <f t="shared" si="241"/>
        <v>#REF!</v>
      </c>
      <c r="S427" s="192" t="e">
        <f t="shared" si="241"/>
        <v>#REF!</v>
      </c>
      <c r="T427" s="192" t="e">
        <f t="shared" si="241"/>
        <v>#REF!</v>
      </c>
      <c r="U427" s="192" t="e">
        <f t="shared" si="241"/>
        <v>#REF!</v>
      </c>
      <c r="V427" s="192" t="e">
        <f t="shared" si="241"/>
        <v>#REF!</v>
      </c>
      <c r="W427" s="192" t="e">
        <f t="shared" si="241"/>
        <v>#REF!</v>
      </c>
      <c r="X427" s="192" t="e">
        <f t="shared" si="241"/>
        <v>#REF!</v>
      </c>
      <c r="Y427" s="192" t="e">
        <f t="shared" si="241"/>
        <v>#REF!</v>
      </c>
    </row>
    <row r="428" spans="2:25">
      <c r="C428" t="s">
        <v>505</v>
      </c>
      <c r="J428" s="182" t="e">
        <f>Z113/1000/$G114</f>
        <v>#REF!</v>
      </c>
      <c r="K428" s="192" t="e">
        <f t="shared" ref="K428:Y428" si="242">AA113/$G114</f>
        <v>#REF!</v>
      </c>
      <c r="L428" s="192" t="e">
        <f t="shared" si="242"/>
        <v>#REF!</v>
      </c>
      <c r="M428" s="192" t="e">
        <f t="shared" si="242"/>
        <v>#REF!</v>
      </c>
      <c r="N428" s="192" t="e">
        <f t="shared" si="242"/>
        <v>#REF!</v>
      </c>
      <c r="O428" s="192" t="e">
        <f t="shared" si="242"/>
        <v>#REF!</v>
      </c>
      <c r="P428" s="192" t="e">
        <f t="shared" si="242"/>
        <v>#REF!</v>
      </c>
      <c r="Q428" s="192" t="e">
        <f t="shared" si="242"/>
        <v>#REF!</v>
      </c>
      <c r="R428" s="192" t="e">
        <f t="shared" si="242"/>
        <v>#REF!</v>
      </c>
      <c r="S428" s="192" t="e">
        <f t="shared" si="242"/>
        <v>#REF!</v>
      </c>
      <c r="T428" s="192" t="e">
        <f t="shared" si="242"/>
        <v>#REF!</v>
      </c>
      <c r="U428" s="192" t="e">
        <f t="shared" si="242"/>
        <v>#REF!</v>
      </c>
      <c r="V428" s="192" t="e">
        <f t="shared" si="242"/>
        <v>#REF!</v>
      </c>
      <c r="W428" s="192" t="e">
        <f t="shared" si="242"/>
        <v>#REF!</v>
      </c>
      <c r="X428" s="192" t="e">
        <f t="shared" si="242"/>
        <v>#REF!</v>
      </c>
      <c r="Y428" s="192" t="e">
        <f t="shared" si="242"/>
        <v>#REF!</v>
      </c>
    </row>
    <row r="429" spans="2:25">
      <c r="B429" t="s">
        <v>423</v>
      </c>
      <c r="C429" t="s">
        <v>486</v>
      </c>
      <c r="J429" s="157" t="e">
        <f>Z141/1000</f>
        <v>#REF!</v>
      </c>
      <c r="K429" s="192" t="e">
        <f t="shared" ref="K429:Y429" si="243">AA141</f>
        <v>#REF!</v>
      </c>
      <c r="L429" s="192" t="e">
        <f t="shared" si="243"/>
        <v>#REF!</v>
      </c>
      <c r="M429" s="192" t="e">
        <f t="shared" si="243"/>
        <v>#REF!</v>
      </c>
      <c r="N429" s="192" t="e">
        <f t="shared" si="243"/>
        <v>#REF!</v>
      </c>
      <c r="O429" s="192" t="e">
        <f t="shared" si="243"/>
        <v>#REF!</v>
      </c>
      <c r="P429" s="192" t="e">
        <f t="shared" si="243"/>
        <v>#REF!</v>
      </c>
      <c r="Q429" s="192" t="e">
        <f t="shared" si="243"/>
        <v>#REF!</v>
      </c>
      <c r="R429" s="192" t="e">
        <f t="shared" si="243"/>
        <v>#REF!</v>
      </c>
      <c r="S429" s="192" t="e">
        <f t="shared" si="243"/>
        <v>#REF!</v>
      </c>
      <c r="T429" s="192" t="e">
        <f t="shared" si="243"/>
        <v>#REF!</v>
      </c>
      <c r="U429" s="192" t="e">
        <f t="shared" si="243"/>
        <v>#REF!</v>
      </c>
      <c r="V429" s="192" t="e">
        <f t="shared" si="243"/>
        <v>#REF!</v>
      </c>
      <c r="W429" s="192" t="e">
        <f t="shared" si="243"/>
        <v>#REF!</v>
      </c>
      <c r="X429" s="192" t="e">
        <f t="shared" si="243"/>
        <v>#REF!</v>
      </c>
      <c r="Y429" s="192" t="e">
        <f t="shared" si="243"/>
        <v>#REF!</v>
      </c>
    </row>
    <row r="430" spans="2:25">
      <c r="C430" t="s">
        <v>507</v>
      </c>
      <c r="J430" s="157" t="e">
        <f t="shared" ref="J430:Y430" si="244">J327-J429</f>
        <v>#REF!</v>
      </c>
      <c r="K430" s="192" t="e">
        <f t="shared" si="244"/>
        <v>#REF!</v>
      </c>
      <c r="L430" s="192" t="e">
        <f t="shared" si="244"/>
        <v>#REF!</v>
      </c>
      <c r="M430" s="192" t="e">
        <f t="shared" si="244"/>
        <v>#REF!</v>
      </c>
      <c r="N430" s="192" t="e">
        <f t="shared" si="244"/>
        <v>#REF!</v>
      </c>
      <c r="O430" s="192" t="e">
        <f t="shared" si="244"/>
        <v>#REF!</v>
      </c>
      <c r="P430" s="192" t="e">
        <f t="shared" si="244"/>
        <v>#REF!</v>
      </c>
      <c r="Q430" s="192" t="e">
        <f t="shared" si="244"/>
        <v>#REF!</v>
      </c>
      <c r="R430" s="192" t="e">
        <f t="shared" si="244"/>
        <v>#REF!</v>
      </c>
      <c r="S430" s="192" t="e">
        <f t="shared" si="244"/>
        <v>#REF!</v>
      </c>
      <c r="T430" s="192" t="e">
        <f t="shared" si="244"/>
        <v>#REF!</v>
      </c>
      <c r="U430" s="192" t="e">
        <f t="shared" si="244"/>
        <v>#REF!</v>
      </c>
      <c r="V430" s="192" t="e">
        <f t="shared" si="244"/>
        <v>#REF!</v>
      </c>
      <c r="W430" s="192" t="e">
        <f t="shared" si="244"/>
        <v>#REF!</v>
      </c>
      <c r="X430" s="192" t="e">
        <f t="shared" si="244"/>
        <v>#REF!</v>
      </c>
      <c r="Y430" s="192" t="e">
        <f t="shared" si="244"/>
        <v>#REF!</v>
      </c>
    </row>
    <row r="431" spans="2:25">
      <c r="C431" t="s">
        <v>496</v>
      </c>
      <c r="J431" s="157" t="e">
        <f>(Z130+Z137)/($E140*1000)</f>
        <v>#REF!</v>
      </c>
      <c r="K431" s="192" t="e">
        <f t="shared" ref="K431:Y431" si="245">(AA130+AA137)/$E140</f>
        <v>#REF!</v>
      </c>
      <c r="L431" s="192" t="e">
        <f t="shared" si="245"/>
        <v>#REF!</v>
      </c>
      <c r="M431" s="192" t="e">
        <f t="shared" si="245"/>
        <v>#REF!</v>
      </c>
      <c r="N431" s="192" t="e">
        <f t="shared" si="245"/>
        <v>#REF!</v>
      </c>
      <c r="O431" s="192" t="e">
        <f t="shared" si="245"/>
        <v>#REF!</v>
      </c>
      <c r="P431" s="192" t="e">
        <f t="shared" si="245"/>
        <v>#REF!</v>
      </c>
      <c r="Q431" s="192" t="e">
        <f t="shared" si="245"/>
        <v>#REF!</v>
      </c>
      <c r="R431" s="192" t="e">
        <f t="shared" si="245"/>
        <v>#REF!</v>
      </c>
      <c r="S431" s="192" t="e">
        <f t="shared" si="245"/>
        <v>#REF!</v>
      </c>
      <c r="T431" s="192" t="e">
        <f t="shared" si="245"/>
        <v>#REF!</v>
      </c>
      <c r="U431" s="192" t="e">
        <f t="shared" si="245"/>
        <v>#REF!</v>
      </c>
      <c r="V431" s="192" t="e">
        <f t="shared" si="245"/>
        <v>#REF!</v>
      </c>
      <c r="W431" s="192" t="e">
        <f t="shared" si="245"/>
        <v>#REF!</v>
      </c>
      <c r="X431" s="192" t="e">
        <f t="shared" si="245"/>
        <v>#REF!</v>
      </c>
      <c r="Y431" s="192" t="e">
        <f t="shared" si="245"/>
        <v>#REF!</v>
      </c>
    </row>
    <row r="432" spans="2:25">
      <c r="C432" t="s">
        <v>494</v>
      </c>
      <c r="J432" s="157" t="e">
        <f>(Z136+Z138+Z139)/$E140/1000</f>
        <v>#REF!</v>
      </c>
      <c r="K432" s="192" t="e">
        <f t="shared" ref="K432:Y432" si="246">(AA136+AA138+AA139)/$E140</f>
        <v>#REF!</v>
      </c>
      <c r="L432" s="192" t="e">
        <f t="shared" si="246"/>
        <v>#REF!</v>
      </c>
      <c r="M432" s="192" t="e">
        <f t="shared" si="246"/>
        <v>#REF!</v>
      </c>
      <c r="N432" s="192" t="e">
        <f t="shared" si="246"/>
        <v>#REF!</v>
      </c>
      <c r="O432" s="192" t="e">
        <f t="shared" si="246"/>
        <v>#REF!</v>
      </c>
      <c r="P432" s="192" t="e">
        <f t="shared" si="246"/>
        <v>#REF!</v>
      </c>
      <c r="Q432" s="192" t="e">
        <f t="shared" si="246"/>
        <v>#REF!</v>
      </c>
      <c r="R432" s="192" t="e">
        <f t="shared" si="246"/>
        <v>#REF!</v>
      </c>
      <c r="S432" s="192" t="e">
        <f t="shared" si="246"/>
        <v>#REF!</v>
      </c>
      <c r="T432" s="192" t="e">
        <f t="shared" si="246"/>
        <v>#REF!</v>
      </c>
      <c r="U432" s="192" t="e">
        <f t="shared" si="246"/>
        <v>#REF!</v>
      </c>
      <c r="V432" s="192" t="e">
        <f t="shared" si="246"/>
        <v>#REF!</v>
      </c>
      <c r="W432" s="192" t="e">
        <f t="shared" si="246"/>
        <v>#REF!</v>
      </c>
      <c r="X432" s="192" t="e">
        <f t="shared" si="246"/>
        <v>#REF!</v>
      </c>
      <c r="Y432" s="192" t="e">
        <f t="shared" si="246"/>
        <v>#REF!</v>
      </c>
    </row>
    <row r="433" spans="1:25">
      <c r="C433" t="s">
        <v>508</v>
      </c>
      <c r="J433" s="157" t="e">
        <f>Z136/1000/$E140</f>
        <v>#REF!</v>
      </c>
      <c r="K433" s="192" t="e">
        <f t="shared" ref="K433:Y433" si="247">AA136/$E140</f>
        <v>#REF!</v>
      </c>
      <c r="L433" s="192" t="e">
        <f t="shared" si="247"/>
        <v>#REF!</v>
      </c>
      <c r="M433" s="192" t="e">
        <f t="shared" si="247"/>
        <v>#REF!</v>
      </c>
      <c r="N433" s="192" t="e">
        <f t="shared" si="247"/>
        <v>#REF!</v>
      </c>
      <c r="O433" s="192" t="e">
        <f t="shared" si="247"/>
        <v>#REF!</v>
      </c>
      <c r="P433" s="192" t="e">
        <f t="shared" si="247"/>
        <v>#REF!</v>
      </c>
      <c r="Q433" s="192" t="e">
        <f t="shared" si="247"/>
        <v>#REF!</v>
      </c>
      <c r="R433" s="192" t="e">
        <f t="shared" si="247"/>
        <v>#REF!</v>
      </c>
      <c r="S433" s="192" t="e">
        <f t="shared" si="247"/>
        <v>#REF!</v>
      </c>
      <c r="T433" s="192" t="e">
        <f t="shared" si="247"/>
        <v>#REF!</v>
      </c>
      <c r="U433" s="192" t="e">
        <f t="shared" si="247"/>
        <v>#REF!</v>
      </c>
      <c r="V433" s="192" t="e">
        <f t="shared" si="247"/>
        <v>#REF!</v>
      </c>
      <c r="W433" s="192" t="e">
        <f t="shared" si="247"/>
        <v>#REF!</v>
      </c>
      <c r="X433" s="192" t="e">
        <f t="shared" si="247"/>
        <v>#REF!</v>
      </c>
      <c r="Y433" s="192" t="e">
        <f t="shared" si="247"/>
        <v>#REF!</v>
      </c>
    </row>
    <row r="434" spans="1:25">
      <c r="C434" t="s">
        <v>509</v>
      </c>
      <c r="J434" s="157" t="e">
        <f>(Z138+Z139)/1000/$E140</f>
        <v>#REF!</v>
      </c>
      <c r="K434" s="192" t="e">
        <f t="shared" ref="K434:Y434" si="248">(AA138+AA139)/$E140</f>
        <v>#REF!</v>
      </c>
      <c r="L434" s="192" t="e">
        <f t="shared" si="248"/>
        <v>#REF!</v>
      </c>
      <c r="M434" s="192" t="e">
        <f t="shared" si="248"/>
        <v>#REF!</v>
      </c>
      <c r="N434" s="192" t="e">
        <f t="shared" si="248"/>
        <v>#REF!</v>
      </c>
      <c r="O434" s="192" t="e">
        <f t="shared" si="248"/>
        <v>#REF!</v>
      </c>
      <c r="P434" s="192" t="e">
        <f t="shared" si="248"/>
        <v>#REF!</v>
      </c>
      <c r="Q434" s="192" t="e">
        <f t="shared" si="248"/>
        <v>#REF!</v>
      </c>
      <c r="R434" s="192" t="e">
        <f t="shared" si="248"/>
        <v>#REF!</v>
      </c>
      <c r="S434" s="192" t="e">
        <f t="shared" si="248"/>
        <v>#REF!</v>
      </c>
      <c r="T434" s="192" t="e">
        <f t="shared" si="248"/>
        <v>#REF!</v>
      </c>
      <c r="U434" s="192" t="e">
        <f t="shared" si="248"/>
        <v>#REF!</v>
      </c>
      <c r="V434" s="192" t="e">
        <f t="shared" si="248"/>
        <v>#REF!</v>
      </c>
      <c r="W434" s="192" t="e">
        <f t="shared" si="248"/>
        <v>#REF!</v>
      </c>
      <c r="X434" s="192" t="e">
        <f t="shared" si="248"/>
        <v>#REF!</v>
      </c>
      <c r="Y434" s="192" t="e">
        <f t="shared" si="248"/>
        <v>#REF!</v>
      </c>
    </row>
    <row r="435" spans="1:25">
      <c r="C435" t="s">
        <v>495</v>
      </c>
      <c r="J435" s="157" t="e">
        <f>(Z129+Z131+Z132+Z133+Z134+Z135)/$E140/1000</f>
        <v>#REF!</v>
      </c>
      <c r="K435" s="192" t="e">
        <f t="shared" ref="K435:Y435" si="249">(AA129+AA131+AA132+AA133+AA134+AA135)/$E140</f>
        <v>#REF!</v>
      </c>
      <c r="L435" s="192" t="e">
        <f t="shared" si="249"/>
        <v>#REF!</v>
      </c>
      <c r="M435" s="192" t="e">
        <f t="shared" si="249"/>
        <v>#REF!</v>
      </c>
      <c r="N435" s="192" t="e">
        <f t="shared" si="249"/>
        <v>#REF!</v>
      </c>
      <c r="O435" s="192" t="e">
        <f t="shared" si="249"/>
        <v>#REF!</v>
      </c>
      <c r="P435" s="192" t="e">
        <f t="shared" si="249"/>
        <v>#REF!</v>
      </c>
      <c r="Q435" s="192" t="e">
        <f t="shared" si="249"/>
        <v>#REF!</v>
      </c>
      <c r="R435" s="192" t="e">
        <f t="shared" si="249"/>
        <v>#REF!</v>
      </c>
      <c r="S435" s="192" t="e">
        <f t="shared" si="249"/>
        <v>#REF!</v>
      </c>
      <c r="T435" s="192" t="e">
        <f t="shared" si="249"/>
        <v>#REF!</v>
      </c>
      <c r="U435" s="192" t="e">
        <f t="shared" si="249"/>
        <v>#REF!</v>
      </c>
      <c r="V435" s="192" t="e">
        <f t="shared" si="249"/>
        <v>#REF!</v>
      </c>
      <c r="W435" s="192" t="e">
        <f t="shared" si="249"/>
        <v>#REF!</v>
      </c>
      <c r="X435" s="192" t="e">
        <f t="shared" si="249"/>
        <v>#REF!</v>
      </c>
      <c r="Y435" s="192" t="e">
        <f t="shared" si="249"/>
        <v>#REF!</v>
      </c>
    </row>
    <row r="436" spans="1:25">
      <c r="C436" t="s">
        <v>511</v>
      </c>
      <c r="J436" s="157" t="e">
        <f>Z129/1000/$E140</f>
        <v>#REF!</v>
      </c>
      <c r="K436" s="192" t="e">
        <f t="shared" ref="K436:Y436" si="250">AA129/$E140</f>
        <v>#REF!</v>
      </c>
      <c r="L436" s="192" t="e">
        <f t="shared" si="250"/>
        <v>#REF!</v>
      </c>
      <c r="M436" s="192" t="e">
        <f t="shared" si="250"/>
        <v>#REF!</v>
      </c>
      <c r="N436" s="192" t="e">
        <f t="shared" si="250"/>
        <v>#REF!</v>
      </c>
      <c r="O436" s="192" t="e">
        <f t="shared" si="250"/>
        <v>#REF!</v>
      </c>
      <c r="P436" s="192" t="e">
        <f t="shared" si="250"/>
        <v>#REF!</v>
      </c>
      <c r="Q436" s="192" t="e">
        <f t="shared" si="250"/>
        <v>#REF!</v>
      </c>
      <c r="R436" s="192" t="e">
        <f t="shared" si="250"/>
        <v>#REF!</v>
      </c>
      <c r="S436" s="192" t="e">
        <f t="shared" si="250"/>
        <v>#REF!</v>
      </c>
      <c r="T436" s="192" t="e">
        <f t="shared" si="250"/>
        <v>#REF!</v>
      </c>
      <c r="U436" s="192" t="e">
        <f t="shared" si="250"/>
        <v>#REF!</v>
      </c>
      <c r="V436" s="192" t="e">
        <f t="shared" si="250"/>
        <v>#REF!</v>
      </c>
      <c r="W436" s="192" t="e">
        <f t="shared" si="250"/>
        <v>#REF!</v>
      </c>
      <c r="X436" s="192" t="e">
        <f t="shared" si="250"/>
        <v>#REF!</v>
      </c>
      <c r="Y436" s="192" t="e">
        <f t="shared" si="250"/>
        <v>#REF!</v>
      </c>
    </row>
    <row r="437" spans="1:25">
      <c r="C437" t="s">
        <v>512</v>
      </c>
      <c r="J437" s="157" t="e">
        <f>(Z131+Z132+Z133)/1000/$E140</f>
        <v>#REF!</v>
      </c>
      <c r="K437" s="192" t="e">
        <f t="shared" ref="K437:Y437" si="251">(AA131+AA132+AA133)/$E140</f>
        <v>#REF!</v>
      </c>
      <c r="L437" s="192" t="e">
        <f t="shared" si="251"/>
        <v>#REF!</v>
      </c>
      <c r="M437" s="192" t="e">
        <f t="shared" si="251"/>
        <v>#REF!</v>
      </c>
      <c r="N437" s="192" t="e">
        <f t="shared" si="251"/>
        <v>#REF!</v>
      </c>
      <c r="O437" s="192" t="e">
        <f t="shared" si="251"/>
        <v>#REF!</v>
      </c>
      <c r="P437" s="192" t="e">
        <f t="shared" si="251"/>
        <v>#REF!</v>
      </c>
      <c r="Q437" s="192" t="e">
        <f t="shared" si="251"/>
        <v>#REF!</v>
      </c>
      <c r="R437" s="192" t="e">
        <f t="shared" si="251"/>
        <v>#REF!</v>
      </c>
      <c r="S437" s="192" t="e">
        <f t="shared" si="251"/>
        <v>#REF!</v>
      </c>
      <c r="T437" s="192" t="e">
        <f t="shared" si="251"/>
        <v>#REF!</v>
      </c>
      <c r="U437" s="192" t="e">
        <f t="shared" si="251"/>
        <v>#REF!</v>
      </c>
      <c r="V437" s="192" t="e">
        <f t="shared" si="251"/>
        <v>#REF!</v>
      </c>
      <c r="W437" s="192" t="e">
        <f t="shared" si="251"/>
        <v>#REF!</v>
      </c>
      <c r="X437" s="192" t="e">
        <f t="shared" si="251"/>
        <v>#REF!</v>
      </c>
      <c r="Y437" s="192" t="e">
        <f t="shared" si="251"/>
        <v>#REF!</v>
      </c>
    </row>
    <row r="438" spans="1:25">
      <c r="C438" t="s">
        <v>513</v>
      </c>
      <c r="J438" s="157" t="e">
        <f>(Z134+Z135)/1000/$E140</f>
        <v>#REF!</v>
      </c>
      <c r="K438" s="192" t="e">
        <f t="shared" ref="K438:Y438" si="252">(AA134+AA135)/$E140</f>
        <v>#REF!</v>
      </c>
      <c r="L438" s="192" t="e">
        <f t="shared" si="252"/>
        <v>#REF!</v>
      </c>
      <c r="M438" s="192" t="e">
        <f t="shared" si="252"/>
        <v>#REF!</v>
      </c>
      <c r="N438" s="192" t="e">
        <f t="shared" si="252"/>
        <v>#REF!</v>
      </c>
      <c r="O438" s="192" t="e">
        <f t="shared" si="252"/>
        <v>#REF!</v>
      </c>
      <c r="P438" s="192" t="e">
        <f t="shared" si="252"/>
        <v>#REF!</v>
      </c>
      <c r="Q438" s="192" t="e">
        <f t="shared" si="252"/>
        <v>#REF!</v>
      </c>
      <c r="R438" s="192" t="e">
        <f t="shared" si="252"/>
        <v>#REF!</v>
      </c>
      <c r="S438" s="192" t="e">
        <f t="shared" si="252"/>
        <v>#REF!</v>
      </c>
      <c r="T438" s="192" t="e">
        <f t="shared" si="252"/>
        <v>#REF!</v>
      </c>
      <c r="U438" s="192" t="e">
        <f t="shared" si="252"/>
        <v>#REF!</v>
      </c>
      <c r="V438" s="192" t="e">
        <f t="shared" si="252"/>
        <v>#REF!</v>
      </c>
      <c r="W438" s="192" t="e">
        <f t="shared" si="252"/>
        <v>#REF!</v>
      </c>
      <c r="X438" s="192" t="e">
        <f t="shared" si="252"/>
        <v>#REF!</v>
      </c>
      <c r="Y438" s="192" t="e">
        <f t="shared" si="252"/>
        <v>#REF!</v>
      </c>
    </row>
    <row r="439" spans="1:25">
      <c r="A439" t="s">
        <v>520</v>
      </c>
      <c r="B439" t="s">
        <v>421</v>
      </c>
      <c r="C439" t="s">
        <v>481</v>
      </c>
      <c r="J439" s="157" t="e">
        <f>Z185/1000</f>
        <v>#REF!</v>
      </c>
      <c r="K439" s="157" t="e">
        <f>AA185</f>
        <v>#REF!</v>
      </c>
      <c r="L439" s="157" t="e">
        <f t="shared" ref="L439:Y439" si="253">AB185</f>
        <v>#REF!</v>
      </c>
      <c r="M439" s="157" t="e">
        <f t="shared" si="253"/>
        <v>#REF!</v>
      </c>
      <c r="N439" s="157" t="e">
        <f t="shared" si="253"/>
        <v>#REF!</v>
      </c>
      <c r="O439" s="157" t="e">
        <f t="shared" si="253"/>
        <v>#REF!</v>
      </c>
      <c r="P439" s="157" t="e">
        <f t="shared" si="253"/>
        <v>#REF!</v>
      </c>
      <c r="Q439" s="157" t="e">
        <f t="shared" si="253"/>
        <v>#REF!</v>
      </c>
      <c r="R439" s="157" t="e">
        <f t="shared" si="253"/>
        <v>#REF!</v>
      </c>
      <c r="S439" s="157" t="e">
        <f t="shared" si="253"/>
        <v>#REF!</v>
      </c>
      <c r="T439" s="157" t="e">
        <f t="shared" si="253"/>
        <v>#REF!</v>
      </c>
      <c r="U439" s="157" t="e">
        <f t="shared" si="253"/>
        <v>#REF!</v>
      </c>
      <c r="V439" s="157" t="e">
        <f t="shared" si="253"/>
        <v>#REF!</v>
      </c>
      <c r="W439" s="157" t="e">
        <f t="shared" si="253"/>
        <v>#REF!</v>
      </c>
      <c r="X439" s="157" t="e">
        <f t="shared" si="253"/>
        <v>#REF!</v>
      </c>
      <c r="Y439" s="157" t="e">
        <f t="shared" si="253"/>
        <v>#REF!</v>
      </c>
    </row>
    <row r="440" spans="1:25">
      <c r="C440" t="s">
        <v>497</v>
      </c>
      <c r="J440" s="157" t="e">
        <f>J333-J439</f>
        <v>#REF!</v>
      </c>
      <c r="K440" s="157" t="e">
        <f>K333-K439</f>
        <v>#REF!</v>
      </c>
      <c r="L440" s="157" t="e">
        <f t="shared" ref="L440:Y440" si="254">L333-L439</f>
        <v>#REF!</v>
      </c>
      <c r="M440" s="157" t="e">
        <f t="shared" si="254"/>
        <v>#REF!</v>
      </c>
      <c r="N440" s="157" t="e">
        <f t="shared" si="254"/>
        <v>#REF!</v>
      </c>
      <c r="O440" s="157" t="e">
        <f t="shared" si="254"/>
        <v>#REF!</v>
      </c>
      <c r="P440" s="157" t="e">
        <f t="shared" si="254"/>
        <v>#REF!</v>
      </c>
      <c r="Q440" s="157" t="e">
        <f t="shared" si="254"/>
        <v>#REF!</v>
      </c>
      <c r="R440" s="157" t="e">
        <f t="shared" si="254"/>
        <v>#REF!</v>
      </c>
      <c r="S440" s="157" t="e">
        <f t="shared" si="254"/>
        <v>#REF!</v>
      </c>
      <c r="T440" s="157" t="e">
        <f t="shared" si="254"/>
        <v>#REF!</v>
      </c>
      <c r="U440" s="157" t="e">
        <f t="shared" si="254"/>
        <v>#REF!</v>
      </c>
      <c r="V440" s="157" t="e">
        <f t="shared" si="254"/>
        <v>#REF!</v>
      </c>
      <c r="W440" s="157" t="e">
        <f t="shared" si="254"/>
        <v>#REF!</v>
      </c>
      <c r="X440" s="157" t="e">
        <f t="shared" si="254"/>
        <v>#REF!</v>
      </c>
      <c r="Y440" s="157" t="e">
        <f t="shared" si="254"/>
        <v>#REF!</v>
      </c>
    </row>
    <row r="441" spans="1:25">
      <c r="C441" t="s">
        <v>483</v>
      </c>
      <c r="J441" s="157" t="e">
        <f>Z183/$G184/1000</f>
        <v>#REF!</v>
      </c>
      <c r="K441" s="157" t="e">
        <f>AA183/$G184</f>
        <v>#REF!</v>
      </c>
      <c r="L441" s="157" t="e">
        <f t="shared" ref="L441:Y441" si="255">AB183/$G184</f>
        <v>#REF!</v>
      </c>
      <c r="M441" s="157" t="e">
        <f t="shared" si="255"/>
        <v>#REF!</v>
      </c>
      <c r="N441" s="157" t="e">
        <f t="shared" si="255"/>
        <v>#REF!</v>
      </c>
      <c r="O441" s="157" t="e">
        <f t="shared" si="255"/>
        <v>#REF!</v>
      </c>
      <c r="P441" s="157" t="e">
        <f t="shared" si="255"/>
        <v>#REF!</v>
      </c>
      <c r="Q441" s="157" t="e">
        <f t="shared" si="255"/>
        <v>#REF!</v>
      </c>
      <c r="R441" s="157" t="e">
        <f t="shared" si="255"/>
        <v>#REF!</v>
      </c>
      <c r="S441" s="157" t="e">
        <f t="shared" si="255"/>
        <v>#REF!</v>
      </c>
      <c r="T441" s="157" t="e">
        <f t="shared" si="255"/>
        <v>#REF!</v>
      </c>
      <c r="U441" s="157" t="e">
        <f t="shared" si="255"/>
        <v>#REF!</v>
      </c>
      <c r="V441" s="157" t="e">
        <f t="shared" si="255"/>
        <v>#REF!</v>
      </c>
      <c r="W441" s="157" t="e">
        <f t="shared" si="255"/>
        <v>#REF!</v>
      </c>
      <c r="X441" s="157" t="e">
        <f t="shared" si="255"/>
        <v>#REF!</v>
      </c>
      <c r="Y441" s="157" t="e">
        <f t="shared" si="255"/>
        <v>#REF!</v>
      </c>
    </row>
    <row r="442" spans="1:25">
      <c r="C442" t="s">
        <v>484</v>
      </c>
      <c r="J442" s="157" t="e">
        <f>Z179/$G184/1000</f>
        <v>#REF!</v>
      </c>
      <c r="K442" s="157" t="e">
        <f>AA179/$G184</f>
        <v>#REF!</v>
      </c>
      <c r="L442" s="157" t="e">
        <f t="shared" ref="L442:Y442" si="256">AB179/$G184</f>
        <v>#REF!</v>
      </c>
      <c r="M442" s="157" t="e">
        <f t="shared" si="256"/>
        <v>#REF!</v>
      </c>
      <c r="N442" s="157" t="e">
        <f t="shared" si="256"/>
        <v>#REF!</v>
      </c>
      <c r="O442" s="157" t="e">
        <f t="shared" si="256"/>
        <v>#REF!</v>
      </c>
      <c r="P442" s="157" t="e">
        <f t="shared" si="256"/>
        <v>#REF!</v>
      </c>
      <c r="Q442" s="157" t="e">
        <f t="shared" si="256"/>
        <v>#REF!</v>
      </c>
      <c r="R442" s="157" t="e">
        <f t="shared" si="256"/>
        <v>#REF!</v>
      </c>
      <c r="S442" s="157" t="e">
        <f t="shared" si="256"/>
        <v>#REF!</v>
      </c>
      <c r="T442" s="157" t="e">
        <f t="shared" si="256"/>
        <v>#REF!</v>
      </c>
      <c r="U442" s="157" t="e">
        <f t="shared" si="256"/>
        <v>#REF!</v>
      </c>
      <c r="V442" s="157" t="e">
        <f t="shared" si="256"/>
        <v>#REF!</v>
      </c>
      <c r="W442" s="157" t="e">
        <f t="shared" si="256"/>
        <v>#REF!</v>
      </c>
      <c r="X442" s="157" t="e">
        <f t="shared" si="256"/>
        <v>#REF!</v>
      </c>
      <c r="Y442" s="157" t="e">
        <f t="shared" si="256"/>
        <v>#REF!</v>
      </c>
    </row>
    <row r="443" spans="1:25">
      <c r="C443" t="s">
        <v>529</v>
      </c>
      <c r="J443" s="157" t="e">
        <f>Z180/$G184/1000</f>
        <v>#REF!</v>
      </c>
      <c r="K443" s="157" t="e">
        <f>AA180/$G184</f>
        <v>#REF!</v>
      </c>
      <c r="L443" s="157" t="e">
        <f t="shared" ref="L443:Y443" si="257">AB180/$G184</f>
        <v>#REF!</v>
      </c>
      <c r="M443" s="157" t="e">
        <f t="shared" si="257"/>
        <v>#REF!</v>
      </c>
      <c r="N443" s="157" t="e">
        <f t="shared" si="257"/>
        <v>#REF!</v>
      </c>
      <c r="O443" s="157" t="e">
        <f t="shared" si="257"/>
        <v>#REF!</v>
      </c>
      <c r="P443" s="157" t="e">
        <f t="shared" si="257"/>
        <v>#REF!</v>
      </c>
      <c r="Q443" s="157" t="e">
        <f t="shared" si="257"/>
        <v>#REF!</v>
      </c>
      <c r="R443" s="157" t="e">
        <f t="shared" si="257"/>
        <v>#REF!</v>
      </c>
      <c r="S443" s="157" t="e">
        <f t="shared" si="257"/>
        <v>#REF!</v>
      </c>
      <c r="T443" s="157" t="e">
        <f t="shared" si="257"/>
        <v>#REF!</v>
      </c>
      <c r="U443" s="157" t="e">
        <f t="shared" si="257"/>
        <v>#REF!</v>
      </c>
      <c r="V443" s="157" t="e">
        <f t="shared" si="257"/>
        <v>#REF!</v>
      </c>
      <c r="W443" s="157" t="e">
        <f t="shared" si="257"/>
        <v>#REF!</v>
      </c>
      <c r="X443" s="157" t="e">
        <f t="shared" si="257"/>
        <v>#REF!</v>
      </c>
      <c r="Y443" s="157" t="e">
        <f t="shared" si="257"/>
        <v>#REF!</v>
      </c>
    </row>
    <row r="444" spans="1:25">
      <c r="C444" t="s">
        <v>530</v>
      </c>
      <c r="J444" s="157" t="e">
        <f>Z181/$G184/1000</f>
        <v>#REF!</v>
      </c>
      <c r="K444" s="157" t="e">
        <f>AA181/$G184</f>
        <v>#REF!</v>
      </c>
      <c r="L444" s="157" t="e">
        <f t="shared" ref="L444:Y444" si="258">AB181/$G184</f>
        <v>#REF!</v>
      </c>
      <c r="M444" s="157" t="e">
        <f t="shared" si="258"/>
        <v>#REF!</v>
      </c>
      <c r="N444" s="157" t="e">
        <f t="shared" si="258"/>
        <v>#REF!</v>
      </c>
      <c r="O444" s="157" t="e">
        <f t="shared" si="258"/>
        <v>#REF!</v>
      </c>
      <c r="P444" s="157" t="e">
        <f t="shared" si="258"/>
        <v>#REF!</v>
      </c>
      <c r="Q444" s="157" t="e">
        <f t="shared" si="258"/>
        <v>#REF!</v>
      </c>
      <c r="R444" s="157" t="e">
        <f t="shared" si="258"/>
        <v>#REF!</v>
      </c>
      <c r="S444" s="157" t="e">
        <f t="shared" si="258"/>
        <v>#REF!</v>
      </c>
      <c r="T444" s="157" t="e">
        <f t="shared" si="258"/>
        <v>#REF!</v>
      </c>
      <c r="U444" s="157" t="e">
        <f t="shared" si="258"/>
        <v>#REF!</v>
      </c>
      <c r="V444" s="157" t="e">
        <f t="shared" si="258"/>
        <v>#REF!</v>
      </c>
      <c r="W444" s="157" t="e">
        <f t="shared" si="258"/>
        <v>#REF!</v>
      </c>
      <c r="X444" s="157" t="e">
        <f t="shared" si="258"/>
        <v>#REF!</v>
      </c>
      <c r="Y444" s="157" t="e">
        <f t="shared" si="258"/>
        <v>#REF!</v>
      </c>
    </row>
    <row r="445" spans="1:25">
      <c r="C445" t="s">
        <v>485</v>
      </c>
      <c r="J445" s="157" t="e">
        <f>(Z182+Z175+Z176+Z177+Z178)/$G184/1000</f>
        <v>#REF!</v>
      </c>
      <c r="K445" s="157" t="e">
        <f>(AA182+AA175+AA176+AA177+AA178)/$G184</f>
        <v>#REF!</v>
      </c>
      <c r="L445" s="157" t="e">
        <f t="shared" ref="L445:Y445" si="259">(AB182+AB175+AB176+AB177+AB178)/$G184</f>
        <v>#REF!</v>
      </c>
      <c r="M445" s="157" t="e">
        <f t="shared" si="259"/>
        <v>#REF!</v>
      </c>
      <c r="N445" s="157" t="e">
        <f t="shared" si="259"/>
        <v>#REF!</v>
      </c>
      <c r="O445" s="157" t="e">
        <f t="shared" si="259"/>
        <v>#REF!</v>
      </c>
      <c r="P445" s="157" t="e">
        <f t="shared" si="259"/>
        <v>#REF!</v>
      </c>
      <c r="Q445" s="157" t="e">
        <f t="shared" si="259"/>
        <v>#REF!</v>
      </c>
      <c r="R445" s="157" t="e">
        <f t="shared" si="259"/>
        <v>#REF!</v>
      </c>
      <c r="S445" s="157" t="e">
        <f t="shared" si="259"/>
        <v>#REF!</v>
      </c>
      <c r="T445" s="157" t="e">
        <f t="shared" si="259"/>
        <v>#REF!</v>
      </c>
      <c r="U445" s="157" t="e">
        <f t="shared" si="259"/>
        <v>#REF!</v>
      </c>
      <c r="V445" s="157" t="e">
        <f t="shared" si="259"/>
        <v>#REF!</v>
      </c>
      <c r="W445" s="157" t="e">
        <f t="shared" si="259"/>
        <v>#REF!</v>
      </c>
      <c r="X445" s="157" t="e">
        <f t="shared" si="259"/>
        <v>#REF!</v>
      </c>
      <c r="Y445" s="157" t="e">
        <f t="shared" si="259"/>
        <v>#REF!</v>
      </c>
    </row>
    <row r="446" spans="1:25">
      <c r="B446" t="s">
        <v>422</v>
      </c>
      <c r="C446" t="s">
        <v>481</v>
      </c>
      <c r="J446" s="157" t="e">
        <f>Z174/1000</f>
        <v>#REF!</v>
      </c>
      <c r="K446" s="157" t="e">
        <f>AA174</f>
        <v>#REF!</v>
      </c>
      <c r="L446" s="157" t="e">
        <f t="shared" ref="L446:Y446" si="260">AB174</f>
        <v>#REF!</v>
      </c>
      <c r="M446" s="157" t="e">
        <f t="shared" si="260"/>
        <v>#REF!</v>
      </c>
      <c r="N446" s="157" t="e">
        <f t="shared" si="260"/>
        <v>#REF!</v>
      </c>
      <c r="O446" s="157" t="e">
        <f t="shared" si="260"/>
        <v>#REF!</v>
      </c>
      <c r="P446" s="157" t="e">
        <f t="shared" si="260"/>
        <v>#REF!</v>
      </c>
      <c r="Q446" s="157" t="e">
        <f t="shared" si="260"/>
        <v>#REF!</v>
      </c>
      <c r="R446" s="157" t="e">
        <f t="shared" si="260"/>
        <v>#REF!</v>
      </c>
      <c r="S446" s="157" t="e">
        <f t="shared" si="260"/>
        <v>#REF!</v>
      </c>
      <c r="T446" s="157" t="e">
        <f t="shared" si="260"/>
        <v>#REF!</v>
      </c>
      <c r="U446" s="157" t="e">
        <f t="shared" si="260"/>
        <v>#REF!</v>
      </c>
      <c r="V446" s="157" t="e">
        <f t="shared" si="260"/>
        <v>#REF!</v>
      </c>
      <c r="W446" s="157" t="e">
        <f t="shared" si="260"/>
        <v>#REF!</v>
      </c>
      <c r="X446" s="157" t="e">
        <f t="shared" si="260"/>
        <v>#REF!</v>
      </c>
      <c r="Y446" s="157" t="e">
        <f t="shared" si="260"/>
        <v>#REF!</v>
      </c>
    </row>
    <row r="447" spans="1:25">
      <c r="C447" t="s">
        <v>497</v>
      </c>
      <c r="J447" s="157" t="e">
        <f>J337-J446</f>
        <v>#REF!</v>
      </c>
      <c r="K447" s="157" t="e">
        <f t="shared" ref="K447:Y447" si="261">K337-K446</f>
        <v>#REF!</v>
      </c>
      <c r="L447" s="157" t="e">
        <f t="shared" si="261"/>
        <v>#REF!</v>
      </c>
      <c r="M447" s="157" t="e">
        <f t="shared" si="261"/>
        <v>#REF!</v>
      </c>
      <c r="N447" s="157" t="e">
        <f t="shared" si="261"/>
        <v>#REF!</v>
      </c>
      <c r="O447" s="157" t="e">
        <f t="shared" si="261"/>
        <v>#REF!</v>
      </c>
      <c r="P447" s="157" t="e">
        <f t="shared" si="261"/>
        <v>#REF!</v>
      </c>
      <c r="Q447" s="157" t="e">
        <f t="shared" si="261"/>
        <v>#REF!</v>
      </c>
      <c r="R447" s="157" t="e">
        <f t="shared" si="261"/>
        <v>#REF!</v>
      </c>
      <c r="S447" s="157" t="e">
        <f t="shared" si="261"/>
        <v>#REF!</v>
      </c>
      <c r="T447" s="157" t="e">
        <f t="shared" si="261"/>
        <v>#REF!</v>
      </c>
      <c r="U447" s="157" t="e">
        <f t="shared" si="261"/>
        <v>#REF!</v>
      </c>
      <c r="V447" s="157" t="e">
        <f t="shared" si="261"/>
        <v>#REF!</v>
      </c>
      <c r="W447" s="157" t="e">
        <f t="shared" si="261"/>
        <v>#REF!</v>
      </c>
      <c r="X447" s="157" t="e">
        <f t="shared" si="261"/>
        <v>#REF!</v>
      </c>
      <c r="Y447" s="157" t="e">
        <f t="shared" si="261"/>
        <v>#REF!</v>
      </c>
    </row>
    <row r="448" spans="1:25">
      <c r="C448" t="s">
        <v>487</v>
      </c>
      <c r="J448" s="157" t="e">
        <f>(Z144/$G142*($G156+$G158+$G164)+Z163+Z168+Z171)/$G173/1000</f>
        <v>#REF!</v>
      </c>
      <c r="K448" s="157" t="e">
        <f>(AA144/$G142*($G156+$G158+$G164)+AA163+AA168+AA171)/$G173</f>
        <v>#REF!</v>
      </c>
      <c r="L448" s="157" t="e">
        <f t="shared" ref="L448:Y448" si="262">(AB144/$G142*($G156+$G158+$G164)+AB163+AB168+AB171)/$G173</f>
        <v>#REF!</v>
      </c>
      <c r="M448" s="157" t="e">
        <f t="shared" si="262"/>
        <v>#REF!</v>
      </c>
      <c r="N448" s="157" t="e">
        <f t="shared" si="262"/>
        <v>#REF!</v>
      </c>
      <c r="O448" s="157" t="e">
        <f t="shared" si="262"/>
        <v>#REF!</v>
      </c>
      <c r="P448" s="157" t="e">
        <f t="shared" si="262"/>
        <v>#REF!</v>
      </c>
      <c r="Q448" s="157" t="e">
        <f t="shared" si="262"/>
        <v>#REF!</v>
      </c>
      <c r="R448" s="157" t="e">
        <f t="shared" si="262"/>
        <v>#REF!</v>
      </c>
      <c r="S448" s="157" t="e">
        <f t="shared" si="262"/>
        <v>#REF!</v>
      </c>
      <c r="T448" s="157" t="e">
        <f t="shared" si="262"/>
        <v>#REF!</v>
      </c>
      <c r="U448" s="157" t="e">
        <f t="shared" si="262"/>
        <v>#REF!</v>
      </c>
      <c r="V448" s="157" t="e">
        <f t="shared" si="262"/>
        <v>#REF!</v>
      </c>
      <c r="W448" s="157" t="e">
        <f t="shared" si="262"/>
        <v>#REF!</v>
      </c>
      <c r="X448" s="157" t="e">
        <f t="shared" si="262"/>
        <v>#REF!</v>
      </c>
      <c r="Y448" s="157" t="e">
        <f t="shared" si="262"/>
        <v>#REF!</v>
      </c>
    </row>
    <row r="449" spans="2:25">
      <c r="C449" t="s">
        <v>488</v>
      </c>
      <c r="J449" s="157" t="e">
        <f>(Z143/$G143*($G156+$G158)+Z157+Z159+Z160+Z161+Z162)/$G173/1000</f>
        <v>#REF!</v>
      </c>
      <c r="K449" s="157" t="e">
        <f>(AA143/$G143*($G156+$G158)+AA157+AA159+AA160+AA161+AA162)/$G173</f>
        <v>#REF!</v>
      </c>
      <c r="L449" s="157" t="e">
        <f t="shared" ref="L449:Y449" si="263">(AB143/$G143*($G156+$G158)+AB157+AB159+AB160+AB161+AB162)/$G173</f>
        <v>#REF!</v>
      </c>
      <c r="M449" s="157" t="e">
        <f t="shared" si="263"/>
        <v>#REF!</v>
      </c>
      <c r="N449" s="157" t="e">
        <f t="shared" si="263"/>
        <v>#REF!</v>
      </c>
      <c r="O449" s="157" t="e">
        <f t="shared" si="263"/>
        <v>#REF!</v>
      </c>
      <c r="P449" s="157" t="e">
        <f t="shared" si="263"/>
        <v>#REF!</v>
      </c>
      <c r="Q449" s="157" t="e">
        <f t="shared" si="263"/>
        <v>#REF!</v>
      </c>
      <c r="R449" s="157" t="e">
        <f t="shared" si="263"/>
        <v>#REF!</v>
      </c>
      <c r="S449" s="157" t="e">
        <f t="shared" si="263"/>
        <v>#REF!</v>
      </c>
      <c r="T449" s="157" t="e">
        <f t="shared" si="263"/>
        <v>#REF!</v>
      </c>
      <c r="U449" s="157" t="e">
        <f t="shared" si="263"/>
        <v>#REF!</v>
      </c>
      <c r="V449" s="157" t="e">
        <f t="shared" si="263"/>
        <v>#REF!</v>
      </c>
      <c r="W449" s="157" t="e">
        <f t="shared" si="263"/>
        <v>#REF!</v>
      </c>
      <c r="X449" s="157" t="e">
        <f t="shared" si="263"/>
        <v>#REF!</v>
      </c>
      <c r="Y449" s="157" t="e">
        <f t="shared" si="263"/>
        <v>#REF!</v>
      </c>
    </row>
    <row r="450" spans="2:25">
      <c r="C450" t="s">
        <v>531</v>
      </c>
      <c r="I450" s="157"/>
      <c r="J450" s="157" t="e">
        <f>(Z157+Z143/$G143*$G156)/$G173/1000</f>
        <v>#REF!</v>
      </c>
      <c r="K450" s="157" t="e">
        <f>(AA157+AA143/$G143*$G156)/$G173</f>
        <v>#REF!</v>
      </c>
      <c r="L450" s="157" t="e">
        <f t="shared" ref="L450:Y450" si="264">(AB157+AB143/$G143*$G156)/$G173</f>
        <v>#REF!</v>
      </c>
      <c r="M450" s="157" t="e">
        <f t="shared" si="264"/>
        <v>#REF!</v>
      </c>
      <c r="N450" s="157" t="e">
        <f t="shared" si="264"/>
        <v>#REF!</v>
      </c>
      <c r="O450" s="157" t="e">
        <f t="shared" si="264"/>
        <v>#REF!</v>
      </c>
      <c r="P450" s="157" t="e">
        <f t="shared" si="264"/>
        <v>#REF!</v>
      </c>
      <c r="Q450" s="157" t="e">
        <f t="shared" si="264"/>
        <v>#REF!</v>
      </c>
      <c r="R450" s="157" t="e">
        <f t="shared" si="264"/>
        <v>#REF!</v>
      </c>
      <c r="S450" s="157" t="e">
        <f t="shared" si="264"/>
        <v>#REF!</v>
      </c>
      <c r="T450" s="157" t="e">
        <f t="shared" si="264"/>
        <v>#REF!</v>
      </c>
      <c r="U450" s="157" t="e">
        <f t="shared" si="264"/>
        <v>#REF!</v>
      </c>
      <c r="V450" s="157" t="e">
        <f t="shared" si="264"/>
        <v>#REF!</v>
      </c>
      <c r="W450" s="157" t="e">
        <f t="shared" si="264"/>
        <v>#REF!</v>
      </c>
      <c r="X450" s="157" t="e">
        <f t="shared" si="264"/>
        <v>#REF!</v>
      </c>
      <c r="Y450" s="157" t="e">
        <f t="shared" si="264"/>
        <v>#REF!</v>
      </c>
    </row>
    <row r="451" spans="2:25">
      <c r="C451" t="s">
        <v>532</v>
      </c>
      <c r="J451" s="157" t="e">
        <f>(Z159+Z143/$G143*$G158)/$G173/1000</f>
        <v>#REF!</v>
      </c>
      <c r="K451" s="157" t="e">
        <f>(AA159+AA143/$G143*$G158)/$G173</f>
        <v>#REF!</v>
      </c>
      <c r="L451" s="157" t="e">
        <f t="shared" ref="L451:Y451" si="265">(AB159+AB143/$G143*$G158)/$G173</f>
        <v>#REF!</v>
      </c>
      <c r="M451" s="157" t="e">
        <f t="shared" si="265"/>
        <v>#REF!</v>
      </c>
      <c r="N451" s="157" t="e">
        <f t="shared" si="265"/>
        <v>#REF!</v>
      </c>
      <c r="O451" s="157" t="e">
        <f t="shared" si="265"/>
        <v>#REF!</v>
      </c>
      <c r="P451" s="157" t="e">
        <f t="shared" si="265"/>
        <v>#REF!</v>
      </c>
      <c r="Q451" s="157" t="e">
        <f t="shared" si="265"/>
        <v>#REF!</v>
      </c>
      <c r="R451" s="157" t="e">
        <f t="shared" si="265"/>
        <v>#REF!</v>
      </c>
      <c r="S451" s="157" t="e">
        <f t="shared" si="265"/>
        <v>#REF!</v>
      </c>
      <c r="T451" s="157" t="e">
        <f t="shared" si="265"/>
        <v>#REF!</v>
      </c>
      <c r="U451" s="157" t="e">
        <f t="shared" si="265"/>
        <v>#REF!</v>
      </c>
      <c r="V451" s="157" t="e">
        <f t="shared" si="265"/>
        <v>#REF!</v>
      </c>
      <c r="W451" s="157" t="e">
        <f t="shared" si="265"/>
        <v>#REF!</v>
      </c>
      <c r="X451" s="157" t="e">
        <f t="shared" si="265"/>
        <v>#REF!</v>
      </c>
      <c r="Y451" s="157" t="e">
        <f t="shared" si="265"/>
        <v>#REF!</v>
      </c>
    </row>
    <row r="452" spans="2:25">
      <c r="C452" t="s">
        <v>533</v>
      </c>
      <c r="H452" s="157"/>
      <c r="J452" s="157" t="e">
        <f>(Z160+Z161)/$G173/1000</f>
        <v>#REF!</v>
      </c>
      <c r="K452" s="157" t="e">
        <f>(AA160+AA161)/$G173</f>
        <v>#REF!</v>
      </c>
      <c r="L452" s="157" t="e">
        <f t="shared" ref="L452:Y452" si="266">(AB160+AB161)/$G173</f>
        <v>#REF!</v>
      </c>
      <c r="M452" s="157" t="e">
        <f t="shared" si="266"/>
        <v>#REF!</v>
      </c>
      <c r="N452" s="157" t="e">
        <f t="shared" si="266"/>
        <v>#REF!</v>
      </c>
      <c r="O452" s="157" t="e">
        <f t="shared" si="266"/>
        <v>#REF!</v>
      </c>
      <c r="P452" s="157" t="e">
        <f t="shared" si="266"/>
        <v>#REF!</v>
      </c>
      <c r="Q452" s="157" t="e">
        <f t="shared" si="266"/>
        <v>#REF!</v>
      </c>
      <c r="R452" s="157" t="e">
        <f t="shared" si="266"/>
        <v>#REF!</v>
      </c>
      <c r="S452" s="157" t="e">
        <f t="shared" si="266"/>
        <v>#REF!</v>
      </c>
      <c r="T452" s="157" t="e">
        <f t="shared" si="266"/>
        <v>#REF!</v>
      </c>
      <c r="U452" s="157" t="e">
        <f t="shared" si="266"/>
        <v>#REF!</v>
      </c>
      <c r="V452" s="157" t="e">
        <f t="shared" si="266"/>
        <v>#REF!</v>
      </c>
      <c r="W452" s="157" t="e">
        <f t="shared" si="266"/>
        <v>#REF!</v>
      </c>
      <c r="X452" s="157" t="e">
        <f t="shared" si="266"/>
        <v>#REF!</v>
      </c>
      <c r="Y452" s="157" t="e">
        <f t="shared" si="266"/>
        <v>#REF!</v>
      </c>
    </row>
    <row r="453" spans="2:25">
      <c r="C453" t="s">
        <v>534</v>
      </c>
      <c r="J453" s="157" t="e">
        <f>Z162/$G173/1000</f>
        <v>#REF!</v>
      </c>
      <c r="K453" s="157" t="e">
        <f>AA162/$G173</f>
        <v>#REF!</v>
      </c>
      <c r="L453" s="157" t="e">
        <f t="shared" ref="L453:Y453" si="267">AB162/$G173</f>
        <v>#REF!</v>
      </c>
      <c r="M453" s="157" t="e">
        <f t="shared" si="267"/>
        <v>#REF!</v>
      </c>
      <c r="N453" s="157" t="e">
        <f t="shared" si="267"/>
        <v>#REF!</v>
      </c>
      <c r="O453" s="157" t="e">
        <f t="shared" si="267"/>
        <v>#REF!</v>
      </c>
      <c r="P453" s="157" t="e">
        <f t="shared" si="267"/>
        <v>#REF!</v>
      </c>
      <c r="Q453" s="157" t="e">
        <f t="shared" si="267"/>
        <v>#REF!</v>
      </c>
      <c r="R453" s="157" t="e">
        <f t="shared" si="267"/>
        <v>#REF!</v>
      </c>
      <c r="S453" s="157" t="e">
        <f t="shared" si="267"/>
        <v>#REF!</v>
      </c>
      <c r="T453" s="157" t="e">
        <f t="shared" si="267"/>
        <v>#REF!</v>
      </c>
      <c r="U453" s="157" t="e">
        <f t="shared" si="267"/>
        <v>#REF!</v>
      </c>
      <c r="V453" s="157" t="e">
        <f t="shared" si="267"/>
        <v>#REF!</v>
      </c>
      <c r="W453" s="157" t="e">
        <f t="shared" si="267"/>
        <v>#REF!</v>
      </c>
      <c r="X453" s="157" t="e">
        <f t="shared" si="267"/>
        <v>#REF!</v>
      </c>
      <c r="Y453" s="157" t="e">
        <f t="shared" si="267"/>
        <v>#REF!</v>
      </c>
    </row>
    <row r="454" spans="2:25">
      <c r="C454" t="s">
        <v>489</v>
      </c>
      <c r="J454" s="157" t="e">
        <f>(Z143/$G143*$G164+Z165+Z166+Z167+Z169+Z170+Z172)/$G173/1000</f>
        <v>#REF!</v>
      </c>
      <c r="K454" s="157" t="e">
        <f>(AA143/$G143*$G164+AA165+AA166+AA167+AA169+AA170+AA172)/$G173</f>
        <v>#REF!</v>
      </c>
      <c r="L454" s="157" t="e">
        <f t="shared" ref="L454:Y454" si="268">(AB143/$G143*$G164+AB165+AB166+AB167+AB169+AB170+AB172)/$G173</f>
        <v>#REF!</v>
      </c>
      <c r="M454" s="157" t="e">
        <f t="shared" si="268"/>
        <v>#REF!</v>
      </c>
      <c r="N454" s="157" t="e">
        <f t="shared" si="268"/>
        <v>#REF!</v>
      </c>
      <c r="O454" s="157" t="e">
        <f t="shared" si="268"/>
        <v>#REF!</v>
      </c>
      <c r="P454" s="157" t="e">
        <f t="shared" si="268"/>
        <v>#REF!</v>
      </c>
      <c r="Q454" s="157" t="e">
        <f t="shared" si="268"/>
        <v>#REF!</v>
      </c>
      <c r="R454" s="157" t="e">
        <f t="shared" si="268"/>
        <v>#REF!</v>
      </c>
      <c r="S454" s="157" t="e">
        <f t="shared" si="268"/>
        <v>#REF!</v>
      </c>
      <c r="T454" s="157" t="e">
        <f t="shared" si="268"/>
        <v>#REF!</v>
      </c>
      <c r="U454" s="157" t="e">
        <f t="shared" si="268"/>
        <v>#REF!</v>
      </c>
      <c r="V454" s="157" t="e">
        <f t="shared" si="268"/>
        <v>#REF!</v>
      </c>
      <c r="W454" s="157" t="e">
        <f t="shared" si="268"/>
        <v>#REF!</v>
      </c>
      <c r="X454" s="157" t="e">
        <f t="shared" si="268"/>
        <v>#REF!</v>
      </c>
      <c r="Y454" s="157" t="e">
        <f t="shared" si="268"/>
        <v>#REF!</v>
      </c>
    </row>
    <row r="455" spans="2:25">
      <c r="C455" t="s">
        <v>535</v>
      </c>
      <c r="J455" s="157" t="e">
        <f>(Z165+Z143/$G143*$G164)/$G173/1000</f>
        <v>#REF!</v>
      </c>
      <c r="K455" s="157" t="e">
        <f>(AA165+AA143/$G143*$G164)/$G173</f>
        <v>#REF!</v>
      </c>
      <c r="L455" s="157" t="e">
        <f t="shared" ref="L455:Y455" si="269">(AB165+AB143/$G143*$G164)/$G173</f>
        <v>#REF!</v>
      </c>
      <c r="M455" s="157" t="e">
        <f t="shared" si="269"/>
        <v>#REF!</v>
      </c>
      <c r="N455" s="157" t="e">
        <f t="shared" si="269"/>
        <v>#REF!</v>
      </c>
      <c r="O455" s="157" t="e">
        <f t="shared" si="269"/>
        <v>#REF!</v>
      </c>
      <c r="P455" s="157" t="e">
        <f t="shared" si="269"/>
        <v>#REF!</v>
      </c>
      <c r="Q455" s="157" t="e">
        <f t="shared" si="269"/>
        <v>#REF!</v>
      </c>
      <c r="R455" s="157" t="e">
        <f t="shared" si="269"/>
        <v>#REF!</v>
      </c>
      <c r="S455" s="157" t="e">
        <f t="shared" si="269"/>
        <v>#REF!</v>
      </c>
      <c r="T455" s="157" t="e">
        <f t="shared" si="269"/>
        <v>#REF!</v>
      </c>
      <c r="U455" s="157" t="e">
        <f t="shared" si="269"/>
        <v>#REF!</v>
      </c>
      <c r="V455" s="157" t="e">
        <f t="shared" si="269"/>
        <v>#REF!</v>
      </c>
      <c r="W455" s="157" t="e">
        <f t="shared" si="269"/>
        <v>#REF!</v>
      </c>
      <c r="X455" s="157" t="e">
        <f t="shared" si="269"/>
        <v>#REF!</v>
      </c>
      <c r="Y455" s="157" t="e">
        <f t="shared" si="269"/>
        <v>#REF!</v>
      </c>
    </row>
    <row r="456" spans="2:25">
      <c r="C456" t="s">
        <v>536</v>
      </c>
      <c r="J456" s="157" t="e">
        <f>Z166/$G173/1000</f>
        <v>#REF!</v>
      </c>
      <c r="K456" s="157" t="e">
        <f>AA166/$G173</f>
        <v>#REF!</v>
      </c>
      <c r="L456" s="157" t="e">
        <f t="shared" ref="L456:Y456" si="270">AB166/$G173</f>
        <v>#REF!</v>
      </c>
      <c r="M456" s="157" t="e">
        <f t="shared" si="270"/>
        <v>#REF!</v>
      </c>
      <c r="N456" s="157" t="e">
        <f t="shared" si="270"/>
        <v>#REF!</v>
      </c>
      <c r="O456" s="157" t="e">
        <f t="shared" si="270"/>
        <v>#REF!</v>
      </c>
      <c r="P456" s="157" t="e">
        <f t="shared" si="270"/>
        <v>#REF!</v>
      </c>
      <c r="Q456" s="157" t="e">
        <f t="shared" si="270"/>
        <v>#REF!</v>
      </c>
      <c r="R456" s="157" t="e">
        <f t="shared" si="270"/>
        <v>#REF!</v>
      </c>
      <c r="S456" s="157" t="e">
        <f t="shared" si="270"/>
        <v>#REF!</v>
      </c>
      <c r="T456" s="157" t="e">
        <f t="shared" si="270"/>
        <v>#REF!</v>
      </c>
      <c r="U456" s="157" t="e">
        <f t="shared" si="270"/>
        <v>#REF!</v>
      </c>
      <c r="V456" s="157" t="e">
        <f t="shared" si="270"/>
        <v>#REF!</v>
      </c>
      <c r="W456" s="157" t="e">
        <f t="shared" si="270"/>
        <v>#REF!</v>
      </c>
      <c r="X456" s="157" t="e">
        <f t="shared" si="270"/>
        <v>#REF!</v>
      </c>
      <c r="Y456" s="157" t="e">
        <f t="shared" si="270"/>
        <v>#REF!</v>
      </c>
    </row>
    <row r="457" spans="2:25">
      <c r="C457" t="s">
        <v>537</v>
      </c>
      <c r="J457" s="157" t="e">
        <f>Z167/$G173/1000</f>
        <v>#REF!</v>
      </c>
      <c r="K457" s="157" t="e">
        <f>AA167/$G173</f>
        <v>#REF!</v>
      </c>
      <c r="L457" s="157" t="e">
        <f t="shared" ref="L457:Y457" si="271">AB167/$G173</f>
        <v>#REF!</v>
      </c>
      <c r="M457" s="157" t="e">
        <f t="shared" si="271"/>
        <v>#REF!</v>
      </c>
      <c r="N457" s="157" t="e">
        <f t="shared" si="271"/>
        <v>#REF!</v>
      </c>
      <c r="O457" s="157" t="e">
        <f t="shared" si="271"/>
        <v>#REF!</v>
      </c>
      <c r="P457" s="157" t="e">
        <f t="shared" si="271"/>
        <v>#REF!</v>
      </c>
      <c r="Q457" s="157" t="e">
        <f t="shared" si="271"/>
        <v>#REF!</v>
      </c>
      <c r="R457" s="157" t="e">
        <f t="shared" si="271"/>
        <v>#REF!</v>
      </c>
      <c r="S457" s="157" t="e">
        <f t="shared" si="271"/>
        <v>#REF!</v>
      </c>
      <c r="T457" s="157" t="e">
        <f t="shared" si="271"/>
        <v>#REF!</v>
      </c>
      <c r="U457" s="157" t="e">
        <f t="shared" si="271"/>
        <v>#REF!</v>
      </c>
      <c r="V457" s="157" t="e">
        <f t="shared" si="271"/>
        <v>#REF!</v>
      </c>
      <c r="W457" s="157" t="e">
        <f t="shared" si="271"/>
        <v>#REF!</v>
      </c>
      <c r="X457" s="157" t="e">
        <f t="shared" si="271"/>
        <v>#REF!</v>
      </c>
      <c r="Y457" s="157" t="e">
        <f t="shared" si="271"/>
        <v>#REF!</v>
      </c>
    </row>
    <row r="458" spans="2:25">
      <c r="C458" t="s">
        <v>538</v>
      </c>
      <c r="J458" s="157" t="e">
        <f>(Z169+Z170)/$G173/1000</f>
        <v>#REF!</v>
      </c>
      <c r="K458" s="157" t="e">
        <f>(AA169+AA170)/$G173</f>
        <v>#REF!</v>
      </c>
      <c r="L458" s="157" t="e">
        <f t="shared" ref="L458:Y458" si="272">(AB169+AB170)/$G173</f>
        <v>#REF!</v>
      </c>
      <c r="M458" s="157" t="e">
        <f t="shared" si="272"/>
        <v>#REF!</v>
      </c>
      <c r="N458" s="157" t="e">
        <f t="shared" si="272"/>
        <v>#REF!</v>
      </c>
      <c r="O458" s="157" t="e">
        <f t="shared" si="272"/>
        <v>#REF!</v>
      </c>
      <c r="P458" s="157" t="e">
        <f t="shared" si="272"/>
        <v>#REF!</v>
      </c>
      <c r="Q458" s="157" t="e">
        <f t="shared" si="272"/>
        <v>#REF!</v>
      </c>
      <c r="R458" s="157" t="e">
        <f t="shared" si="272"/>
        <v>#REF!</v>
      </c>
      <c r="S458" s="157" t="e">
        <f t="shared" si="272"/>
        <v>#REF!</v>
      </c>
      <c r="T458" s="157" t="e">
        <f t="shared" si="272"/>
        <v>#REF!</v>
      </c>
      <c r="U458" s="157" t="e">
        <f t="shared" si="272"/>
        <v>#REF!</v>
      </c>
      <c r="V458" s="157" t="e">
        <f t="shared" si="272"/>
        <v>#REF!</v>
      </c>
      <c r="W458" s="157" t="e">
        <f t="shared" si="272"/>
        <v>#REF!</v>
      </c>
      <c r="X458" s="157" t="e">
        <f t="shared" si="272"/>
        <v>#REF!</v>
      </c>
      <c r="Y458" s="157" t="e">
        <f t="shared" si="272"/>
        <v>#REF!</v>
      </c>
    </row>
    <row r="459" spans="2:25">
      <c r="C459" t="s">
        <v>539</v>
      </c>
      <c r="J459" s="157" t="e">
        <f>Z172/$G173/1000</f>
        <v>#REF!</v>
      </c>
      <c r="K459" s="157" t="e">
        <f>AA172/$G173</f>
        <v>#REF!</v>
      </c>
      <c r="L459" s="157" t="e">
        <f t="shared" ref="L459:Y459" si="273">AB172/$G173</f>
        <v>#REF!</v>
      </c>
      <c r="M459" s="157" t="e">
        <f t="shared" si="273"/>
        <v>#REF!</v>
      </c>
      <c r="N459" s="157" t="e">
        <f t="shared" si="273"/>
        <v>#REF!</v>
      </c>
      <c r="O459" s="157" t="e">
        <f t="shared" si="273"/>
        <v>#REF!</v>
      </c>
      <c r="P459" s="157" t="e">
        <f t="shared" si="273"/>
        <v>#REF!</v>
      </c>
      <c r="Q459" s="157" t="e">
        <f t="shared" si="273"/>
        <v>#REF!</v>
      </c>
      <c r="R459" s="157" t="e">
        <f t="shared" si="273"/>
        <v>#REF!</v>
      </c>
      <c r="S459" s="157" t="e">
        <f t="shared" si="273"/>
        <v>#REF!</v>
      </c>
      <c r="T459" s="157" t="e">
        <f t="shared" si="273"/>
        <v>#REF!</v>
      </c>
      <c r="U459" s="157" t="e">
        <f t="shared" si="273"/>
        <v>#REF!</v>
      </c>
      <c r="V459" s="157" t="e">
        <f t="shared" si="273"/>
        <v>#REF!</v>
      </c>
      <c r="W459" s="157" t="e">
        <f t="shared" si="273"/>
        <v>#REF!</v>
      </c>
      <c r="X459" s="157" t="e">
        <f t="shared" si="273"/>
        <v>#REF!</v>
      </c>
      <c r="Y459" s="157" t="e">
        <f t="shared" si="273"/>
        <v>#REF!</v>
      </c>
    </row>
    <row r="460" spans="2:25">
      <c r="B460" t="s">
        <v>423</v>
      </c>
      <c r="C460" t="s">
        <v>486</v>
      </c>
      <c r="J460" s="157" t="e">
        <f>Z193/1000</f>
        <v>#REF!</v>
      </c>
      <c r="K460" s="157" t="e">
        <f>AA193</f>
        <v>#REF!</v>
      </c>
      <c r="L460" s="157" t="e">
        <f t="shared" ref="L460:Y460" si="274">AB193</f>
        <v>#REF!</v>
      </c>
      <c r="M460" s="157" t="e">
        <f t="shared" si="274"/>
        <v>#REF!</v>
      </c>
      <c r="N460" s="157" t="e">
        <f t="shared" si="274"/>
        <v>#REF!</v>
      </c>
      <c r="O460" s="157" t="e">
        <f t="shared" si="274"/>
        <v>#REF!</v>
      </c>
      <c r="P460" s="157" t="e">
        <f t="shared" si="274"/>
        <v>#REF!</v>
      </c>
      <c r="Q460" s="157" t="e">
        <f t="shared" si="274"/>
        <v>#REF!</v>
      </c>
      <c r="R460" s="157" t="e">
        <f t="shared" si="274"/>
        <v>#REF!</v>
      </c>
      <c r="S460" s="157" t="e">
        <f t="shared" si="274"/>
        <v>#REF!</v>
      </c>
      <c r="T460" s="157" t="e">
        <f t="shared" si="274"/>
        <v>#REF!</v>
      </c>
      <c r="U460" s="157" t="e">
        <f t="shared" si="274"/>
        <v>#REF!</v>
      </c>
      <c r="V460" s="157" t="e">
        <f t="shared" si="274"/>
        <v>#REF!</v>
      </c>
      <c r="W460" s="157" t="e">
        <f t="shared" si="274"/>
        <v>#REF!</v>
      </c>
      <c r="X460" s="157" t="e">
        <f t="shared" si="274"/>
        <v>#REF!</v>
      </c>
      <c r="Y460" s="157" t="e">
        <f t="shared" si="274"/>
        <v>#REF!</v>
      </c>
    </row>
    <row r="461" spans="2:25">
      <c r="C461" t="s">
        <v>507</v>
      </c>
      <c r="H461" s="157"/>
      <c r="J461" s="157" t="e">
        <f>J341-J460</f>
        <v>#REF!</v>
      </c>
      <c r="K461" s="157" t="e">
        <f t="shared" ref="K461:Y461" si="275">K341-K460</f>
        <v>#REF!</v>
      </c>
      <c r="L461" s="157" t="e">
        <f t="shared" si="275"/>
        <v>#REF!</v>
      </c>
      <c r="M461" s="157" t="e">
        <f t="shared" si="275"/>
        <v>#REF!</v>
      </c>
      <c r="N461" s="157" t="e">
        <f t="shared" si="275"/>
        <v>#REF!</v>
      </c>
      <c r="O461" s="157" t="e">
        <f t="shared" si="275"/>
        <v>#REF!</v>
      </c>
      <c r="P461" s="157" t="e">
        <f t="shared" si="275"/>
        <v>#REF!</v>
      </c>
      <c r="Q461" s="157" t="e">
        <f t="shared" si="275"/>
        <v>#REF!</v>
      </c>
      <c r="R461" s="157" t="e">
        <f t="shared" si="275"/>
        <v>#REF!</v>
      </c>
      <c r="S461" s="157" t="e">
        <f t="shared" si="275"/>
        <v>#REF!</v>
      </c>
      <c r="T461" s="157" t="e">
        <f t="shared" si="275"/>
        <v>#REF!</v>
      </c>
      <c r="U461" s="157" t="e">
        <f t="shared" si="275"/>
        <v>#REF!</v>
      </c>
      <c r="V461" s="157" t="e">
        <f t="shared" si="275"/>
        <v>#REF!</v>
      </c>
      <c r="W461" s="157" t="e">
        <f t="shared" si="275"/>
        <v>#REF!</v>
      </c>
      <c r="X461" s="157" t="e">
        <f t="shared" si="275"/>
        <v>#REF!</v>
      </c>
      <c r="Y461" s="157" t="e">
        <f t="shared" si="275"/>
        <v>#REF!</v>
      </c>
    </row>
    <row r="462" spans="2:25">
      <c r="C462" t="s">
        <v>496</v>
      </c>
      <c r="J462" s="157" t="e">
        <f>(Z187+Z155/$G151*($G189+$G191))/$E192/1000</f>
        <v>#REF!</v>
      </c>
      <c r="K462" s="157" t="e">
        <f>(AA187+AA155/$G151*($G189+$G191))/$E192</f>
        <v>#REF!</v>
      </c>
      <c r="L462" s="157" t="e">
        <f t="shared" ref="L462:Y462" si="276">(AB187+AB155/$G151*($G189+$G191))/$E192</f>
        <v>#REF!</v>
      </c>
      <c r="M462" s="157" t="e">
        <f t="shared" si="276"/>
        <v>#REF!</v>
      </c>
      <c r="N462" s="157" t="e">
        <f t="shared" si="276"/>
        <v>#REF!</v>
      </c>
      <c r="O462" s="157" t="e">
        <f t="shared" si="276"/>
        <v>#REF!</v>
      </c>
      <c r="P462" s="157" t="e">
        <f t="shared" si="276"/>
        <v>#REF!</v>
      </c>
      <c r="Q462" s="157" t="e">
        <f t="shared" si="276"/>
        <v>#REF!</v>
      </c>
      <c r="R462" s="157" t="e">
        <f t="shared" si="276"/>
        <v>#REF!</v>
      </c>
      <c r="S462" s="157" t="e">
        <f t="shared" si="276"/>
        <v>#REF!</v>
      </c>
      <c r="T462" s="157" t="e">
        <f t="shared" si="276"/>
        <v>#REF!</v>
      </c>
      <c r="U462" s="157" t="e">
        <f t="shared" si="276"/>
        <v>#REF!</v>
      </c>
      <c r="V462" s="157" t="e">
        <f t="shared" si="276"/>
        <v>#REF!</v>
      </c>
      <c r="W462" s="157" t="e">
        <f t="shared" si="276"/>
        <v>#REF!</v>
      </c>
      <c r="X462" s="157" t="e">
        <f t="shared" si="276"/>
        <v>#REF!</v>
      </c>
      <c r="Y462" s="157" t="e">
        <f t="shared" si="276"/>
        <v>#REF!</v>
      </c>
    </row>
    <row r="463" spans="2:25">
      <c r="C463" t="s">
        <v>509</v>
      </c>
      <c r="J463" s="157" t="e">
        <f>(Z190+Z152/$G151*$G191)/$E192/1000</f>
        <v>#REF!</v>
      </c>
      <c r="K463" s="157" t="e">
        <f>(AA190+AA152/$G151*$G191)/$E192</f>
        <v>#REF!</v>
      </c>
      <c r="L463" s="157" t="e">
        <f t="shared" ref="L463:Y463" si="277">(AB190+AB152/$G151*$G191)/$E192</f>
        <v>#REF!</v>
      </c>
      <c r="M463" s="157" t="e">
        <f t="shared" si="277"/>
        <v>#REF!</v>
      </c>
      <c r="N463" s="157" t="e">
        <f t="shared" si="277"/>
        <v>#REF!</v>
      </c>
      <c r="O463" s="157" t="e">
        <f t="shared" si="277"/>
        <v>#REF!</v>
      </c>
      <c r="P463" s="157" t="e">
        <f t="shared" si="277"/>
        <v>#REF!</v>
      </c>
      <c r="Q463" s="157" t="e">
        <f t="shared" si="277"/>
        <v>#REF!</v>
      </c>
      <c r="R463" s="157" t="e">
        <f t="shared" si="277"/>
        <v>#REF!</v>
      </c>
      <c r="S463" s="157" t="e">
        <f t="shared" si="277"/>
        <v>#REF!</v>
      </c>
      <c r="T463" s="157" t="e">
        <f t="shared" si="277"/>
        <v>#REF!</v>
      </c>
      <c r="U463" s="157" t="e">
        <f t="shared" si="277"/>
        <v>#REF!</v>
      </c>
      <c r="V463" s="157" t="e">
        <f t="shared" si="277"/>
        <v>#REF!</v>
      </c>
      <c r="W463" s="157" t="e">
        <f t="shared" si="277"/>
        <v>#REF!</v>
      </c>
      <c r="X463" s="157" t="e">
        <f t="shared" si="277"/>
        <v>#REF!</v>
      </c>
      <c r="Y463" s="157" t="e">
        <f t="shared" si="277"/>
        <v>#REF!</v>
      </c>
    </row>
    <row r="464" spans="2:25">
      <c r="C464" t="s">
        <v>511</v>
      </c>
      <c r="J464" s="157" t="e">
        <f>Z186/$E192/1000</f>
        <v>#REF!</v>
      </c>
      <c r="K464" s="157" t="e">
        <f>AA186/$E192</f>
        <v>#REF!</v>
      </c>
      <c r="L464" s="157" t="e">
        <f t="shared" ref="L464:Y464" si="278">AB186/$E192</f>
        <v>#REF!</v>
      </c>
      <c r="M464" s="157" t="e">
        <f t="shared" si="278"/>
        <v>#REF!</v>
      </c>
      <c r="N464" s="157" t="e">
        <f t="shared" si="278"/>
        <v>#REF!</v>
      </c>
      <c r="O464" s="157" t="e">
        <f t="shared" si="278"/>
        <v>#REF!</v>
      </c>
      <c r="P464" s="157" t="e">
        <f t="shared" si="278"/>
        <v>#REF!</v>
      </c>
      <c r="Q464" s="157" t="e">
        <f t="shared" si="278"/>
        <v>#REF!</v>
      </c>
      <c r="R464" s="157" t="e">
        <f t="shared" si="278"/>
        <v>#REF!</v>
      </c>
      <c r="S464" s="157" t="e">
        <f t="shared" si="278"/>
        <v>#REF!</v>
      </c>
      <c r="T464" s="157" t="e">
        <f t="shared" si="278"/>
        <v>#REF!</v>
      </c>
      <c r="U464" s="157" t="e">
        <f t="shared" si="278"/>
        <v>#REF!</v>
      </c>
      <c r="V464" s="157" t="e">
        <f t="shared" si="278"/>
        <v>#REF!</v>
      </c>
      <c r="W464" s="157" t="e">
        <f t="shared" si="278"/>
        <v>#REF!</v>
      </c>
      <c r="X464" s="157" t="e">
        <f t="shared" si="278"/>
        <v>#REF!</v>
      </c>
      <c r="Y464" s="157" t="e">
        <f t="shared" si="278"/>
        <v>#REF!</v>
      </c>
    </row>
    <row r="465" spans="3:25">
      <c r="C465" t="s">
        <v>512</v>
      </c>
      <c r="J465" s="157" t="e">
        <f>(Z188+Z152/$G151*$G189)/$E192/1000</f>
        <v>#REF!</v>
      </c>
      <c r="K465" s="157" t="e">
        <f>(AA188+AA152/$G151*$G189)/$E192</f>
        <v>#REF!</v>
      </c>
      <c r="L465" s="157" t="e">
        <f t="shared" ref="L465:Y465" si="279">(AB188+AB152/$G151*$G189)/$E192</f>
        <v>#REF!</v>
      </c>
      <c r="M465" s="157" t="e">
        <f t="shared" si="279"/>
        <v>#REF!</v>
      </c>
      <c r="N465" s="157" t="e">
        <f t="shared" si="279"/>
        <v>#REF!</v>
      </c>
      <c r="O465" s="157" t="e">
        <f t="shared" si="279"/>
        <v>#REF!</v>
      </c>
      <c r="P465" s="157" t="e">
        <f t="shared" si="279"/>
        <v>#REF!</v>
      </c>
      <c r="Q465" s="157" t="e">
        <f t="shared" si="279"/>
        <v>#REF!</v>
      </c>
      <c r="R465" s="157" t="e">
        <f t="shared" si="279"/>
        <v>#REF!</v>
      </c>
      <c r="S465" s="157" t="e">
        <f t="shared" si="279"/>
        <v>#REF!</v>
      </c>
      <c r="T465" s="157" t="e">
        <f t="shared" si="279"/>
        <v>#REF!</v>
      </c>
      <c r="U465" s="157" t="e">
        <f t="shared" si="279"/>
        <v>#REF!</v>
      </c>
      <c r="V465" s="157" t="e">
        <f t="shared" si="279"/>
        <v>#REF!</v>
      </c>
      <c r="W465" s="157" t="e">
        <f t="shared" si="279"/>
        <v>#REF!</v>
      </c>
      <c r="X465" s="157" t="e">
        <f t="shared" si="279"/>
        <v>#REF!</v>
      </c>
      <c r="Y465" s="157" t="e">
        <f t="shared" si="279"/>
        <v>#REF!</v>
      </c>
    </row>
  </sheetData>
  <autoFilter ref="A2:C2" xr:uid="{036FF978-9F65-DF4E-8DD5-052552C83961}"/>
  <mergeCells count="7">
    <mergeCell ref="A266:Y266"/>
    <mergeCell ref="A347:Y347"/>
    <mergeCell ref="J1:Y1"/>
    <mergeCell ref="Z1:AO1"/>
    <mergeCell ref="A1:I1"/>
    <mergeCell ref="A198:Y198"/>
    <mergeCell ref="A231:Y231"/>
  </mergeCells>
  <phoneticPr fontId="25" type="noConversion"/>
  <hyperlinks>
    <hyperlink ref="E244" r:id="rId1" xr:uid="{A9D81DA0-3B9A-5D46-A249-CA5FDACD44BA}"/>
    <hyperlink ref="E245:E249" r:id="rId2" display="https://www.bfs.admin.ch/bfs/en/home/statistics/construction-housing/buildings/energy-sector.html" xr:uid="{D83EEA07-2FDA-A249-BF8B-FA0C9C17DC6E}"/>
  </hyperlinks>
  <pageMargins left="0.7" right="0.7" top="0.78740157499999996" bottom="0.78740157499999996" header="0.3" footer="0.3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4D8C4F-3EB9-8D4C-83B1-226DBAD595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energy_data_per_scenario</vt:lpstr>
      <vt:lpstr>Energy_LoI</vt:lpstr>
      <vt:lpstr>Results_energy_scenarios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 Tianci</cp:lastModifiedBy>
  <dcterms:created xsi:type="dcterms:W3CDTF">2024-09-03T13:52:49Z</dcterms:created>
  <dcterms:modified xsi:type="dcterms:W3CDTF">2026-04-29T14:37:54Z</dcterms:modified>
</cp:coreProperties>
</file>