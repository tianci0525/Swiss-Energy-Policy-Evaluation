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ansy\Master thesis\MCDA\"/>
    </mc:Choice>
  </mc:AlternateContent>
  <xr:revisionPtr revIDLastSave="0" documentId="13_ncr:1_{C77088B7-03B0-4245-BE80-1C110E565103}" xr6:coauthVersionLast="47" xr6:coauthVersionMax="47" xr10:uidLastSave="{00000000-0000-0000-0000-000000000000}"/>
  <bookViews>
    <workbookView xWindow="-110" yWindow="-110" windowWidth="25820" windowHeight="13900" activeTab="1" xr2:uid="{00000000-000D-0000-FFFF-FFFF00000000}"/>
  </bookViews>
  <sheets>
    <sheet name="Scenario background" sheetId="1" r:id="rId1"/>
    <sheet name="Relative tech support level" sheetId="3" r:id="rId2"/>
    <sheet name="Policy Evaluation List" sheetId="8" r:id="rId3"/>
    <sheet name="2030-2040" sheetId="4" r:id="rId4"/>
    <sheet name="2040-2050" sheetId="5" r:id="rId5"/>
  </sheets>
  <externalReferences>
    <externalReference r:id="rId6"/>
  </externalReferences>
  <definedNames>
    <definedName name="_xlnm._FilterDatabase" localSheetId="3" hidden="1">'2030-2040'!$A$1:$I$188</definedName>
    <definedName name="_xlnm._FilterDatabase" localSheetId="2" hidden="1">'Policy Evaluation List'!$A$2:$AD$47</definedName>
    <definedName name="_xlnm._FilterDatabase" localSheetId="0" hidden="1">'Scenario background'!$A$1:$G$1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8" i="8" l="1"/>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B4" i="3"/>
  <c r="C4" i="3"/>
  <c r="D4" i="3"/>
  <c r="E4" i="3"/>
  <c r="F4" i="3"/>
  <c r="G4" i="3"/>
  <c r="H4" i="3"/>
  <c r="I4" i="3"/>
  <c r="J4" i="3"/>
  <c r="K4" i="3"/>
  <c r="L4" i="3"/>
  <c r="M4" i="3"/>
  <c r="N4" i="3"/>
  <c r="B5" i="3"/>
  <c r="C5" i="3"/>
  <c r="D5" i="3"/>
  <c r="E5" i="3"/>
  <c r="F5" i="3"/>
  <c r="G5" i="3"/>
  <c r="H5" i="3"/>
  <c r="I5" i="3"/>
  <c r="J5" i="3"/>
  <c r="K5" i="3"/>
  <c r="L5" i="3"/>
  <c r="M5" i="3"/>
  <c r="N5" i="3"/>
  <c r="O4" i="3"/>
  <c r="P4" i="3"/>
  <c r="Q4" i="3"/>
  <c r="R4" i="3"/>
  <c r="O5" i="3"/>
  <c r="P5" i="3"/>
  <c r="Q5" i="3"/>
  <c r="R5" i="3"/>
  <c r="P3" i="3"/>
  <c r="Q3" i="3"/>
  <c r="R3" i="3"/>
  <c r="O3" i="3"/>
  <c r="C3" i="3"/>
  <c r="D3" i="3"/>
  <c r="E3" i="3"/>
  <c r="F3" i="3"/>
  <c r="G3" i="3"/>
  <c r="H3" i="3"/>
  <c r="I3" i="3"/>
  <c r="J3" i="3"/>
  <c r="K3" i="3"/>
  <c r="L3" i="3"/>
  <c r="M3" i="3"/>
  <c r="N3" i="3"/>
  <c r="B3" i="3"/>
  <c r="P16" i="1"/>
  <c r="P17" i="1"/>
  <c r="P18" i="1"/>
  <c r="O16" i="1"/>
  <c r="O17" i="1"/>
  <c r="O18" i="1"/>
  <c r="N16" i="1"/>
  <c r="N17" i="1"/>
  <c r="N18" i="1"/>
  <c r="M16" i="1"/>
  <c r="M17" i="1"/>
  <c r="M18" i="1"/>
  <c r="M15" i="1"/>
  <c r="N15" i="1"/>
  <c r="O15" i="1"/>
  <c r="P15" i="1"/>
  <c r="N14" i="1"/>
  <c r="O14" i="1"/>
  <c r="P14" i="1"/>
  <c r="N13" i="1"/>
  <c r="O13" i="1"/>
  <c r="P13" i="1"/>
  <c r="N12" i="1"/>
  <c r="O12" i="1"/>
  <c r="P12" i="1"/>
  <c r="N11" i="1"/>
  <c r="O11" i="1"/>
  <c r="P11" i="1"/>
  <c r="N10" i="1"/>
  <c r="O10" i="1"/>
  <c r="P10" i="1"/>
  <c r="N9" i="1"/>
  <c r="O9" i="1"/>
  <c r="P9" i="1"/>
  <c r="N8" i="1"/>
  <c r="O8" i="1"/>
  <c r="P8" i="1"/>
  <c r="N7" i="1"/>
  <c r="O7" i="1"/>
  <c r="N6" i="1"/>
  <c r="O6" i="1"/>
  <c r="N5" i="1"/>
  <c r="O5" i="1"/>
  <c r="P5" i="1"/>
  <c r="N4" i="1"/>
  <c r="O4" i="1"/>
  <c r="P4" i="1"/>
  <c r="N3" i="1"/>
  <c r="O3" i="1"/>
  <c r="P3" i="1"/>
  <c r="N2" i="1"/>
  <c r="O2" i="1"/>
  <c r="P2" i="1"/>
  <c r="M2" i="1"/>
  <c r="M14" i="1"/>
  <c r="M13" i="1"/>
  <c r="M12" i="1"/>
  <c r="M11" i="1"/>
  <c r="M10" i="1"/>
  <c r="M9" i="1"/>
  <c r="M8" i="1"/>
  <c r="M6" i="1"/>
  <c r="M7" i="1"/>
  <c r="M5" i="1"/>
  <c r="M4" i="1"/>
  <c r="M3" i="1"/>
  <c r="F7" i="1"/>
  <c r="E7" i="1"/>
  <c r="D7" i="1"/>
  <c r="G7" i="1"/>
  <c r="P7" i="1" s="1"/>
  <c r="F6" i="1"/>
  <c r="E6" i="1"/>
  <c r="D6" i="1"/>
  <c r="G6" i="1"/>
  <c r="P6" i="1" s="1"/>
</calcChain>
</file>

<file path=xl/sharedStrings.xml><?xml version="1.0" encoding="utf-8"?>
<sst xmlns="http://schemas.openxmlformats.org/spreadsheetml/2006/main" count="886" uniqueCount="487">
  <si>
    <t>EP2050+</t>
  </si>
  <si>
    <t>MIX</t>
  </si>
  <si>
    <t>Electricity</t>
  </si>
  <si>
    <t>PV (Roof)</t>
  </si>
  <si>
    <t>Hydro (reservoir)</t>
  </si>
  <si>
    <t>Wind</t>
  </si>
  <si>
    <t>Pumped Hydro</t>
  </si>
  <si>
    <t>CCGT (Ren. Methane)</t>
  </si>
  <si>
    <t>Alpine PV</t>
  </si>
  <si>
    <t xml:space="preserve">Energy production per scenario </t>
  </si>
  <si>
    <t>Unit</t>
  </si>
  <si>
    <t>RE MIX</t>
  </si>
  <si>
    <t>[TWh]</t>
  </si>
  <si>
    <t>Hydro (run of)</t>
  </si>
  <si>
    <t>CCGT (Nat Gas)</t>
  </si>
  <si>
    <t>[Bil. km]</t>
  </si>
  <si>
    <t>Buildings Heat</t>
  </si>
  <si>
    <t>Transport (Heavy)</t>
  </si>
  <si>
    <t>Transport (Light)</t>
  </si>
  <si>
    <t>Industrial Heat (HT Heat)</t>
  </si>
  <si>
    <t>Industrial Heat (MT Heat)</t>
  </si>
  <si>
    <t>Industrial Heat (LT Heat)</t>
  </si>
  <si>
    <t>H2</t>
  </si>
  <si>
    <t>Heat Pump</t>
  </si>
  <si>
    <t>Biomass Boiler</t>
  </si>
  <si>
    <t>Methane Boiler</t>
  </si>
  <si>
    <t>Heavy EV</t>
  </si>
  <si>
    <t>Heavy FCEV</t>
  </si>
  <si>
    <t>Light EV</t>
  </si>
  <si>
    <t>Light FCEV</t>
  </si>
  <si>
    <t>CHP (waste)</t>
  </si>
  <si>
    <t>CHP (methane)</t>
  </si>
  <si>
    <t>Sector</t>
  </si>
  <si>
    <t>REMIX</t>
  </si>
  <si>
    <t>NA</t>
  </si>
  <si>
    <t>Technology SUM</t>
  </si>
  <si>
    <t>Cost</t>
  </si>
  <si>
    <t>Effectiveness</t>
  </si>
  <si>
    <t>Acceptance of the tech.</t>
  </si>
  <si>
    <t>Acceptance of the policy instrument</t>
  </si>
  <si>
    <t>Administrative burden</t>
  </si>
  <si>
    <t>CHP (Ren. Methane)</t>
  </si>
  <si>
    <t>ID</t>
  </si>
  <si>
    <t>Policy</t>
  </si>
  <si>
    <t>Status</t>
  </si>
  <si>
    <t>Policy Instrument</t>
  </si>
  <si>
    <t>Intensity</t>
  </si>
  <si>
    <t>Technology</t>
  </si>
  <si>
    <t>comments</t>
  </si>
  <si>
    <t>Much Lower</t>
  </si>
  <si>
    <t>Lower</t>
  </si>
  <si>
    <t>Current</t>
  </si>
  <si>
    <t>Higher</t>
  </si>
  <si>
    <t>Much Higher</t>
  </si>
  <si>
    <t>CCGT (Nat Gas) with DACCS</t>
  </si>
  <si>
    <t>Carbon tax - thermal fuels &amp; natural gas</t>
  </si>
  <si>
    <t>In force</t>
  </si>
  <si>
    <t>Tax</t>
  </si>
  <si>
    <t>60 CHF/tCO2eq</t>
  </si>
  <si>
    <t>90 CHF/tCO2eq</t>
  </si>
  <si>
    <t>120 CHF/tCO2eq</t>
  </si>
  <si>
    <t>180 CHF/tCO2eq</t>
  </si>
  <si>
    <t>240 CHF/tCO2eq</t>
  </si>
  <si>
    <t>Carbon tax - motor fuels</t>
  </si>
  <si>
    <t>Non-existent</t>
  </si>
  <si>
    <t>/</t>
  </si>
  <si>
    <t>80 CHF/tCO2eq</t>
  </si>
  <si>
    <t>Reimbursement of the carbon tax for CHP (nat gas)</t>
  </si>
  <si>
    <t>Fiscal exemption</t>
  </si>
  <si>
    <t>Obtain a reimbursement of the CO₂ levy for the fraction used for electricity generation with mandatory energy‑efficiency investment (40%)</t>
  </si>
  <si>
    <t>Mineral oil tax - thermal fuels &amp; natural gas</t>
  </si>
  <si>
    <t>0.3 centimes/L</t>
  </si>
  <si>
    <t>15 centimes/L</t>
  </si>
  <si>
    <t>30 centimes/L</t>
  </si>
  <si>
    <t>Mineral oil tax - motor fuels</t>
  </si>
  <si>
    <t>76.82-79.57 centimes/L</t>
  </si>
  <si>
    <t>ETS - Installations &gt;= 20 MW</t>
  </si>
  <si>
    <t>ETS</t>
  </si>
  <si>
    <t>The cap will reach 0 in 2040</t>
  </si>
  <si>
    <t>Carbon removal for fossil electricity generation plants</t>
  </si>
  <si>
    <t>Obligation</t>
  </si>
  <si>
    <t>Subsidy</t>
  </si>
  <si>
    <t>up to 30% CAPEX</t>
  </si>
  <si>
    <t>up to 60% CAPEX</t>
  </si>
  <si>
    <t>Subisidy for district heat connection</t>
  </si>
  <si>
    <t>60-300 CHF/m2</t>
  </si>
  <si>
    <t>64-2360 CHF/ kW</t>
  </si>
  <si>
    <t>59-720 CHF/kW</t>
  </si>
  <si>
    <t>Ban on gas boilers</t>
  </si>
  <si>
    <t>Ban</t>
  </si>
  <si>
    <t>When a boiler reaches the end of its life, cantonal energy laws (based on the MuKEn guidelines) often prohibit replacing it with another fossil fuel system.</t>
  </si>
  <si>
    <t>Ban on all new installations.</t>
  </si>
  <si>
    <t>Ban on nuclear power plants</t>
  </si>
  <si>
    <t>No permits for the construction of new nuclear power plants or any basic changes to existing nuclear power plants will be delivered. The existing nuclear power plants may stay in operation for as long as they remain safe.</t>
  </si>
  <si>
    <t>60 years of operation</t>
  </si>
  <si>
    <t>50 years of operation</t>
  </si>
  <si>
    <t>70-1060 CHF/kW</t>
  </si>
  <si>
    <t>One-off remuneration (EIV) for PV</t>
  </si>
  <si>
    <t>High one-off remuneration (EIV) for PV with auctions</t>
  </si>
  <si>
    <t>Sliding market premium (GMP) for PV with auctions</t>
  </si>
  <si>
    <t>10 Rp./kWh for 20 years</t>
  </si>
  <si>
    <t>Purchase remuneration for PV</t>
  </si>
  <si>
    <t>Market design</t>
  </si>
  <si>
    <t>producers and grid operators' agreement on the sale price - reference price: quarterly average market price</t>
  </si>
  <si>
    <t>1.2-6.2 Rp./kWh</t>
  </si>
  <si>
    <t>Project planning grants for Alpine PV</t>
  </si>
  <si>
    <t>Sliding market premium (GMP) for Biomass electricity generation</t>
  </si>
  <si>
    <t>16.5-27 Rp./kWh for 20 years</t>
  </si>
  <si>
    <t>Operating cost contribution (BKB) for Biomass electricity generation</t>
  </si>
  <si>
    <t>9-12 Rp./kWh</t>
  </si>
  <si>
    <t>Investment contribution (IB)  for Biomass electricity generation</t>
  </si>
  <si>
    <t>Sliding market premium (GMP) for hydro power</t>
  </si>
  <si>
    <t>~ 1.0 Rp/kWh</t>
  </si>
  <si>
    <t>https://www.igeb.ch/grosswasserkraft/</t>
  </si>
  <si>
    <t>Investment contribution (IB)  for hydro power</t>
  </si>
  <si>
    <t>~ 30% CAPEX</t>
  </si>
  <si>
    <t>https://www.admin.ch/de/nsb?id=86561</t>
  </si>
  <si>
    <t>Project planning contributions for new hydroelectric power plants or significant expansions of hydroelectric power plants</t>
  </si>
  <si>
    <t>up to 40% CAPEX</t>
  </si>
  <si>
    <t>Sliding market premium (GMP) for wind energy</t>
  </si>
  <si>
    <t>~ 9-12 Rp./kWh for 20 years</t>
  </si>
  <si>
    <t>Investment contribution (IB)  for wind energy</t>
  </si>
  <si>
    <t>~ 20% CAPEX</t>
  </si>
  <si>
    <t>Project planning grants for wind energy</t>
  </si>
  <si>
    <t>Purchase remuneration for wind energy</t>
  </si>
  <si>
    <t>Minimum tariffs for wind energy</t>
  </si>
  <si>
    <t>3-8  Rp./kWh</t>
  </si>
  <si>
    <t>Reimbursement of network usage charges for Hydrogen and Power-to-X P+D installations</t>
  </si>
  <si>
    <t>200 MW quota</t>
  </si>
  <si>
    <t>Carbon offsetting for motor fuels</t>
  </si>
  <si>
    <t>50% in 2030</t>
  </si>
  <si>
    <t>CO2 regulation for new vehicles - light</t>
  </si>
  <si>
    <t>49.5 g of CO2/km for passenger cars &amp; 90.6 g of CO2/km for delivery vans and light commercial vehicles in 2030</t>
  </si>
  <si>
    <t>CO2 regulation for new vehicles - heavy</t>
  </si>
  <si>
    <t>must reduce average emissions by 30 per cent compared to the reference values set out in the EU regulation in 2030</t>
  </si>
  <si>
    <t>Performance-related heavy vehicle fee (LSVA) - for the carriage of goods</t>
  </si>
  <si>
    <t>Relevant HVC weight (3.5t-40t) * Rate according to emission [I-Euro 0 to 5: 3.26 Rp/tkm; II: 2.82 Rp/tkm; III-Euro 6: 2.39 Rp/tkm] * Kilometres driven</t>
  </si>
  <si>
    <t>LSVA exemption/discount for heavy EV &amp; FCEV</t>
  </si>
  <si>
    <t>exemption until 2029, discount until 2035</t>
  </si>
  <si>
    <t>Federal Council adopts dispatch on the further development of the HGV</t>
  </si>
  <si>
    <t>Motor vehicle tax exemption for EV &amp; FCEV</t>
  </si>
  <si>
    <t>varies between 0-100% across cantons</t>
  </si>
  <si>
    <t>Vehicle import tax exemption for FCEV</t>
  </si>
  <si>
    <t>up to 40% of the eligible costs</t>
  </si>
  <si>
    <t>0-60% of the eligible costs, in most cantons around 30%</t>
  </si>
  <si>
    <t>30% CAPEX</t>
  </si>
  <si>
    <t>60% CAPEX</t>
  </si>
  <si>
    <t>Ban on ICE vehicles</t>
  </si>
  <si>
    <t>ban on the import of ICE vehicles</t>
  </si>
  <si>
    <t>Policy selection and list principle</t>
  </si>
  <si>
    <t>1. Only consider the policies that promote the technologies required in the 2050 energy system under the four scenarios. Policies that generally promote energy efficiency are not included in this analysis.</t>
  </si>
  <si>
    <t>Reason: Across the four scenarios, the final energy demand is very similar, which suggests that the level of energy efficiency is also expected to remain broadly comparable. Therefore, the current policy trend under the baseline scenario, EP2050+, can be considered sufficient to maintain the required level of energy efficiency without major policy adjustments. Furthermore, public awareness of energy use and energy saving in Switzerland is already relatively high, and behavioral change is not expected to be a key differentiating factor among the scenarios. For this reason, the analysis focuses only on policies that promote the development and deployment of new technologies required for achieving a net-zero energy system. These technologies are expected to expand at different levels across the four scenarios and lead to different energy system structures. By concentrating on technology-oriented policies, the analysis allows a clearer comparison between the three alternative scenarios and the baseline scenario EP2050+.</t>
  </si>
  <si>
    <t>2. Policies are listed according to their inherent adjustment logic from the perspective of decision makers. This means that even if two policies share the same general name, they are treated as separate policies if they can be adjusted independently and target different technologies through these adjustments.</t>
  </si>
  <si>
    <t>Reason: In practice, policy makers often modify policy parameters, such as the level of support, eligibility rules, or targeted technologies, to guide the development of specific technologies. Therefore, separating these adjustable policy variants helps reflect how policies are actually designed and adapted in real decision-making processes. This approach also provides clearer information on which policy adjustments may be required to promote different technologies under each scenario.</t>
  </si>
  <si>
    <t>3. Policies that only provide information to the public or companies are not included in the list.</t>
  </si>
  <si>
    <t>Reason: These policies are unlikely to change significantly in the future and usually do not directly or indirectly create incentives for the development or deployment of specific technologies. Therefore, they are not considered in this analysis, which focuses on policies that can actively promote the technologies required for the energy transition.</t>
  </si>
  <si>
    <t>4. Policies that are only used to collect financial resources for other policies are not included in the list.</t>
  </si>
  <si>
    <t>Reason: These policies cannot function independently, because their role is only to raise funds, while the actual impact depends on how the money is used by other policy instruments. Therefore, they are not considered as direct measures that promote the energy transition in this analysis.</t>
  </si>
  <si>
    <t>Unit: TWh</t>
  </si>
  <si>
    <t>Unit: Bil. Km</t>
  </si>
  <si>
    <t>Power and heating</t>
  </si>
  <si>
    <t>Transport</t>
  </si>
  <si>
    <t>I_01_1</t>
  </si>
  <si>
    <t>I_01_2</t>
  </si>
  <si>
    <t>I_01_3</t>
  </si>
  <si>
    <t>I_01_4</t>
  </si>
  <si>
    <t>I_01_5</t>
  </si>
  <si>
    <t>N_02_4</t>
  </si>
  <si>
    <t>N_02_5</t>
  </si>
  <si>
    <t>I_03_1</t>
  </si>
  <si>
    <t>I_03_2</t>
  </si>
  <si>
    <t>I_03_3</t>
  </si>
  <si>
    <t>I_04_3</t>
  </si>
  <si>
    <t>I_04_4</t>
  </si>
  <si>
    <t>I_04_5</t>
  </si>
  <si>
    <t>I_05_1</t>
  </si>
  <si>
    <t>I_05_2</t>
  </si>
  <si>
    <t>I_05_3</t>
  </si>
  <si>
    <t>I_05_4</t>
  </si>
  <si>
    <t>I_05_5</t>
  </si>
  <si>
    <t>I_06_1</t>
  </si>
  <si>
    <t>I_06_2</t>
  </si>
  <si>
    <t>I_06_3</t>
  </si>
  <si>
    <t>I_06_4</t>
  </si>
  <si>
    <t>I_06_5</t>
  </si>
  <si>
    <t>N_07_4</t>
  </si>
  <si>
    <t>N_07_5</t>
  </si>
  <si>
    <t>N_08_4</t>
  </si>
  <si>
    <t>N_08_5</t>
  </si>
  <si>
    <t>I_09_1</t>
  </si>
  <si>
    <t>I_09_2</t>
  </si>
  <si>
    <t>I_09_3</t>
  </si>
  <si>
    <t>I_09_4</t>
  </si>
  <si>
    <t>I_09_5</t>
  </si>
  <si>
    <t>I_10_1</t>
  </si>
  <si>
    <t>I_10_2</t>
  </si>
  <si>
    <t>I_10_3</t>
  </si>
  <si>
    <t>I_10_4</t>
  </si>
  <si>
    <t>I_10_5</t>
  </si>
  <si>
    <t>I_11_1</t>
  </si>
  <si>
    <t>I_11_2</t>
  </si>
  <si>
    <t>I_11_3</t>
  </si>
  <si>
    <t>I_11_4</t>
  </si>
  <si>
    <t>I_11_5</t>
  </si>
  <si>
    <t>I_12_1</t>
  </si>
  <si>
    <t>I_12_2</t>
  </si>
  <si>
    <t>I_12_3</t>
  </si>
  <si>
    <t>I_12_4</t>
  </si>
  <si>
    <t>I_12_5</t>
  </si>
  <si>
    <t>I_13_3</t>
  </si>
  <si>
    <t>I_13_4</t>
  </si>
  <si>
    <t>I_13_5</t>
  </si>
  <si>
    <t>I_14_3</t>
  </si>
  <si>
    <t>I_14_4</t>
  </si>
  <si>
    <t>I_14_5</t>
  </si>
  <si>
    <t>I_15_1</t>
  </si>
  <si>
    <t>I_15_2</t>
  </si>
  <si>
    <t>I_15_3</t>
  </si>
  <si>
    <t>I_15_4</t>
  </si>
  <si>
    <t>I_15_5</t>
  </si>
  <si>
    <t>I_16_1</t>
  </si>
  <si>
    <t>I_16_2</t>
  </si>
  <si>
    <t>I_16_3</t>
  </si>
  <si>
    <t>I_16_4</t>
  </si>
  <si>
    <t>I_16_5</t>
  </si>
  <si>
    <t>I_17_1</t>
  </si>
  <si>
    <t>I_17_2</t>
  </si>
  <si>
    <t>I_17_3</t>
  </si>
  <si>
    <t>I_17_4</t>
  </si>
  <si>
    <t>I_17_5</t>
  </si>
  <si>
    <t>I_18_1</t>
  </si>
  <si>
    <t>I_18_2</t>
  </si>
  <si>
    <t>I_18_3</t>
  </si>
  <si>
    <t>I_18_4</t>
  </si>
  <si>
    <t>I_18_5</t>
  </si>
  <si>
    <t>I_19_1</t>
  </si>
  <si>
    <t>I_19_2</t>
  </si>
  <si>
    <t>I_19_3</t>
  </si>
  <si>
    <t>I_19_4</t>
  </si>
  <si>
    <t>I_19_5</t>
  </si>
  <si>
    <t>I_20_1</t>
  </si>
  <si>
    <t>I_20_2</t>
  </si>
  <si>
    <t>I_20_3</t>
  </si>
  <si>
    <t>I_20_4</t>
  </si>
  <si>
    <t>I_20_5</t>
  </si>
  <si>
    <t>N_21_4</t>
  </si>
  <si>
    <t>N_21_5</t>
  </si>
  <si>
    <t>I_22_1</t>
  </si>
  <si>
    <t>I_22_2</t>
  </si>
  <si>
    <t>I_22_3</t>
  </si>
  <si>
    <t>I_22_4</t>
  </si>
  <si>
    <t>I_22_5</t>
  </si>
  <si>
    <t>I_23_1</t>
  </si>
  <si>
    <t>I_23_2</t>
  </si>
  <si>
    <t>I_23_3</t>
  </si>
  <si>
    <t>I_23_4</t>
  </si>
  <si>
    <t>I_23_5</t>
  </si>
  <si>
    <t>I_24_1</t>
  </si>
  <si>
    <t>I_24_2</t>
  </si>
  <si>
    <t>I_24_3</t>
  </si>
  <si>
    <t>I_24_4</t>
  </si>
  <si>
    <t>I_24_5</t>
  </si>
  <si>
    <t>I_25_1</t>
  </si>
  <si>
    <t>I_25_2</t>
  </si>
  <si>
    <t>I_25_3</t>
  </si>
  <si>
    <t>I_25_4</t>
  </si>
  <si>
    <t>I_25_5</t>
  </si>
  <si>
    <t>I_26_1</t>
  </si>
  <si>
    <t>I_26_2</t>
  </si>
  <si>
    <t>I_26_3</t>
  </si>
  <si>
    <t>I_26_4</t>
  </si>
  <si>
    <t>I_26_5</t>
  </si>
  <si>
    <t>I_27_1</t>
  </si>
  <si>
    <t>I_27_2</t>
  </si>
  <si>
    <t>I_27_3</t>
  </si>
  <si>
    <t>I_27_4</t>
  </si>
  <si>
    <t>I_27_5</t>
  </si>
  <si>
    <t>I_28_1</t>
  </si>
  <si>
    <t>I_28_2</t>
  </si>
  <si>
    <t>I_28_3</t>
  </si>
  <si>
    <t>I_28_4</t>
  </si>
  <si>
    <t>I_28_5</t>
  </si>
  <si>
    <t>I_29_1</t>
  </si>
  <si>
    <t>I_29_2</t>
  </si>
  <si>
    <t>I_29_3</t>
  </si>
  <si>
    <t>I_29_4</t>
  </si>
  <si>
    <t>I_29_5</t>
  </si>
  <si>
    <t>I_30_1</t>
  </si>
  <si>
    <t>I_30_2</t>
  </si>
  <si>
    <t>I_30_3</t>
  </si>
  <si>
    <t>I_30_4</t>
  </si>
  <si>
    <t>I_30_5</t>
  </si>
  <si>
    <t>N_31_4</t>
  </si>
  <si>
    <t>N_31_5</t>
  </si>
  <si>
    <t>N_32_4</t>
  </si>
  <si>
    <t>N_32_5</t>
  </si>
  <si>
    <t>I_33_3</t>
  </si>
  <si>
    <t>I_33_4</t>
  </si>
  <si>
    <t>I_33_5</t>
  </si>
  <si>
    <t>I_34_1</t>
  </si>
  <si>
    <t>I_34_2</t>
  </si>
  <si>
    <t>I_34_3</t>
  </si>
  <si>
    <t>I_34_4</t>
  </si>
  <si>
    <t>I_34_5</t>
  </si>
  <si>
    <t>I_35_1</t>
  </si>
  <si>
    <t>I_35_2</t>
  </si>
  <si>
    <t>I_35_3</t>
  </si>
  <si>
    <t>I_35_4</t>
  </si>
  <si>
    <t>I_35_5</t>
  </si>
  <si>
    <t>I_36_1</t>
  </si>
  <si>
    <t>I_36_2</t>
  </si>
  <si>
    <t>I_36_3</t>
  </si>
  <si>
    <t>I_36_4</t>
  </si>
  <si>
    <t>I_36_5</t>
  </si>
  <si>
    <t>I_37_1</t>
  </si>
  <si>
    <t>I_37_2</t>
  </si>
  <si>
    <t>I_37_3</t>
  </si>
  <si>
    <t>I_37_4</t>
  </si>
  <si>
    <t>I_37_5</t>
  </si>
  <si>
    <t>I_38_1</t>
  </si>
  <si>
    <t>I_38_2</t>
  </si>
  <si>
    <t>I_38_3</t>
  </si>
  <si>
    <t>I_38_4</t>
  </si>
  <si>
    <t>I_38_5</t>
  </si>
  <si>
    <t>I_39_1</t>
  </si>
  <si>
    <t>I_39_2</t>
  </si>
  <si>
    <t>I_39_3</t>
  </si>
  <si>
    <t>I_39_4</t>
  </si>
  <si>
    <t>I_39_5</t>
  </si>
  <si>
    <t>N_40_4</t>
  </si>
  <si>
    <t>N_40_5</t>
  </si>
  <si>
    <t>N_41_4</t>
  </si>
  <si>
    <t>N_41_5</t>
  </si>
  <si>
    <t>I_42_1</t>
  </si>
  <si>
    <t>I_42_2</t>
  </si>
  <si>
    <t>I_42_3</t>
  </si>
  <si>
    <t>I_42_4</t>
  </si>
  <si>
    <t>I_42_5</t>
  </si>
  <si>
    <t>I_43_1</t>
  </si>
  <si>
    <t>I_43_2</t>
  </si>
  <si>
    <t>I_43_3</t>
  </si>
  <si>
    <t>I_43_4</t>
  </si>
  <si>
    <t>I_43_5</t>
  </si>
  <si>
    <t>N_44_4</t>
  </si>
  <si>
    <t>N_44_5</t>
  </si>
  <si>
    <t>N_45_4</t>
  </si>
  <si>
    <t>N_45_5</t>
  </si>
  <si>
    <t>Policy ID</t>
  </si>
  <si>
    <t>Positive Flow</t>
  </si>
  <si>
    <t>Negative Flow</t>
  </si>
  <si>
    <t>Net Flow</t>
  </si>
  <si>
    <t>I</t>
  </si>
  <si>
    <t>01</t>
  </si>
  <si>
    <t>1-5</t>
  </si>
  <si>
    <t>N</t>
  </si>
  <si>
    <t>02</t>
  </si>
  <si>
    <t>4-5</t>
  </si>
  <si>
    <t>03</t>
  </si>
  <si>
    <t>1-3</t>
  </si>
  <si>
    <t>Obtain 20% reimbursement of the CO₂ levy for the fraction used for electricity generation with mandatory energy‑efficiency investment (40%)</t>
  </si>
  <si>
    <t>Obtain 60% reimbursement of the CO₂ levy for the fraction used for electricity generation with mandatory energy‑efficiency investment (40%)</t>
  </si>
  <si>
    <t>04</t>
  </si>
  <si>
    <t>3-5</t>
  </si>
  <si>
    <t>05</t>
  </si>
  <si>
    <t>40 centimes/L</t>
  </si>
  <si>
    <t>60 centimes/L</t>
  </si>
  <si>
    <t>100 centimes/L</t>
  </si>
  <si>
    <t>120 centimes/L</t>
  </si>
  <si>
    <t>06</t>
  </si>
  <si>
    <t>The cap will reach 0 in 2050</t>
  </si>
  <si>
    <t>The cap will reach 0 in 2045</t>
  </si>
  <si>
    <t>The cap will reach 0 in 2035</t>
  </si>
  <si>
    <t>The cap will reach 0 in 2030</t>
  </si>
  <si>
    <t>07</t>
  </si>
  <si>
    <t>08</t>
  </si>
  <si>
    <t>subsidy on DACCS</t>
  </si>
  <si>
    <t>09</t>
  </si>
  <si>
    <t>30% lower</t>
  </si>
  <si>
    <t>10% lower</t>
  </si>
  <si>
    <t>106-1320 CHF/kW</t>
  </si>
  <si>
    <t>10% higher</t>
  </si>
  <si>
    <t>30% higher</t>
  </si>
  <si>
    <t>10</t>
  </si>
  <si>
    <t>subsidy on the heat distribution system</t>
  </si>
  <si>
    <t>11</t>
  </si>
  <si>
    <t>subsidy on heat pumps</t>
  </si>
  <si>
    <t>12</t>
  </si>
  <si>
    <t>subsidy on wood heaters</t>
  </si>
  <si>
    <t>13</t>
  </si>
  <si>
    <t>Ban on all gas boilers with the use of natural gas.</t>
  </si>
  <si>
    <t>14</t>
  </si>
  <si>
    <t>15</t>
  </si>
  <si>
    <t>subsidy on CHP</t>
  </si>
  <si>
    <t>16</t>
  </si>
  <si>
    <t>up to 10% CAPEX</t>
  </si>
  <si>
    <t>up to 20% CAPEX</t>
  </si>
  <si>
    <t>up to 50% CAPEX</t>
  </si>
  <si>
    <t>17</t>
  </si>
  <si>
    <t>up to 45% CAPEX</t>
  </si>
  <si>
    <t>up to 65% CAPEX</t>
  </si>
  <si>
    <t>up to 70% CAPEX</t>
  </si>
  <si>
    <t>18</t>
  </si>
  <si>
    <t>6 Rp./kWh for 20 years</t>
  </si>
  <si>
    <t>8 Rp./kWh for 20 years</t>
  </si>
  <si>
    <t>11 Rp./kWh for 20 years</t>
  </si>
  <si>
    <t>12 Rp./kWh for 20 years</t>
  </si>
  <si>
    <t>19</t>
  </si>
  <si>
    <t>daily average market price</t>
  </si>
  <si>
    <t>monthly average market price</t>
  </si>
  <si>
    <t>half-yearly average market price</t>
  </si>
  <si>
    <t>yearly average market price</t>
  </si>
  <si>
    <t>20</t>
  </si>
  <si>
    <t>Minimum tariffs for photovoltaic systems &lt;= 150 kW</t>
  </si>
  <si>
    <t>1-4 Rp./kWh</t>
  </si>
  <si>
    <t>1-5 Rp./kWh</t>
  </si>
  <si>
    <t>3-8 Rp./kWh</t>
  </si>
  <si>
    <t>5-10 Rp./kWh</t>
  </si>
  <si>
    <t>21</t>
  </si>
  <si>
    <t>22</t>
  </si>
  <si>
    <t>23</t>
  </si>
  <si>
    <t>24</t>
  </si>
  <si>
    <t>25</t>
  </si>
  <si>
    <t>26</t>
  </si>
  <si>
    <t>~ 10% CAPEX</t>
  </si>
  <si>
    <t>~ 40% CAPEX</t>
  </si>
  <si>
    <t>~ 50% CAPEX</t>
  </si>
  <si>
    <t>27</t>
  </si>
  <si>
    <t>28</t>
  </si>
  <si>
    <t>29</t>
  </si>
  <si>
    <t>~ 15% CAPEX</t>
  </si>
  <si>
    <t>~ 60% CAPEX</t>
  </si>
  <si>
    <t>30</t>
  </si>
  <si>
    <t>31</t>
  </si>
  <si>
    <t>producers and grid operators' agreement on the sale price - reference price: monthly average market price</t>
  </si>
  <si>
    <t>32</t>
  </si>
  <si>
    <t>33</t>
  </si>
  <si>
    <t>600 MW quota</t>
  </si>
  <si>
    <t>1000 MW quota</t>
  </si>
  <si>
    <t>34</t>
  </si>
  <si>
    <t>50% in 2040</t>
  </si>
  <si>
    <t>50% in 2035</t>
  </si>
  <si>
    <t>35</t>
  </si>
  <si>
    <t>49.5 g of CO2/km for passenger cars &amp; 90.6 g of CO2/km for delivery vans and light commercial vehicles in 2040</t>
  </si>
  <si>
    <t>49.5 g of CO2/km for passenger cars &amp; 90.6 g of CO2/km for delivery vans and light commercial vehicles in 2035</t>
  </si>
  <si>
    <t>25 g of CO2/km for passenger cars &amp; 45 g of CO2/km for delivery vans and light commercial vehicles</t>
  </si>
  <si>
    <t>0 g of CO2/km for passenger cars &amp; 0 g of CO2/km for delivery vans and light commercial vehicles</t>
  </si>
  <si>
    <t>36</t>
  </si>
  <si>
    <t>37</t>
  </si>
  <si>
    <t>20% lower emission factor</t>
  </si>
  <si>
    <t>10% lower emission factor</t>
  </si>
  <si>
    <t>10% higher emission factor</t>
  </si>
  <si>
    <t>20% higher emission factor</t>
  </si>
  <si>
    <t>38</t>
  </si>
  <si>
    <t>no exemption and discount</t>
  </si>
  <si>
    <t>exemption and discount until 2029</t>
  </si>
  <si>
    <t>exemption until 2034, discount until 2040</t>
  </si>
  <si>
    <t>exemption until 2039, discount until 2045</t>
  </si>
  <si>
    <t>39</t>
  </si>
  <si>
    <t>0-40%</t>
  </si>
  <si>
    <t>0-80%</t>
  </si>
  <si>
    <t>40-100%</t>
  </si>
  <si>
    <t>80-100%</t>
  </si>
  <si>
    <t>40</t>
  </si>
  <si>
    <t>41</t>
  </si>
  <si>
    <t>subsidy on purchasing FCEV</t>
  </si>
  <si>
    <t>42</t>
  </si>
  <si>
    <t>subsidy on heavy EV charging infrastructure in small and medium-sized enterprises (SMEs)</t>
  </si>
  <si>
    <t>up to 20% of the eligible costs</t>
  </si>
  <si>
    <t>up to 30% of the eligible costs</t>
  </si>
  <si>
    <t>up to 50% of the eligible costs</t>
  </si>
  <si>
    <t>up to 60% of the eligible costs</t>
  </si>
  <si>
    <t>43</t>
  </si>
  <si>
    <t>subsidy on light EV charging infrastructure in residential or office facilities</t>
  </si>
  <si>
    <t>0-20% of the eligible costs, in most cantons around 10%</t>
  </si>
  <si>
    <t>0-40% of the eligible costs, in most cantons around 20%</t>
  </si>
  <si>
    <t>0-80% of the eligible costs, in most cantons around 40%</t>
  </si>
  <si>
    <t>0-100% of the eligible costs, in most cantons around 50%</t>
  </si>
  <si>
    <t>44</t>
  </si>
  <si>
    <t>subsidy on H2 filling stations</t>
  </si>
  <si>
    <t>45</t>
  </si>
  <si>
    <t>ban on all ICE vechicles on the road</t>
  </si>
  <si>
    <t>46</t>
  </si>
  <si>
    <t>subsidy on H2 for transport</t>
  </si>
  <si>
    <t>10% market price</t>
  </si>
  <si>
    <t>30% market price</t>
  </si>
  <si>
    <t>N_46_4</t>
  </si>
  <si>
    <t>N_46_5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</si>
</sst>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rgb="FFFFFFFF"/>
      <name val="Aptos Narrow"/>
      <family val="2"/>
    </font>
    <font>
      <sz val="12"/>
      <color rgb="FF000000"/>
      <name val="Aptos Narrow"/>
      <family val="2"/>
    </font>
    <font>
      <sz val="11"/>
      <color theme="1"/>
      <name val="Calibri"/>
      <family val="2"/>
      <scheme val="minor"/>
    </font>
    <font>
      <u/>
      <sz val="11"/>
      <color theme="10"/>
      <name val="Calibri"/>
      <family val="2"/>
      <scheme val="minor"/>
    </font>
    <font>
      <sz val="11"/>
      <color theme="0" tint="-0.499984740745262"/>
      <name val="Calibri"/>
      <family val="2"/>
      <scheme val="minor"/>
    </font>
    <font>
      <sz val="11"/>
      <name val="Calibri"/>
      <family val="2"/>
      <scheme val="minor"/>
    </font>
    <font>
      <sz val="10"/>
      <color theme="1"/>
      <name val="Arial"/>
      <family val="2"/>
    </font>
  </fonts>
  <fills count="10">
    <fill>
      <patternFill patternType="none"/>
    </fill>
    <fill>
      <patternFill patternType="gray125"/>
    </fill>
    <fill>
      <patternFill patternType="solid">
        <fgColor rgb="FF4EA72E"/>
        <bgColor rgb="FF4EA72E"/>
      </patternFill>
    </fill>
    <fill>
      <patternFill patternType="solid">
        <fgColor theme="9" tint="0.79998168889431442"/>
        <bgColor rgb="FFDAF2D0"/>
      </patternFill>
    </fill>
    <fill>
      <patternFill patternType="solid">
        <fgColor theme="9" tint="0.79998168889431442"/>
        <bgColor indexed="64"/>
      </patternFill>
    </fill>
    <fill>
      <patternFill patternType="solid">
        <fgColor theme="0"/>
        <bgColor rgb="FFDAF2D0"/>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249977111117893"/>
        <bgColor indexed="64"/>
      </patternFill>
    </fill>
  </fills>
  <borders count="5">
    <border>
      <left/>
      <right/>
      <top/>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9" fontId="3" fillId="0" borderId="0" applyFont="0" applyFill="0" applyBorder="0" applyAlignment="0" applyProtection="0"/>
    <xf numFmtId="0" fontId="4" fillId="0" borderId="0" applyNumberFormat="0" applyFill="0" applyBorder="0" applyAlignment="0" applyProtection="0"/>
  </cellStyleXfs>
  <cellXfs count="40">
    <xf numFmtId="0" fontId="0" fillId="0" borderId="0" xfId="0"/>
    <xf numFmtId="0" fontId="1" fillId="2" borderId="1" xfId="0" applyFont="1" applyFill="1" applyBorder="1"/>
    <xf numFmtId="0" fontId="1" fillId="2" borderId="2" xfId="0" applyFont="1" applyFill="1" applyBorder="1"/>
    <xf numFmtId="0" fontId="2" fillId="3" borderId="1" xfId="0" applyFont="1" applyFill="1" applyBorder="1"/>
    <xf numFmtId="0" fontId="2" fillId="3" borderId="2" xfId="0" applyFont="1" applyFill="1" applyBorder="1"/>
    <xf numFmtId="0" fontId="2" fillId="4" borderId="1" xfId="0" applyFont="1" applyFill="1" applyBorder="1"/>
    <xf numFmtId="0" fontId="2" fillId="4" borderId="2" xfId="0" applyFont="1" applyFill="1" applyBorder="1"/>
    <xf numFmtId="0" fontId="2" fillId="5" borderId="1" xfId="0" applyFont="1" applyFill="1" applyBorder="1"/>
    <xf numFmtId="0" fontId="2" fillId="5" borderId="2" xfId="0" applyFont="1" applyFill="1" applyBorder="1"/>
    <xf numFmtId="0" fontId="2" fillId="6" borderId="1" xfId="0" applyFont="1" applyFill="1" applyBorder="1"/>
    <xf numFmtId="0" fontId="2" fillId="6" borderId="2" xfId="0" applyFont="1" applyFill="1" applyBorder="1"/>
    <xf numFmtId="1" fontId="2" fillId="3" borderId="2" xfId="0" applyNumberFormat="1" applyFont="1" applyFill="1" applyBorder="1"/>
    <xf numFmtId="1" fontId="2" fillId="4" borderId="2" xfId="0" applyNumberFormat="1" applyFont="1" applyFill="1" applyBorder="1"/>
    <xf numFmtId="1" fontId="2" fillId="5" borderId="2" xfId="0" applyNumberFormat="1" applyFont="1" applyFill="1" applyBorder="1"/>
    <xf numFmtId="1" fontId="2" fillId="6" borderId="2" xfId="0" applyNumberFormat="1" applyFont="1" applyFill="1" applyBorder="1"/>
    <xf numFmtId="0" fontId="0" fillId="0" borderId="0" xfId="0" applyAlignment="1">
      <alignment horizontal="center" vertical="center"/>
    </xf>
    <xf numFmtId="1" fontId="0" fillId="0" borderId="0" xfId="0" applyNumberFormat="1"/>
    <xf numFmtId="1" fontId="0" fillId="6" borderId="0" xfId="0" applyNumberFormat="1" applyFill="1"/>
    <xf numFmtId="1" fontId="0" fillId="4" borderId="0" xfId="0" applyNumberFormat="1" applyFill="1"/>
    <xf numFmtId="0" fontId="0" fillId="4" borderId="0" xfId="0" applyFill="1" applyAlignment="1">
      <alignment horizontal="center" vertical="center"/>
    </xf>
    <xf numFmtId="0" fontId="0" fillId="4" borderId="0" xfId="0" applyFill="1"/>
    <xf numFmtId="10" fontId="0" fillId="4" borderId="0" xfId="1" applyNumberFormat="1" applyFont="1" applyFill="1"/>
    <xf numFmtId="0" fontId="0" fillId="8" borderId="0" xfId="0" applyFill="1" applyAlignment="1">
      <alignment horizontal="center" vertical="center"/>
    </xf>
    <xf numFmtId="0" fontId="0" fillId="8" borderId="0" xfId="0" applyFill="1"/>
    <xf numFmtId="10" fontId="0" fillId="8" borderId="0" xfId="1" applyNumberFormat="1" applyFont="1" applyFill="1"/>
    <xf numFmtId="1" fontId="0" fillId="8" borderId="0" xfId="0" applyNumberFormat="1" applyFill="1" applyAlignment="1">
      <alignment horizontal="right"/>
    </xf>
    <xf numFmtId="0" fontId="0" fillId="0" borderId="3" xfId="0" applyBorder="1" applyAlignment="1">
      <alignment horizontal="center" vertical="center"/>
    </xf>
    <xf numFmtId="49" fontId="0" fillId="0" borderId="0" xfId="0" applyNumberFormat="1"/>
    <xf numFmtId="0" fontId="0" fillId="0" borderId="3" xfId="0" applyBorder="1"/>
    <xf numFmtId="0" fontId="0" fillId="7" borderId="3" xfId="0" applyFill="1" applyBorder="1"/>
    <xf numFmtId="9" fontId="0" fillId="0" borderId="3" xfId="0" applyNumberFormat="1" applyBorder="1"/>
    <xf numFmtId="0" fontId="5" fillId="9" borderId="3" xfId="0" applyFont="1" applyFill="1" applyBorder="1"/>
    <xf numFmtId="0" fontId="6" fillId="0" borderId="3" xfId="0" applyFont="1" applyBorder="1"/>
    <xf numFmtId="10" fontId="0" fillId="0" borderId="3" xfId="0" applyNumberFormat="1" applyBorder="1"/>
    <xf numFmtId="0" fontId="4" fillId="0" borderId="3" xfId="2" applyBorder="1"/>
    <xf numFmtId="16" fontId="0" fillId="0" borderId="3" xfId="0" applyNumberFormat="1" applyBorder="1"/>
    <xf numFmtId="0" fontId="7" fillId="0" borderId="4" xfId="0" applyFont="1" applyBorder="1" applyAlignment="1">
      <alignment horizontal="right" wrapText="1"/>
    </xf>
    <xf numFmtId="0" fontId="0" fillId="0" borderId="3" xfId="0" applyBorder="1" applyAlignment="1">
      <alignment horizontal="center" vertical="center"/>
    </xf>
    <xf numFmtId="0" fontId="0" fillId="0" borderId="0" xfId="0" applyAlignment="1">
      <alignment horizontal="center"/>
    </xf>
    <xf numFmtId="49" fontId="0" fillId="0" borderId="0" xfId="0" applyNumberFormat="1" applyAlignment="1">
      <alignment horizontal="center"/>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Tansy\Master%20thesis\MCDA\calliope-ecoinvent-premise-matching-annina-with-values_v10.xlsx" TargetMode="External"/><Relationship Id="rId1" Type="http://schemas.openxmlformats.org/officeDocument/2006/relationships/externalLinkPath" Target="calliope-ecoinvent-premise-matching-annina-with-values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energy_data_per_scenario"/>
      <sheetName val="Energy_LoI"/>
      <sheetName val="Results_energy_scenarios"/>
    </sheetNames>
    <sheetDataSet>
      <sheetData sheetId="0">
        <row r="21">
          <cell r="J21">
            <v>2451.820008733127</v>
          </cell>
        </row>
        <row r="22">
          <cell r="J22">
            <v>2688.9930322347441</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www.bwo.admin.ch/de/newnsb/quLQqXJt-4wHbwb9E_BOQ" TargetMode="External"/><Relationship Id="rId1" Type="http://schemas.openxmlformats.org/officeDocument/2006/relationships/hyperlink" Target="https://www.igeb.ch/grosswasserkraf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4"/>
  <sheetViews>
    <sheetView zoomScale="110" zoomScaleNormal="110" workbookViewId="0">
      <selection activeCell="Y21" sqref="Y21"/>
    </sheetView>
  </sheetViews>
  <sheetFormatPr defaultRowHeight="14.5" x14ac:dyDescent="0.35"/>
  <cols>
    <col min="1" max="1" width="30.54296875" bestFit="1" customWidth="1"/>
    <col min="2" max="2" width="17.08984375" customWidth="1"/>
    <col min="3" max="3" width="24.453125" customWidth="1"/>
    <col min="4" max="4" width="10.81640625" bestFit="1" customWidth="1"/>
    <col min="12" max="12" width="18.90625" bestFit="1" customWidth="1"/>
  </cols>
  <sheetData>
    <row r="1" spans="1:16" ht="16" x14ac:dyDescent="0.4">
      <c r="A1" s="1" t="s">
        <v>9</v>
      </c>
      <c r="B1" s="2" t="s">
        <v>10</v>
      </c>
      <c r="C1" s="2" t="s">
        <v>32</v>
      </c>
      <c r="D1" s="2" t="s">
        <v>0</v>
      </c>
      <c r="E1" s="2" t="s">
        <v>1</v>
      </c>
      <c r="F1" s="2" t="s">
        <v>11</v>
      </c>
      <c r="G1" s="2" t="s">
        <v>22</v>
      </c>
      <c r="L1" t="s">
        <v>35</v>
      </c>
      <c r="M1" t="s">
        <v>0</v>
      </c>
      <c r="N1" t="s">
        <v>1</v>
      </c>
      <c r="O1" t="s">
        <v>11</v>
      </c>
      <c r="P1" t="s">
        <v>22</v>
      </c>
    </row>
    <row r="2" spans="1:16" ht="16" x14ac:dyDescent="0.4">
      <c r="A2" s="3" t="s">
        <v>24</v>
      </c>
      <c r="B2" s="4" t="s">
        <v>12</v>
      </c>
      <c r="C2" s="4" t="s">
        <v>16</v>
      </c>
      <c r="D2" s="11">
        <v>32.72</v>
      </c>
      <c r="E2" s="11">
        <v>0</v>
      </c>
      <c r="F2" s="11">
        <v>18.239999999999998</v>
      </c>
      <c r="G2" s="11">
        <v>34.85</v>
      </c>
      <c r="L2" t="s">
        <v>24</v>
      </c>
      <c r="M2" s="16">
        <f>D2</f>
        <v>32.72</v>
      </c>
      <c r="N2" s="16">
        <f t="shared" ref="N2:P2" si="0">E2</f>
        <v>0</v>
      </c>
      <c r="O2" s="16">
        <f t="shared" si="0"/>
        <v>18.239999999999998</v>
      </c>
      <c r="P2" s="16">
        <f t="shared" si="0"/>
        <v>34.85</v>
      </c>
    </row>
    <row r="3" spans="1:16" ht="16" x14ac:dyDescent="0.4">
      <c r="A3" s="5" t="s">
        <v>23</v>
      </c>
      <c r="B3" s="6" t="s">
        <v>12</v>
      </c>
      <c r="C3" s="6" t="s">
        <v>16</v>
      </c>
      <c r="D3" s="12">
        <v>19.988</v>
      </c>
      <c r="E3" s="12">
        <v>55.11</v>
      </c>
      <c r="F3" s="12">
        <v>36.869999999999997</v>
      </c>
      <c r="G3" s="12">
        <v>1.63</v>
      </c>
      <c r="L3" t="s">
        <v>23</v>
      </c>
      <c r="M3" s="16">
        <f>D3+D16</f>
        <v>24.279</v>
      </c>
      <c r="N3" s="16">
        <f t="shared" ref="N3:P3" si="1">E3+E16</f>
        <v>63.82</v>
      </c>
      <c r="O3" s="16">
        <f t="shared" si="1"/>
        <v>41.269999999999996</v>
      </c>
      <c r="P3" s="16">
        <f t="shared" si="1"/>
        <v>9.5599999999999987</v>
      </c>
    </row>
    <row r="4" spans="1:16" ht="16" x14ac:dyDescent="0.4">
      <c r="A4" s="3" t="s">
        <v>25</v>
      </c>
      <c r="B4" s="4" t="s">
        <v>12</v>
      </c>
      <c r="C4" s="4" t="s">
        <v>16</v>
      </c>
      <c r="D4" s="11">
        <v>2.4</v>
      </c>
      <c r="E4" s="11">
        <v>0</v>
      </c>
      <c r="F4" s="11">
        <v>0</v>
      </c>
      <c r="G4" s="11">
        <v>18.63</v>
      </c>
      <c r="L4" t="s">
        <v>25</v>
      </c>
      <c r="M4" s="16">
        <f>D4+D15</f>
        <v>8.1020000000000003</v>
      </c>
      <c r="N4" s="16">
        <f t="shared" ref="N4:P4" si="2">E4+E15</f>
        <v>5.702</v>
      </c>
      <c r="O4" s="16">
        <f t="shared" si="2"/>
        <v>5.702</v>
      </c>
      <c r="P4" s="16">
        <f t="shared" si="2"/>
        <v>24.33</v>
      </c>
    </row>
    <row r="5" spans="1:16" ht="16" x14ac:dyDescent="0.4">
      <c r="A5" s="7" t="s">
        <v>7</v>
      </c>
      <c r="B5" s="8" t="s">
        <v>12</v>
      </c>
      <c r="C5" s="8" t="s">
        <v>2</v>
      </c>
      <c r="D5" s="13">
        <v>0</v>
      </c>
      <c r="E5" s="13">
        <v>0</v>
      </c>
      <c r="F5" s="13">
        <v>4.28</v>
      </c>
      <c r="G5" s="13">
        <v>0</v>
      </c>
      <c r="L5" t="s">
        <v>7</v>
      </c>
      <c r="M5" s="16">
        <f>D5</f>
        <v>0</v>
      </c>
      <c r="N5" s="16">
        <f t="shared" ref="N5:P5" si="3">E5</f>
        <v>0</v>
      </c>
      <c r="O5" s="16">
        <f t="shared" si="3"/>
        <v>4.28</v>
      </c>
      <c r="P5" s="16">
        <f t="shared" si="3"/>
        <v>0</v>
      </c>
    </row>
    <row r="6" spans="1:16" ht="16" x14ac:dyDescent="0.4">
      <c r="A6" s="7" t="s">
        <v>30</v>
      </c>
      <c r="B6" s="8" t="s">
        <v>12</v>
      </c>
      <c r="C6" s="8" t="s">
        <v>2</v>
      </c>
      <c r="D6" s="13">
        <f>2688.99874401158/1000</f>
        <v>2.6889987440115801</v>
      </c>
      <c r="E6" s="13">
        <f>2689.00014668487/1000</f>
        <v>2.6890001466848696</v>
      </c>
      <c r="F6" s="13">
        <f>2689.00043712191/1000</f>
        <v>2.6890004371219103</v>
      </c>
      <c r="G6" s="13">
        <f>[1]Overview!J22/1000</f>
        <v>2.6889930322347442</v>
      </c>
      <c r="L6" t="s">
        <v>30</v>
      </c>
      <c r="M6" s="16">
        <f>D6+D17</f>
        <v>8.7389987440115799</v>
      </c>
      <c r="N6" s="16">
        <f t="shared" ref="N6:P6" si="4">E6+E17</f>
        <v>8.7390001466848695</v>
      </c>
      <c r="O6" s="16">
        <f t="shared" si="4"/>
        <v>8.7390004371219092</v>
      </c>
      <c r="P6" s="16">
        <f t="shared" si="4"/>
        <v>8.7389930322347436</v>
      </c>
    </row>
    <row r="7" spans="1:16" ht="16" x14ac:dyDescent="0.4">
      <c r="A7" s="9" t="s">
        <v>41</v>
      </c>
      <c r="B7" s="10" t="s">
        <v>12</v>
      </c>
      <c r="C7" s="10" t="s">
        <v>2</v>
      </c>
      <c r="D7" s="14">
        <f>2451.80310776911/1000</f>
        <v>2.45180310776911</v>
      </c>
      <c r="E7" s="14">
        <f>0.002037654/1000</f>
        <v>2.037654E-6</v>
      </c>
      <c r="F7" s="14">
        <f>0.01612777/1000</f>
        <v>1.612777E-5</v>
      </c>
      <c r="G7" s="14">
        <f>[1]Overview!J21/1000</f>
        <v>2.4518200087331268</v>
      </c>
      <c r="L7" t="s">
        <v>41</v>
      </c>
      <c r="M7" s="16">
        <f t="shared" ref="M7:M14" si="5">D7</f>
        <v>2.45180310776911</v>
      </c>
      <c r="N7" s="16">
        <f t="shared" ref="N7:P14" si="6">E7</f>
        <v>2.037654E-6</v>
      </c>
      <c r="O7" s="16">
        <f t="shared" si="6"/>
        <v>1.612777E-5</v>
      </c>
      <c r="P7" s="16">
        <f t="shared" si="6"/>
        <v>2.4518200087331268</v>
      </c>
    </row>
    <row r="8" spans="1:16" ht="16" x14ac:dyDescent="0.4">
      <c r="A8" s="7" t="s">
        <v>4</v>
      </c>
      <c r="B8" s="8" t="s">
        <v>12</v>
      </c>
      <c r="C8" s="8" t="s">
        <v>2</v>
      </c>
      <c r="D8" s="13">
        <v>16.05</v>
      </c>
      <c r="E8" s="13">
        <v>17.37</v>
      </c>
      <c r="F8" s="13">
        <v>16.05</v>
      </c>
      <c r="G8" s="13">
        <v>18.260000000000002</v>
      </c>
      <c r="L8" t="s">
        <v>4</v>
      </c>
      <c r="M8" s="16">
        <f t="shared" si="5"/>
        <v>16.05</v>
      </c>
      <c r="N8" s="16">
        <f t="shared" si="6"/>
        <v>17.37</v>
      </c>
      <c r="O8" s="16">
        <f t="shared" si="6"/>
        <v>16.05</v>
      </c>
      <c r="P8" s="16">
        <f t="shared" si="6"/>
        <v>18.260000000000002</v>
      </c>
    </row>
    <row r="9" spans="1:16" ht="16" x14ac:dyDescent="0.4">
      <c r="A9" s="9" t="s">
        <v>13</v>
      </c>
      <c r="B9" s="10" t="s">
        <v>12</v>
      </c>
      <c r="C9" s="10" t="s">
        <v>2</v>
      </c>
      <c r="D9" s="14">
        <v>15.49</v>
      </c>
      <c r="E9" s="14">
        <v>15.49</v>
      </c>
      <c r="F9" s="14">
        <v>15.49</v>
      </c>
      <c r="G9" s="14">
        <v>15.49</v>
      </c>
      <c r="L9" t="s">
        <v>13</v>
      </c>
      <c r="M9" s="16">
        <f t="shared" si="5"/>
        <v>15.49</v>
      </c>
      <c r="N9" s="16">
        <f t="shared" si="6"/>
        <v>15.49</v>
      </c>
      <c r="O9" s="16">
        <f t="shared" si="6"/>
        <v>15.49</v>
      </c>
      <c r="P9" s="16">
        <f t="shared" si="6"/>
        <v>15.49</v>
      </c>
    </row>
    <row r="10" spans="1:16" ht="16" x14ac:dyDescent="0.4">
      <c r="A10" s="9" t="s">
        <v>3</v>
      </c>
      <c r="B10" s="10" t="s">
        <v>12</v>
      </c>
      <c r="C10" s="10" t="s">
        <v>2</v>
      </c>
      <c r="D10" s="14">
        <v>33.61</v>
      </c>
      <c r="E10" s="14">
        <v>30.22</v>
      </c>
      <c r="F10" s="14">
        <v>30.25</v>
      </c>
      <c r="G10" s="14">
        <v>33.61</v>
      </c>
      <c r="L10" t="s">
        <v>3</v>
      </c>
      <c r="M10" s="16">
        <f t="shared" si="5"/>
        <v>33.61</v>
      </c>
      <c r="N10" s="16">
        <f t="shared" si="6"/>
        <v>30.22</v>
      </c>
      <c r="O10" s="16">
        <f t="shared" si="6"/>
        <v>30.25</v>
      </c>
      <c r="P10" s="16">
        <f t="shared" si="6"/>
        <v>33.61</v>
      </c>
    </row>
    <row r="11" spans="1:16" ht="16" x14ac:dyDescent="0.4">
      <c r="A11" s="7" t="s">
        <v>6</v>
      </c>
      <c r="B11" s="8" t="s">
        <v>12</v>
      </c>
      <c r="C11" s="8" t="s">
        <v>2</v>
      </c>
      <c r="D11" s="13">
        <v>5.67</v>
      </c>
      <c r="E11" s="13">
        <v>7.92</v>
      </c>
      <c r="F11" s="13">
        <v>6.72</v>
      </c>
      <c r="G11" s="13">
        <v>6.09</v>
      </c>
      <c r="L11" t="s">
        <v>6</v>
      </c>
      <c r="M11" s="16">
        <f t="shared" si="5"/>
        <v>5.67</v>
      </c>
      <c r="N11" s="16">
        <f t="shared" si="6"/>
        <v>7.92</v>
      </c>
      <c r="O11" s="16">
        <f t="shared" si="6"/>
        <v>6.72</v>
      </c>
      <c r="P11" s="16">
        <f t="shared" si="6"/>
        <v>6.09</v>
      </c>
    </row>
    <row r="12" spans="1:16" ht="16" x14ac:dyDescent="0.4">
      <c r="A12" s="9" t="s">
        <v>5</v>
      </c>
      <c r="B12" s="10" t="s">
        <v>12</v>
      </c>
      <c r="C12" s="10" t="s">
        <v>2</v>
      </c>
      <c r="D12" s="14">
        <v>4.04</v>
      </c>
      <c r="E12" s="14">
        <v>7.32</v>
      </c>
      <c r="F12" s="14">
        <v>8.0399999999999991</v>
      </c>
      <c r="G12" s="14">
        <v>4.12</v>
      </c>
      <c r="L12" t="s">
        <v>5</v>
      </c>
      <c r="M12" s="16">
        <f t="shared" si="5"/>
        <v>4.04</v>
      </c>
      <c r="N12" s="16">
        <f t="shared" si="6"/>
        <v>7.32</v>
      </c>
      <c r="O12" s="16">
        <f t="shared" si="6"/>
        <v>8.0399999999999991</v>
      </c>
      <c r="P12" s="16">
        <f t="shared" si="6"/>
        <v>4.12</v>
      </c>
    </row>
    <row r="13" spans="1:16" ht="16" x14ac:dyDescent="0.4">
      <c r="A13" s="7" t="s">
        <v>14</v>
      </c>
      <c r="B13" s="8" t="s">
        <v>12</v>
      </c>
      <c r="C13" s="8" t="s">
        <v>2</v>
      </c>
      <c r="D13" s="13">
        <v>0</v>
      </c>
      <c r="E13" s="13">
        <v>12.65</v>
      </c>
      <c r="F13" s="13">
        <v>0</v>
      </c>
      <c r="G13" s="13">
        <v>0</v>
      </c>
      <c r="L13" t="s">
        <v>14</v>
      </c>
      <c r="M13" s="16">
        <f t="shared" si="5"/>
        <v>0</v>
      </c>
      <c r="N13" s="16">
        <f t="shared" si="6"/>
        <v>12.65</v>
      </c>
      <c r="O13" s="16">
        <f t="shared" si="6"/>
        <v>0</v>
      </c>
      <c r="P13" s="16">
        <f t="shared" si="6"/>
        <v>0</v>
      </c>
    </row>
    <row r="14" spans="1:16" ht="16" x14ac:dyDescent="0.4">
      <c r="A14" s="9" t="s">
        <v>8</v>
      </c>
      <c r="B14" s="10" t="s">
        <v>12</v>
      </c>
      <c r="C14" s="10" t="s">
        <v>2</v>
      </c>
      <c r="D14" s="14">
        <v>0</v>
      </c>
      <c r="E14" s="14">
        <v>0</v>
      </c>
      <c r="F14" s="14">
        <v>7.06</v>
      </c>
      <c r="G14" s="14">
        <v>0</v>
      </c>
      <c r="L14" t="s">
        <v>8</v>
      </c>
      <c r="M14" s="16">
        <f t="shared" si="5"/>
        <v>0</v>
      </c>
      <c r="N14" s="16">
        <f t="shared" si="6"/>
        <v>0</v>
      </c>
      <c r="O14" s="16">
        <f t="shared" si="6"/>
        <v>7.06</v>
      </c>
      <c r="P14" s="16">
        <f t="shared" si="6"/>
        <v>0</v>
      </c>
    </row>
    <row r="15" spans="1:16" ht="16" x14ac:dyDescent="0.4">
      <c r="A15" s="5" t="s">
        <v>25</v>
      </c>
      <c r="B15" s="6" t="s">
        <v>12</v>
      </c>
      <c r="C15" s="6" t="s">
        <v>19</v>
      </c>
      <c r="D15" s="12">
        <v>5.702</v>
      </c>
      <c r="E15" s="12">
        <v>5.702</v>
      </c>
      <c r="F15" s="12">
        <v>5.702</v>
      </c>
      <c r="G15" s="12">
        <v>5.7</v>
      </c>
      <c r="L15" t="s">
        <v>26</v>
      </c>
      <c r="M15" s="17">
        <f>D18</f>
        <v>3.2</v>
      </c>
      <c r="N15" s="17">
        <f t="shared" ref="N15:P18" si="7">E18</f>
        <v>3.2</v>
      </c>
      <c r="O15" s="17">
        <f t="shared" si="7"/>
        <v>3.2</v>
      </c>
      <c r="P15" s="17">
        <f t="shared" si="7"/>
        <v>0</v>
      </c>
    </row>
    <row r="16" spans="1:16" ht="16" x14ac:dyDescent="0.4">
      <c r="A16" s="3" t="s">
        <v>23</v>
      </c>
      <c r="B16" s="4" t="s">
        <v>12</v>
      </c>
      <c r="C16" s="4" t="s">
        <v>21</v>
      </c>
      <c r="D16" s="11">
        <v>4.2910000000000004</v>
      </c>
      <c r="E16" s="11">
        <v>8.7100000000000009</v>
      </c>
      <c r="F16" s="11">
        <v>4.4000000000000004</v>
      </c>
      <c r="G16" s="11">
        <v>7.93</v>
      </c>
      <c r="L16" t="s">
        <v>27</v>
      </c>
      <c r="M16" s="17">
        <f t="shared" ref="M16:M18" si="8">D19</f>
        <v>0</v>
      </c>
      <c r="N16" s="17">
        <f t="shared" si="7"/>
        <v>0</v>
      </c>
      <c r="O16" s="17">
        <f t="shared" si="7"/>
        <v>0</v>
      </c>
      <c r="P16" s="17">
        <f t="shared" si="7"/>
        <v>3.2</v>
      </c>
    </row>
    <row r="17" spans="1:29" ht="16" x14ac:dyDescent="0.4">
      <c r="A17" s="3" t="s">
        <v>30</v>
      </c>
      <c r="B17" s="4" t="s">
        <v>12</v>
      </c>
      <c r="C17" s="4" t="s">
        <v>20</v>
      </c>
      <c r="D17" s="11">
        <v>6.05</v>
      </c>
      <c r="E17" s="11">
        <v>6.05</v>
      </c>
      <c r="F17" s="11">
        <v>6.05</v>
      </c>
      <c r="G17" s="11">
        <v>6.05</v>
      </c>
      <c r="L17" t="s">
        <v>28</v>
      </c>
      <c r="M17" s="17">
        <f t="shared" si="8"/>
        <v>74.790000000000006</v>
      </c>
      <c r="N17" s="17">
        <f t="shared" si="7"/>
        <v>74.790000000000006</v>
      </c>
      <c r="O17" s="17">
        <f t="shared" si="7"/>
        <v>74.790000000000006</v>
      </c>
      <c r="P17" s="17">
        <f t="shared" si="7"/>
        <v>69.22</v>
      </c>
    </row>
    <row r="18" spans="1:29" ht="16" x14ac:dyDescent="0.4">
      <c r="A18" s="9" t="s">
        <v>26</v>
      </c>
      <c r="B18" s="10" t="s">
        <v>15</v>
      </c>
      <c r="C18" s="10" t="s">
        <v>17</v>
      </c>
      <c r="D18" s="14">
        <v>3.2</v>
      </c>
      <c r="E18" s="14">
        <v>3.2</v>
      </c>
      <c r="F18" s="14">
        <v>3.2</v>
      </c>
      <c r="G18" s="14">
        <v>0</v>
      </c>
      <c r="L18" t="s">
        <v>29</v>
      </c>
      <c r="M18" s="17">
        <f t="shared" si="8"/>
        <v>0</v>
      </c>
      <c r="N18" s="17">
        <f t="shared" si="7"/>
        <v>0</v>
      </c>
      <c r="O18" s="17">
        <f t="shared" si="7"/>
        <v>0</v>
      </c>
      <c r="P18" s="17">
        <f t="shared" si="7"/>
        <v>5.57</v>
      </c>
    </row>
    <row r="19" spans="1:29" ht="16" x14ac:dyDescent="0.4">
      <c r="A19" s="7" t="s">
        <v>27</v>
      </c>
      <c r="B19" s="8" t="s">
        <v>15</v>
      </c>
      <c r="C19" s="8" t="s">
        <v>17</v>
      </c>
      <c r="D19" s="13">
        <v>0</v>
      </c>
      <c r="E19" s="13">
        <v>0</v>
      </c>
      <c r="F19" s="13">
        <v>0</v>
      </c>
      <c r="G19" s="13">
        <v>3.2</v>
      </c>
      <c r="M19" s="16"/>
      <c r="N19" s="16"/>
      <c r="O19" s="16"/>
      <c r="P19" s="16"/>
    </row>
    <row r="20" spans="1:29" ht="16" x14ac:dyDescent="0.4">
      <c r="A20" s="7" t="s">
        <v>28</v>
      </c>
      <c r="B20" s="8" t="s">
        <v>15</v>
      </c>
      <c r="C20" s="8" t="s">
        <v>18</v>
      </c>
      <c r="D20" s="13">
        <v>74.790000000000006</v>
      </c>
      <c r="E20" s="13">
        <v>74.790000000000006</v>
      </c>
      <c r="F20" s="13">
        <v>74.790000000000006</v>
      </c>
      <c r="G20" s="13">
        <v>69.22</v>
      </c>
      <c r="L20" t="s">
        <v>35</v>
      </c>
      <c r="M20" s="20" t="s">
        <v>24</v>
      </c>
      <c r="N20" s="20" t="s">
        <v>23</v>
      </c>
      <c r="O20" s="20" t="s">
        <v>25</v>
      </c>
      <c r="P20" s="20" t="s">
        <v>7</v>
      </c>
      <c r="Q20" s="20" t="s">
        <v>30</v>
      </c>
      <c r="R20" s="20" t="s">
        <v>31</v>
      </c>
      <c r="S20" s="20" t="s">
        <v>4</v>
      </c>
      <c r="T20" s="20" t="s">
        <v>13</v>
      </c>
      <c r="U20" s="20" t="s">
        <v>3</v>
      </c>
      <c r="V20" s="20" t="s">
        <v>6</v>
      </c>
      <c r="W20" s="20" t="s">
        <v>5</v>
      </c>
      <c r="X20" s="20" t="s">
        <v>14</v>
      </c>
      <c r="Y20" s="20" t="s">
        <v>8</v>
      </c>
      <c r="Z20" s="23" t="s">
        <v>26</v>
      </c>
      <c r="AA20" s="23" t="s">
        <v>27</v>
      </c>
      <c r="AB20" s="23" t="s">
        <v>28</v>
      </c>
      <c r="AC20" s="23" t="s">
        <v>29</v>
      </c>
    </row>
    <row r="21" spans="1:29" ht="16" x14ac:dyDescent="0.4">
      <c r="A21" s="9" t="s">
        <v>29</v>
      </c>
      <c r="B21" s="10" t="s">
        <v>15</v>
      </c>
      <c r="C21" s="10" t="s">
        <v>18</v>
      </c>
      <c r="D21" s="14">
        <v>0</v>
      </c>
      <c r="E21" s="14">
        <v>0</v>
      </c>
      <c r="F21" s="14">
        <v>0</v>
      </c>
      <c r="G21" s="14">
        <v>5.57</v>
      </c>
      <c r="L21" t="s">
        <v>0</v>
      </c>
      <c r="M21" s="18">
        <v>32.72</v>
      </c>
      <c r="N21" s="18">
        <v>24.279</v>
      </c>
      <c r="O21" s="18">
        <v>8.1020000000000003</v>
      </c>
      <c r="P21" s="18">
        <v>0</v>
      </c>
      <c r="Q21" s="18">
        <v>8.7389987440115799</v>
      </c>
      <c r="R21" s="18">
        <v>2.45180310776911</v>
      </c>
      <c r="S21" s="18">
        <v>16.05</v>
      </c>
      <c r="T21" s="18">
        <v>15.49</v>
      </c>
      <c r="U21" s="18">
        <v>33.61</v>
      </c>
      <c r="V21" s="18">
        <v>5.67</v>
      </c>
      <c r="W21" s="18">
        <v>4.04</v>
      </c>
      <c r="X21" s="18">
        <v>0</v>
      </c>
      <c r="Y21" s="18">
        <v>0</v>
      </c>
      <c r="Z21" s="25">
        <v>3.2</v>
      </c>
      <c r="AA21" s="25">
        <v>0</v>
      </c>
      <c r="AB21" s="25">
        <v>74.790000000000006</v>
      </c>
      <c r="AC21" s="25">
        <v>0</v>
      </c>
    </row>
    <row r="22" spans="1:29" x14ac:dyDescent="0.35">
      <c r="L22" t="s">
        <v>1</v>
      </c>
      <c r="M22" s="18">
        <v>0</v>
      </c>
      <c r="N22" s="18">
        <v>63.82</v>
      </c>
      <c r="O22" s="18">
        <v>5.702</v>
      </c>
      <c r="P22" s="18">
        <v>0</v>
      </c>
      <c r="Q22" s="18">
        <v>8.7390001466848695</v>
      </c>
      <c r="R22" s="18">
        <v>2.037654E-6</v>
      </c>
      <c r="S22" s="18">
        <v>17.37</v>
      </c>
      <c r="T22" s="18">
        <v>15.49</v>
      </c>
      <c r="U22" s="18">
        <v>30.22</v>
      </c>
      <c r="V22" s="18">
        <v>7.92</v>
      </c>
      <c r="W22" s="18">
        <v>7.32</v>
      </c>
      <c r="X22" s="18">
        <v>12.65</v>
      </c>
      <c r="Y22" s="18">
        <v>0</v>
      </c>
      <c r="Z22" s="25">
        <v>3.2</v>
      </c>
      <c r="AA22" s="25">
        <v>0</v>
      </c>
      <c r="AB22" s="25">
        <v>74.790000000000006</v>
      </c>
      <c r="AC22" s="25">
        <v>0</v>
      </c>
    </row>
    <row r="23" spans="1:29" x14ac:dyDescent="0.35">
      <c r="L23" t="s">
        <v>11</v>
      </c>
      <c r="M23" s="18">
        <v>18.239999999999998</v>
      </c>
      <c r="N23" s="18">
        <v>41.269999999999996</v>
      </c>
      <c r="O23" s="18">
        <v>5.702</v>
      </c>
      <c r="P23" s="18">
        <v>4.28</v>
      </c>
      <c r="Q23" s="18">
        <v>8.7390004371219092</v>
      </c>
      <c r="R23" s="18">
        <v>1.612777E-5</v>
      </c>
      <c r="S23" s="18">
        <v>16.05</v>
      </c>
      <c r="T23" s="18">
        <v>15.49</v>
      </c>
      <c r="U23" s="18">
        <v>30.25</v>
      </c>
      <c r="V23" s="18">
        <v>6.72</v>
      </c>
      <c r="W23" s="18">
        <v>8.0399999999999991</v>
      </c>
      <c r="X23" s="18">
        <v>0</v>
      </c>
      <c r="Y23" s="18">
        <v>7.06</v>
      </c>
      <c r="Z23" s="25">
        <v>3.2</v>
      </c>
      <c r="AA23" s="25">
        <v>0</v>
      </c>
      <c r="AB23" s="25">
        <v>74.790000000000006</v>
      </c>
      <c r="AC23" s="25">
        <v>0</v>
      </c>
    </row>
    <row r="24" spans="1:29" x14ac:dyDescent="0.35">
      <c r="L24" t="s">
        <v>22</v>
      </c>
      <c r="M24" s="18">
        <v>34.85</v>
      </c>
      <c r="N24" s="18">
        <v>9.5599999999999987</v>
      </c>
      <c r="O24" s="18">
        <v>24.33</v>
      </c>
      <c r="P24" s="18">
        <v>0</v>
      </c>
      <c r="Q24" s="18">
        <v>8.7389930322347436</v>
      </c>
      <c r="R24" s="18">
        <v>2.4518200087331268</v>
      </c>
      <c r="S24" s="18">
        <v>18.260000000000002</v>
      </c>
      <c r="T24" s="18">
        <v>15.49</v>
      </c>
      <c r="U24" s="18">
        <v>33.61</v>
      </c>
      <c r="V24" s="18">
        <v>6.09</v>
      </c>
      <c r="W24" s="18">
        <v>4.12</v>
      </c>
      <c r="X24" s="18">
        <v>0</v>
      </c>
      <c r="Y24" s="18">
        <v>0</v>
      </c>
      <c r="Z24" s="25">
        <v>0</v>
      </c>
      <c r="AA24" s="25">
        <v>3.2</v>
      </c>
      <c r="AB24" s="25">
        <v>69.22</v>
      </c>
      <c r="AC24" s="25">
        <v>5.57</v>
      </c>
    </row>
  </sheetData>
  <autoFilter ref="A1:G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D76E7-E8C8-4F44-9B32-C0EFC921E580}">
  <dimension ref="A1:R8"/>
  <sheetViews>
    <sheetView tabSelected="1" workbookViewId="0">
      <selection activeCell="G9" sqref="G9"/>
    </sheetView>
  </sheetViews>
  <sheetFormatPr defaultRowHeight="14.5" x14ac:dyDescent="0.35"/>
  <cols>
    <col min="6" max="6" width="11.81640625" bestFit="1" customWidth="1"/>
  </cols>
  <sheetData>
    <row r="1" spans="1:18" x14ac:dyDescent="0.35">
      <c r="B1" s="19" t="s">
        <v>24</v>
      </c>
      <c r="C1" s="19" t="s">
        <v>23</v>
      </c>
      <c r="D1" s="19" t="s">
        <v>25</v>
      </c>
      <c r="E1" s="19" t="s">
        <v>7</v>
      </c>
      <c r="F1" s="19" t="s">
        <v>30</v>
      </c>
      <c r="G1" s="19" t="s">
        <v>41</v>
      </c>
      <c r="H1" s="19" t="s">
        <v>4</v>
      </c>
      <c r="I1" s="19" t="s">
        <v>13</v>
      </c>
      <c r="J1" s="19" t="s">
        <v>3</v>
      </c>
      <c r="K1" s="19" t="s">
        <v>6</v>
      </c>
      <c r="L1" s="19" t="s">
        <v>5</v>
      </c>
      <c r="M1" s="19" t="s">
        <v>14</v>
      </c>
      <c r="N1" s="19" t="s">
        <v>8</v>
      </c>
      <c r="O1" s="22" t="s">
        <v>26</v>
      </c>
      <c r="P1" s="22" t="s">
        <v>27</v>
      </c>
      <c r="Q1" s="22" t="s">
        <v>28</v>
      </c>
      <c r="R1" s="22" t="s">
        <v>29</v>
      </c>
    </row>
    <row r="2" spans="1:18" x14ac:dyDescent="0.35">
      <c r="A2" t="s">
        <v>0</v>
      </c>
      <c r="B2" s="20" t="s">
        <v>34</v>
      </c>
      <c r="C2" s="20" t="s">
        <v>34</v>
      </c>
      <c r="D2" s="20" t="s">
        <v>34</v>
      </c>
      <c r="E2" s="20" t="s">
        <v>34</v>
      </c>
      <c r="F2" s="20" t="s">
        <v>34</v>
      </c>
      <c r="G2" s="20" t="s">
        <v>34</v>
      </c>
      <c r="H2" s="20" t="s">
        <v>34</v>
      </c>
      <c r="I2" s="20" t="s">
        <v>34</v>
      </c>
      <c r="J2" s="20" t="s">
        <v>34</v>
      </c>
      <c r="K2" s="20" t="s">
        <v>34</v>
      </c>
      <c r="L2" s="20" t="s">
        <v>34</v>
      </c>
      <c r="M2" s="20" t="s">
        <v>34</v>
      </c>
      <c r="N2" s="20" t="s">
        <v>34</v>
      </c>
      <c r="O2" s="23" t="s">
        <v>34</v>
      </c>
      <c r="P2" s="23" t="s">
        <v>34</v>
      </c>
      <c r="Q2" s="23" t="s">
        <v>34</v>
      </c>
      <c r="R2" s="23" t="s">
        <v>34</v>
      </c>
    </row>
    <row r="3" spans="1:18" x14ac:dyDescent="0.35">
      <c r="A3" t="s">
        <v>1</v>
      </c>
      <c r="B3" s="21">
        <f>('Scenario background'!M22-'Scenario background'!M$21)/SUM('Scenario background'!$M$21:$Y$21)</f>
        <v>-0.21647112107922609</v>
      </c>
      <c r="C3" s="21">
        <f>('Scenario background'!N22-'Scenario background'!N$21)/SUM('Scenario background'!$M$21:$Y$21)</f>
        <v>0.26159794005481901</v>
      </c>
      <c r="D3" s="21">
        <f>('Scenario background'!O22-'Scenario background'!O$21)/SUM('Scenario background'!$M$21:$Y$21)</f>
        <v>-1.5878077340774534E-2</v>
      </c>
      <c r="E3" s="21">
        <f>('Scenario background'!P22-'Scenario background'!P$21)/SUM('Scenario background'!$M$21:$Y$21)</f>
        <v>0</v>
      </c>
      <c r="F3" s="21">
        <f>('Scenario background'!Q22-'Scenario background'!Q$21)/SUM('Scenario background'!$M$21:$Y$21)</f>
        <v>9.2798979061750802E-9</v>
      </c>
      <c r="G3" s="21">
        <f>('Scenario background'!R22-'Scenario background'!R$21)/SUM('Scenario background'!$M$21:$Y$21)</f>
        <v>-1.6220786256450612E-2</v>
      </c>
      <c r="H3" s="21">
        <f>('Scenario background'!S22-'Scenario background'!S$21)/SUM('Scenario background'!$M$21:$Y$21)</f>
        <v>8.7329425374259931E-3</v>
      </c>
      <c r="I3" s="21">
        <f>('Scenario background'!T22-'Scenario background'!T$21)/SUM('Scenario background'!$M$21:$Y$21)</f>
        <v>0</v>
      </c>
      <c r="J3" s="21">
        <f>('Scenario background'!U22-'Scenario background'!U$21)/SUM('Scenario background'!$M$21:$Y$21)</f>
        <v>-2.2427784243844028E-2</v>
      </c>
      <c r="K3" s="21">
        <f>('Scenario background'!V22-'Scenario background'!V$21)/SUM('Scenario background'!$M$21:$Y$21)</f>
        <v>1.4885697506976122E-2</v>
      </c>
      <c r="L3" s="21">
        <f>('Scenario background'!W22-'Scenario background'!W$21)/SUM('Scenario background'!$M$21:$Y$21)</f>
        <v>2.1700039032391861E-2</v>
      </c>
      <c r="M3" s="21">
        <f>('Scenario background'!X22-'Scenario background'!X$21)/SUM('Scenario background'!$M$21:$Y$21)</f>
        <v>8.3690699316999087E-2</v>
      </c>
      <c r="N3" s="21">
        <f>('Scenario background'!Y22-'Scenario background'!Y$21)/SUM('Scenario background'!$M$21:$Y$21)</f>
        <v>0</v>
      </c>
      <c r="O3" s="24">
        <f>('Scenario background'!Z22-'Scenario background'!Z$21)/SUM('Scenario background'!$Z$21:$AC$21)</f>
        <v>0</v>
      </c>
      <c r="P3" s="24">
        <f>('Scenario background'!AA22-'Scenario background'!AA$21)/SUM('Scenario background'!$Z$21:$AC$21)</f>
        <v>0</v>
      </c>
      <c r="Q3" s="24">
        <f>('Scenario background'!AB22-'Scenario background'!AB$21)/SUM('Scenario background'!$Z$21:$AC$21)</f>
        <v>0</v>
      </c>
      <c r="R3" s="24">
        <f>('Scenario background'!AC22-'Scenario background'!AC$21)/SUM('Scenario background'!$Z$21:$AC$21)</f>
        <v>0</v>
      </c>
    </row>
    <row r="4" spans="1:18" x14ac:dyDescent="0.35">
      <c r="A4" t="s">
        <v>33</v>
      </c>
      <c r="B4" s="21">
        <f>('Scenario background'!M23-'Scenario background'!M$21)/SUM('Scenario background'!$M$21:$Y$21)</f>
        <v>-9.5797733289339673E-2</v>
      </c>
      <c r="C4" s="21">
        <f>('Scenario background'!N23-'Scenario background'!N$21)/SUM('Scenario background'!$M$21:$Y$21)</f>
        <v>0.112410171707125</v>
      </c>
      <c r="D4" s="21">
        <f>('Scenario background'!O23-'Scenario background'!O$21)/SUM('Scenario background'!$M$21:$Y$21)</f>
        <v>-1.5878077340774534E-2</v>
      </c>
      <c r="E4" s="21">
        <f>('Scenario background'!P23-'Scenario background'!P$21)/SUM('Scenario background'!$M$21:$Y$21)</f>
        <v>2.8315904591047915E-2</v>
      </c>
      <c r="F4" s="21">
        <f>('Scenario background'!Q23-'Scenario background'!Q$21)/SUM('Scenario background'!$M$21:$Y$21)</f>
        <v>1.1201390314425864E-8</v>
      </c>
      <c r="G4" s="21">
        <f>('Scenario background'!R23-'Scenario background'!R$21)/SUM('Scenario background'!$M$21:$Y$21)</f>
        <v>-1.6220693038137453E-2</v>
      </c>
      <c r="H4" s="21">
        <f>('Scenario background'!S23-'Scenario background'!S$21)/SUM('Scenario background'!$M$21:$Y$21)</f>
        <v>0</v>
      </c>
      <c r="I4" s="21">
        <f>('Scenario background'!T23-'Scenario background'!T$21)/SUM('Scenario background'!$M$21:$Y$21)</f>
        <v>0</v>
      </c>
      <c r="J4" s="21">
        <f>('Scenario background'!U23-'Scenario background'!U$21)/SUM('Scenario background'!$M$21:$Y$21)</f>
        <v>-2.2229308277084338E-2</v>
      </c>
      <c r="K4" s="21">
        <f>('Scenario background'!V23-'Scenario background'!V$21)/SUM('Scenario background'!$M$21:$Y$21)</f>
        <v>6.946658836588856E-3</v>
      </c>
      <c r="L4" s="21">
        <f>('Scenario background'!W23-'Scenario background'!W$21)/SUM('Scenario background'!$M$21:$Y$21)</f>
        <v>2.6463462234624213E-2</v>
      </c>
      <c r="M4" s="21">
        <f>('Scenario background'!X23-'Scenario background'!X$21)/SUM('Scenario background'!$M$21:$Y$21)</f>
        <v>0</v>
      </c>
      <c r="N4" s="21">
        <f>('Scenario background'!Y23-'Scenario background'!Y$21)/SUM('Scenario background'!$M$21:$Y$21)</f>
        <v>4.670801084411174E-2</v>
      </c>
      <c r="O4" s="24">
        <f>('Scenario background'!Z23-'Scenario background'!Z$21)/SUM('Scenario background'!$Z$21:$AC$21)</f>
        <v>0</v>
      </c>
      <c r="P4" s="24">
        <f>('Scenario background'!AA23-'Scenario background'!AA$21)/SUM('Scenario background'!$Z$21:$AC$21)</f>
        <v>0</v>
      </c>
      <c r="Q4" s="24">
        <f>('Scenario background'!AB23-'Scenario background'!AB$21)/SUM('Scenario background'!$Z$21:$AC$21)</f>
        <v>0</v>
      </c>
      <c r="R4" s="24">
        <f>('Scenario background'!AC23-'Scenario background'!AC$21)/SUM('Scenario background'!$Z$21:$AC$21)</f>
        <v>0</v>
      </c>
    </row>
    <row r="5" spans="1:18" x14ac:dyDescent="0.35">
      <c r="A5" t="s">
        <v>22</v>
      </c>
      <c r="B5" s="21">
        <f>('Scenario background'!M24-'Scenario background'!M$21)/SUM('Scenario background'!$M$21:$Y$21)</f>
        <v>1.4091793639937412E-2</v>
      </c>
      <c r="C5" s="21">
        <f>('Scenario background'!N24-'Scenario background'!N$21)/SUM('Scenario background'!$M$21:$Y$21)</f>
        <v>-9.7378925157858467E-2</v>
      </c>
      <c r="D5" s="21">
        <f>('Scenario background'!O24-'Scenario background'!O$21)/SUM('Scenario background'!$M$21:$Y$21)</f>
        <v>0.10736226628587044</v>
      </c>
      <c r="E5" s="21">
        <f>('Scenario background'!P24-'Scenario background'!P$21)/SUM('Scenario background'!$M$21:$Y$21)</f>
        <v>0</v>
      </c>
      <c r="F5" s="21">
        <f>('Scenario background'!Q24-'Scenario background'!Q$21)/SUM('Scenario background'!$M$21:$Y$21)</f>
        <v>-3.7788347650617556E-8</v>
      </c>
      <c r="G5" s="21">
        <f>('Scenario background'!R24-'Scenario background'!R$21)/SUM('Scenario background'!$M$21:$Y$21)</f>
        <v>1.1181450574644658E-7</v>
      </c>
      <c r="H5" s="21">
        <f>('Scenario background'!S24-'Scenario background'!S$21)/SUM('Scenario background'!$M$21:$Y$21)</f>
        <v>1.4621062884629886E-2</v>
      </c>
      <c r="I5" s="21">
        <f>('Scenario background'!T24-'Scenario background'!T$21)/SUM('Scenario background'!$M$21:$Y$21)</f>
        <v>0</v>
      </c>
      <c r="J5" s="21">
        <f>('Scenario background'!U24-'Scenario background'!U$21)/SUM('Scenario background'!$M$21:$Y$21)</f>
        <v>0</v>
      </c>
      <c r="K5" s="21">
        <f>('Scenario background'!V24-'Scenario background'!V$21)/SUM('Scenario background'!$M$21:$Y$21)</f>
        <v>2.7786635346355422E-3</v>
      </c>
      <c r="L5" s="21">
        <f>('Scenario background'!W24-'Scenario background'!W$21)/SUM('Scenario background'!$M$21:$Y$21)</f>
        <v>5.2926924469248477E-4</v>
      </c>
      <c r="M5" s="21">
        <f>('Scenario background'!X24-'Scenario background'!X$21)/SUM('Scenario background'!$M$21:$Y$21)</f>
        <v>0</v>
      </c>
      <c r="N5" s="21">
        <f>('Scenario background'!Y24-'Scenario background'!Y$21)/SUM('Scenario background'!$M$21:$Y$21)</f>
        <v>0</v>
      </c>
      <c r="O5" s="24">
        <f>('Scenario background'!Z24-'Scenario background'!Z$21)/SUM('Scenario background'!$Z$21:$AC$21)</f>
        <v>-4.1030901397615074E-2</v>
      </c>
      <c r="P5" s="24">
        <f>('Scenario background'!AA24-'Scenario background'!AA$21)/SUM('Scenario background'!$Z$21:$AC$21)</f>
        <v>4.1030901397615074E-2</v>
      </c>
      <c r="Q5" s="24">
        <f>('Scenario background'!AB24-'Scenario background'!AB$21)/SUM('Scenario background'!$Z$21:$AC$21)</f>
        <v>-7.1419412745223829E-2</v>
      </c>
      <c r="R5" s="24">
        <f>('Scenario background'!AC24-'Scenario background'!AC$21)/SUM('Scenario background'!$Z$21:$AC$21)</f>
        <v>7.1419412745223745E-2</v>
      </c>
    </row>
    <row r="7" spans="1:18" x14ac:dyDescent="0.35">
      <c r="B7" s="20"/>
      <c r="C7" t="s">
        <v>158</v>
      </c>
      <c r="E7" t="s">
        <v>160</v>
      </c>
    </row>
    <row r="8" spans="1:18" x14ac:dyDescent="0.35">
      <c r="B8" s="23"/>
      <c r="C8" t="s">
        <v>159</v>
      </c>
      <c r="E8" t="s">
        <v>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C67B6-684D-44C2-9DB1-B52D5A21565A}">
  <dimension ref="A1:AD64"/>
  <sheetViews>
    <sheetView topLeftCell="A22" zoomScaleNormal="100" workbookViewId="0">
      <selection activeCell="D3" sqref="D3:L48"/>
    </sheetView>
  </sheetViews>
  <sheetFormatPr defaultRowHeight="14.5" x14ac:dyDescent="0.35"/>
  <cols>
    <col min="3" max="3" width="8.7265625" style="27"/>
    <col min="5" max="5" width="58.1796875" customWidth="1"/>
    <col min="6" max="6" width="10.08984375" customWidth="1"/>
    <col min="7" max="12" width="20.1796875" customWidth="1"/>
    <col min="13" max="29" width="5.6328125" customWidth="1"/>
  </cols>
  <sheetData>
    <row r="1" spans="1:30" x14ac:dyDescent="0.35">
      <c r="A1" s="38"/>
      <c r="B1" s="38"/>
      <c r="C1" s="39"/>
      <c r="D1" s="37" t="s">
        <v>42</v>
      </c>
      <c r="E1" s="37" t="s">
        <v>43</v>
      </c>
      <c r="F1" s="37" t="s">
        <v>44</v>
      </c>
      <c r="G1" s="37" t="s">
        <v>45</v>
      </c>
      <c r="H1" s="37" t="s">
        <v>46</v>
      </c>
      <c r="I1" s="37"/>
      <c r="J1" s="37"/>
      <c r="K1" s="37"/>
      <c r="L1" s="37"/>
      <c r="M1" s="37" t="s">
        <v>47</v>
      </c>
      <c r="N1" s="37"/>
      <c r="O1" s="37"/>
      <c r="P1" s="37"/>
      <c r="Q1" s="37"/>
      <c r="R1" s="37"/>
      <c r="S1" s="37"/>
      <c r="T1" s="37"/>
      <c r="U1" s="37"/>
      <c r="V1" s="37"/>
      <c r="W1" s="37"/>
      <c r="X1" s="37"/>
      <c r="Y1" s="37"/>
      <c r="Z1" s="37"/>
      <c r="AA1" s="37"/>
      <c r="AB1" s="37"/>
      <c r="AC1" s="37"/>
      <c r="AD1" s="37" t="s">
        <v>48</v>
      </c>
    </row>
    <row r="2" spans="1:30" x14ac:dyDescent="0.35">
      <c r="A2" s="38"/>
      <c r="B2" s="38"/>
      <c r="C2" s="39"/>
      <c r="D2" s="37"/>
      <c r="E2" s="37"/>
      <c r="F2" s="37"/>
      <c r="G2" s="37"/>
      <c r="H2" s="26" t="s">
        <v>49</v>
      </c>
      <c r="I2" s="26" t="s">
        <v>50</v>
      </c>
      <c r="J2" s="26" t="s">
        <v>51</v>
      </c>
      <c r="K2" s="26" t="s">
        <v>52</v>
      </c>
      <c r="L2" s="26" t="s">
        <v>53</v>
      </c>
      <c r="M2" s="26" t="s">
        <v>24</v>
      </c>
      <c r="N2" s="26" t="s">
        <v>23</v>
      </c>
      <c r="O2" s="26" t="s">
        <v>25</v>
      </c>
      <c r="P2" s="26" t="s">
        <v>7</v>
      </c>
      <c r="Q2" s="26" t="s">
        <v>30</v>
      </c>
      <c r="R2" s="26" t="s">
        <v>41</v>
      </c>
      <c r="S2" s="26" t="s">
        <v>4</v>
      </c>
      <c r="T2" s="26" t="s">
        <v>13</v>
      </c>
      <c r="U2" s="26" t="s">
        <v>3</v>
      </c>
      <c r="V2" s="26" t="s">
        <v>6</v>
      </c>
      <c r="W2" s="26" t="s">
        <v>5</v>
      </c>
      <c r="X2" s="26" t="s">
        <v>54</v>
      </c>
      <c r="Y2" s="26" t="s">
        <v>8</v>
      </c>
      <c r="Z2" s="26" t="s">
        <v>26</v>
      </c>
      <c r="AA2" s="26" t="s">
        <v>27</v>
      </c>
      <c r="AB2" s="26" t="s">
        <v>28</v>
      </c>
      <c r="AC2" s="26" t="s">
        <v>29</v>
      </c>
      <c r="AD2" s="37"/>
    </row>
    <row r="3" spans="1:30" x14ac:dyDescent="0.35">
      <c r="A3" t="s">
        <v>351</v>
      </c>
      <c r="B3" s="27" t="s">
        <v>352</v>
      </c>
      <c r="C3" s="27" t="s">
        <v>353</v>
      </c>
      <c r="D3" s="28" t="str">
        <f>A3 &amp; "_" &amp; B3 &amp; "_" &amp; C3</f>
        <v>I_01_1-5</v>
      </c>
      <c r="E3" s="28" t="s">
        <v>55</v>
      </c>
      <c r="F3" s="28" t="s">
        <v>56</v>
      </c>
      <c r="G3" s="28" t="s">
        <v>57</v>
      </c>
      <c r="H3" s="28" t="s">
        <v>58</v>
      </c>
      <c r="I3" s="28" t="s">
        <v>59</v>
      </c>
      <c r="J3" s="28" t="s">
        <v>60</v>
      </c>
      <c r="K3" s="28" t="s">
        <v>61</v>
      </c>
      <c r="L3" s="28" t="s">
        <v>62</v>
      </c>
      <c r="M3" s="29">
        <v>0.2</v>
      </c>
      <c r="N3" s="29">
        <v>0.2</v>
      </c>
      <c r="O3" s="29">
        <v>0.2</v>
      </c>
      <c r="P3" s="28"/>
      <c r="Q3" s="29">
        <v>0.2</v>
      </c>
      <c r="R3" s="29">
        <v>0.2</v>
      </c>
      <c r="S3" s="28"/>
      <c r="T3" s="28"/>
      <c r="U3" s="28"/>
      <c r="V3" s="28"/>
      <c r="W3" s="28"/>
      <c r="X3" s="28"/>
      <c r="Y3" s="28"/>
      <c r="Z3" s="28"/>
      <c r="AA3" s="28"/>
      <c r="AB3" s="28"/>
      <c r="AC3" s="28"/>
      <c r="AD3" s="28"/>
    </row>
    <row r="4" spans="1:30" x14ac:dyDescent="0.35">
      <c r="A4" t="s">
        <v>354</v>
      </c>
      <c r="B4" s="27" t="s">
        <v>355</v>
      </c>
      <c r="C4" s="27" t="s">
        <v>356</v>
      </c>
      <c r="D4" s="28" t="str">
        <f t="shared" ref="D4:D46" si="0">A4 &amp; "_" &amp; B4 &amp; "_" &amp; C4</f>
        <v>N_02_4-5</v>
      </c>
      <c r="E4" s="28" t="s">
        <v>63</v>
      </c>
      <c r="F4" s="28" t="s">
        <v>64</v>
      </c>
      <c r="G4" s="28" t="s">
        <v>57</v>
      </c>
      <c r="H4" s="28" t="s">
        <v>65</v>
      </c>
      <c r="I4" s="28" t="s">
        <v>65</v>
      </c>
      <c r="J4" s="28" t="s">
        <v>65</v>
      </c>
      <c r="K4" s="28" t="s">
        <v>58</v>
      </c>
      <c r="L4" s="28" t="s">
        <v>66</v>
      </c>
      <c r="M4" s="28"/>
      <c r="N4" s="28"/>
      <c r="O4" s="28"/>
      <c r="P4" s="28"/>
      <c r="Q4" s="28"/>
      <c r="R4" s="28"/>
      <c r="S4" s="28"/>
      <c r="T4" s="28"/>
      <c r="U4" s="28"/>
      <c r="V4" s="28"/>
      <c r="W4" s="28"/>
      <c r="X4" s="28"/>
      <c r="Y4" s="28"/>
      <c r="Z4" s="29">
        <v>0.25</v>
      </c>
      <c r="AA4" s="29">
        <v>0.25</v>
      </c>
      <c r="AB4" s="29">
        <v>0.25</v>
      </c>
      <c r="AC4" s="29">
        <v>0.25</v>
      </c>
      <c r="AD4" s="28"/>
    </row>
    <row r="5" spans="1:30" x14ac:dyDescent="0.35">
      <c r="A5" t="s">
        <v>351</v>
      </c>
      <c r="B5" s="27" t="s">
        <v>357</v>
      </c>
      <c r="C5" s="27" t="s">
        <v>358</v>
      </c>
      <c r="D5" s="28" t="str">
        <f t="shared" si="0"/>
        <v>I_03_1-3</v>
      </c>
      <c r="E5" s="28" t="s">
        <v>67</v>
      </c>
      <c r="F5" s="28" t="s">
        <v>56</v>
      </c>
      <c r="G5" s="28" t="s">
        <v>68</v>
      </c>
      <c r="H5" s="28" t="s">
        <v>359</v>
      </c>
      <c r="I5" s="28" t="s">
        <v>360</v>
      </c>
      <c r="J5" s="28" t="s">
        <v>69</v>
      </c>
      <c r="K5" s="28" t="s">
        <v>65</v>
      </c>
      <c r="L5" s="28" t="s">
        <v>65</v>
      </c>
      <c r="M5" s="28"/>
      <c r="N5" s="28"/>
      <c r="O5" s="28"/>
      <c r="P5" s="28"/>
      <c r="Q5" s="28"/>
      <c r="R5" s="29">
        <v>1</v>
      </c>
      <c r="S5" s="28"/>
      <c r="T5" s="28"/>
      <c r="U5" s="28"/>
      <c r="V5" s="28"/>
      <c r="W5" s="28"/>
      <c r="X5" s="28"/>
      <c r="Y5" s="28"/>
      <c r="Z5" s="28"/>
      <c r="AA5" s="28"/>
      <c r="AB5" s="28"/>
      <c r="AC5" s="28"/>
      <c r="AD5" s="28"/>
    </row>
    <row r="6" spans="1:30" x14ac:dyDescent="0.35">
      <c r="A6" t="s">
        <v>351</v>
      </c>
      <c r="B6" s="27" t="s">
        <v>361</v>
      </c>
      <c r="C6" s="27" t="s">
        <v>362</v>
      </c>
      <c r="D6" s="28" t="str">
        <f t="shared" si="0"/>
        <v>I_04_3-5</v>
      </c>
      <c r="E6" s="28" t="s">
        <v>70</v>
      </c>
      <c r="F6" s="28" t="s">
        <v>56</v>
      </c>
      <c r="G6" s="28" t="s">
        <v>57</v>
      </c>
      <c r="H6" s="28" t="s">
        <v>65</v>
      </c>
      <c r="I6" s="28" t="s">
        <v>65</v>
      </c>
      <c r="J6" s="28" t="s">
        <v>71</v>
      </c>
      <c r="K6" s="28" t="s">
        <v>72</v>
      </c>
      <c r="L6" s="28" t="s">
        <v>73</v>
      </c>
      <c r="M6" s="29">
        <v>0.2</v>
      </c>
      <c r="N6" s="29">
        <v>0.2</v>
      </c>
      <c r="O6" s="29">
        <v>0.2</v>
      </c>
      <c r="P6" s="28"/>
      <c r="Q6" s="29">
        <v>0.2</v>
      </c>
      <c r="R6" s="29">
        <v>0.2</v>
      </c>
      <c r="S6" s="28"/>
      <c r="T6" s="28"/>
      <c r="U6" s="28"/>
      <c r="V6" s="28"/>
      <c r="W6" s="28"/>
      <c r="X6" s="28"/>
      <c r="Y6" s="28"/>
      <c r="Z6" s="28"/>
      <c r="AA6" s="28"/>
      <c r="AB6" s="28"/>
      <c r="AC6" s="28"/>
      <c r="AD6" s="28"/>
    </row>
    <row r="7" spans="1:30" x14ac:dyDescent="0.35">
      <c r="A7" t="s">
        <v>351</v>
      </c>
      <c r="B7" s="27" t="s">
        <v>363</v>
      </c>
      <c r="C7" s="27" t="s">
        <v>353</v>
      </c>
      <c r="D7" s="28" t="str">
        <f t="shared" si="0"/>
        <v>I_05_1-5</v>
      </c>
      <c r="E7" s="28" t="s">
        <v>74</v>
      </c>
      <c r="F7" s="28" t="s">
        <v>56</v>
      </c>
      <c r="G7" s="28" t="s">
        <v>57</v>
      </c>
      <c r="H7" s="28" t="s">
        <v>364</v>
      </c>
      <c r="I7" s="28" t="s">
        <v>365</v>
      </c>
      <c r="J7" s="28" t="s">
        <v>75</v>
      </c>
      <c r="K7" s="28" t="s">
        <v>366</v>
      </c>
      <c r="L7" s="28" t="s">
        <v>367</v>
      </c>
      <c r="M7" s="28"/>
      <c r="N7" s="28"/>
      <c r="O7" s="28"/>
      <c r="P7" s="28"/>
      <c r="Q7" s="28"/>
      <c r="R7" s="28"/>
      <c r="S7" s="28"/>
      <c r="T7" s="28"/>
      <c r="U7" s="28"/>
      <c r="V7" s="28"/>
      <c r="W7" s="28"/>
      <c r="X7" s="28"/>
      <c r="Y7" s="28"/>
      <c r="Z7" s="29">
        <v>0.25</v>
      </c>
      <c r="AA7" s="29">
        <v>0.25</v>
      </c>
      <c r="AB7" s="29">
        <v>0.25</v>
      </c>
      <c r="AC7" s="29">
        <v>0.25</v>
      </c>
      <c r="AD7" s="28"/>
    </row>
    <row r="8" spans="1:30" x14ac:dyDescent="0.35">
      <c r="A8" t="s">
        <v>351</v>
      </c>
      <c r="B8" s="27" t="s">
        <v>368</v>
      </c>
      <c r="C8" s="27" t="s">
        <v>353</v>
      </c>
      <c r="D8" s="28" t="str">
        <f t="shared" si="0"/>
        <v>I_06_1-5</v>
      </c>
      <c r="E8" s="28" t="s">
        <v>76</v>
      </c>
      <c r="F8" s="28" t="s">
        <v>56</v>
      </c>
      <c r="G8" s="28" t="s">
        <v>77</v>
      </c>
      <c r="H8" s="28" t="s">
        <v>369</v>
      </c>
      <c r="I8" s="28" t="s">
        <v>370</v>
      </c>
      <c r="J8" s="28" t="s">
        <v>78</v>
      </c>
      <c r="K8" s="28" t="s">
        <v>371</v>
      </c>
      <c r="L8" s="28" t="s">
        <v>372</v>
      </c>
      <c r="M8" s="28"/>
      <c r="N8" s="28"/>
      <c r="O8" s="28"/>
      <c r="P8" s="29">
        <v>0.1</v>
      </c>
      <c r="Q8" s="29">
        <v>0.1</v>
      </c>
      <c r="R8" s="29">
        <v>0.1</v>
      </c>
      <c r="S8" s="29">
        <v>0.1</v>
      </c>
      <c r="T8" s="29">
        <v>0.1</v>
      </c>
      <c r="U8" s="29">
        <v>0.1</v>
      </c>
      <c r="V8" s="29">
        <v>0.1</v>
      </c>
      <c r="W8" s="29">
        <v>0.1</v>
      </c>
      <c r="X8" s="29">
        <v>0.1</v>
      </c>
      <c r="Y8" s="29">
        <v>0.1</v>
      </c>
      <c r="Z8" s="28"/>
      <c r="AA8" s="28"/>
      <c r="AB8" s="28"/>
      <c r="AC8" s="28"/>
      <c r="AD8" s="28"/>
    </row>
    <row r="9" spans="1:30" x14ac:dyDescent="0.35">
      <c r="A9" t="s">
        <v>354</v>
      </c>
      <c r="B9" s="27" t="s">
        <v>373</v>
      </c>
      <c r="C9" s="27" t="s">
        <v>356</v>
      </c>
      <c r="D9" s="28" t="str">
        <f t="shared" si="0"/>
        <v>N_07_4-5</v>
      </c>
      <c r="E9" s="28" t="s">
        <v>79</v>
      </c>
      <c r="F9" s="28" t="s">
        <v>64</v>
      </c>
      <c r="G9" s="28" t="s">
        <v>80</v>
      </c>
      <c r="H9" s="28" t="s">
        <v>65</v>
      </c>
      <c r="I9" s="28" t="s">
        <v>65</v>
      </c>
      <c r="J9" s="28" t="s">
        <v>65</v>
      </c>
      <c r="K9" s="30">
        <v>0.5</v>
      </c>
      <c r="L9" s="30">
        <v>1</v>
      </c>
      <c r="M9" s="28"/>
      <c r="N9" s="28"/>
      <c r="O9" s="28"/>
      <c r="P9" s="28"/>
      <c r="Q9" s="28"/>
      <c r="R9" s="28"/>
      <c r="S9" s="28"/>
      <c r="T9" s="28"/>
      <c r="U9" s="28"/>
      <c r="V9" s="28"/>
      <c r="W9" s="28"/>
      <c r="X9" s="29">
        <v>1</v>
      </c>
      <c r="Y9" s="28"/>
      <c r="Z9" s="28"/>
      <c r="AA9" s="28"/>
      <c r="AB9" s="28"/>
      <c r="AC9" s="28"/>
      <c r="AD9" s="28"/>
    </row>
    <row r="10" spans="1:30" x14ac:dyDescent="0.35">
      <c r="A10" t="s">
        <v>354</v>
      </c>
      <c r="B10" s="27" t="s">
        <v>374</v>
      </c>
      <c r="C10" s="27" t="s">
        <v>356</v>
      </c>
      <c r="D10" s="28" t="str">
        <f t="shared" si="0"/>
        <v>N_08_4-5</v>
      </c>
      <c r="E10" s="28" t="s">
        <v>375</v>
      </c>
      <c r="F10" s="28" t="s">
        <v>64</v>
      </c>
      <c r="G10" s="28" t="s">
        <v>81</v>
      </c>
      <c r="H10" s="28" t="s">
        <v>65</v>
      </c>
      <c r="I10" s="28" t="s">
        <v>65</v>
      </c>
      <c r="J10" s="28" t="s">
        <v>65</v>
      </c>
      <c r="K10" s="28" t="s">
        <v>82</v>
      </c>
      <c r="L10" s="28" t="s">
        <v>83</v>
      </c>
      <c r="M10" s="28"/>
      <c r="N10" s="28"/>
      <c r="O10" s="28"/>
      <c r="P10" s="28"/>
      <c r="Q10" s="28"/>
      <c r="R10" s="28"/>
      <c r="S10" s="28"/>
      <c r="T10" s="28"/>
      <c r="U10" s="28"/>
      <c r="V10" s="28"/>
      <c r="W10" s="28"/>
      <c r="X10" s="29">
        <v>1</v>
      </c>
      <c r="Y10" s="28"/>
      <c r="Z10" s="28"/>
      <c r="AA10" s="28"/>
      <c r="AB10" s="28"/>
      <c r="AC10" s="28"/>
      <c r="AD10" s="28"/>
    </row>
    <row r="11" spans="1:30" x14ac:dyDescent="0.35">
      <c r="A11" t="s">
        <v>351</v>
      </c>
      <c r="B11" s="27" t="s">
        <v>376</v>
      </c>
      <c r="C11" s="27" t="s">
        <v>353</v>
      </c>
      <c r="D11" s="28" t="str">
        <f t="shared" si="0"/>
        <v>I_09_1-5</v>
      </c>
      <c r="E11" s="28" t="s">
        <v>84</v>
      </c>
      <c r="F11" s="28" t="s">
        <v>56</v>
      </c>
      <c r="G11" s="28" t="s">
        <v>81</v>
      </c>
      <c r="H11" s="28" t="s">
        <v>377</v>
      </c>
      <c r="I11" s="28" t="s">
        <v>378</v>
      </c>
      <c r="J11" s="31" t="s">
        <v>379</v>
      </c>
      <c r="K11" s="28" t="s">
        <v>380</v>
      </c>
      <c r="L11" s="28" t="s">
        <v>381</v>
      </c>
      <c r="M11" s="29">
        <v>0.25</v>
      </c>
      <c r="N11" s="29">
        <v>0.25</v>
      </c>
      <c r="O11" s="28"/>
      <c r="P11" s="28"/>
      <c r="Q11" s="29">
        <v>0.25</v>
      </c>
      <c r="R11" s="29">
        <v>0.25</v>
      </c>
      <c r="S11" s="28"/>
      <c r="T11" s="28"/>
      <c r="U11" s="28"/>
      <c r="V11" s="28"/>
      <c r="W11" s="28"/>
      <c r="X11" s="28"/>
      <c r="Y11" s="28"/>
      <c r="Z11" s="28"/>
      <c r="AA11" s="28"/>
      <c r="AB11" s="28"/>
      <c r="AC11" s="28"/>
      <c r="AD11" s="28"/>
    </row>
    <row r="12" spans="1:30" x14ac:dyDescent="0.35">
      <c r="A12" t="s">
        <v>351</v>
      </c>
      <c r="B12" s="27" t="s">
        <v>382</v>
      </c>
      <c r="C12" s="27" t="s">
        <v>353</v>
      </c>
      <c r="D12" s="28" t="str">
        <f t="shared" si="0"/>
        <v>I_10_1-5</v>
      </c>
      <c r="E12" s="28" t="s">
        <v>383</v>
      </c>
      <c r="F12" s="28" t="s">
        <v>56</v>
      </c>
      <c r="G12" s="28" t="s">
        <v>81</v>
      </c>
      <c r="H12" s="28" t="s">
        <v>377</v>
      </c>
      <c r="I12" s="28" t="s">
        <v>378</v>
      </c>
      <c r="J12" s="31" t="s">
        <v>85</v>
      </c>
      <c r="K12" s="28" t="s">
        <v>380</v>
      </c>
      <c r="L12" s="28" t="s">
        <v>381</v>
      </c>
      <c r="M12" s="29">
        <v>0.2</v>
      </c>
      <c r="N12" s="29">
        <v>0.2</v>
      </c>
      <c r="O12" s="29">
        <v>0.2</v>
      </c>
      <c r="P12" s="28"/>
      <c r="Q12" s="29">
        <v>0.2</v>
      </c>
      <c r="R12" s="29">
        <v>0.2</v>
      </c>
      <c r="S12" s="28"/>
      <c r="T12" s="28"/>
      <c r="U12" s="28"/>
      <c r="V12" s="28"/>
      <c r="W12" s="28"/>
      <c r="X12" s="28"/>
      <c r="Y12" s="28"/>
      <c r="Z12" s="28"/>
      <c r="AA12" s="28"/>
      <c r="AB12" s="28"/>
      <c r="AC12" s="28"/>
      <c r="AD12" s="28"/>
    </row>
    <row r="13" spans="1:30" x14ac:dyDescent="0.35">
      <c r="A13" t="s">
        <v>351</v>
      </c>
      <c r="B13" s="27" t="s">
        <v>384</v>
      </c>
      <c r="C13" s="27" t="s">
        <v>353</v>
      </c>
      <c r="D13" s="28" t="str">
        <f t="shared" si="0"/>
        <v>I_11_1-5</v>
      </c>
      <c r="E13" s="28" t="s">
        <v>385</v>
      </c>
      <c r="F13" s="28" t="s">
        <v>56</v>
      </c>
      <c r="G13" s="28" t="s">
        <v>81</v>
      </c>
      <c r="H13" s="28" t="s">
        <v>377</v>
      </c>
      <c r="I13" s="28" t="s">
        <v>378</v>
      </c>
      <c r="J13" s="31" t="s">
        <v>86</v>
      </c>
      <c r="K13" s="28" t="s">
        <v>380</v>
      </c>
      <c r="L13" s="28" t="s">
        <v>381</v>
      </c>
      <c r="M13" s="28"/>
      <c r="N13" s="29">
        <v>1</v>
      </c>
      <c r="O13" s="28"/>
      <c r="P13" s="28"/>
      <c r="Q13" s="28"/>
      <c r="R13" s="28"/>
      <c r="S13" s="28"/>
      <c r="T13" s="28"/>
      <c r="U13" s="28"/>
      <c r="V13" s="28"/>
      <c r="W13" s="28"/>
      <c r="X13" s="28"/>
      <c r="Y13" s="28"/>
      <c r="Z13" s="28"/>
      <c r="AA13" s="28"/>
      <c r="AB13" s="28"/>
      <c r="AC13" s="28"/>
      <c r="AD13" s="28"/>
    </row>
    <row r="14" spans="1:30" x14ac:dyDescent="0.35">
      <c r="A14" t="s">
        <v>351</v>
      </c>
      <c r="B14" s="27" t="s">
        <v>386</v>
      </c>
      <c r="C14" s="27" t="s">
        <v>353</v>
      </c>
      <c r="D14" s="28" t="str">
        <f t="shared" si="0"/>
        <v>I_12_1-5</v>
      </c>
      <c r="E14" s="28" t="s">
        <v>387</v>
      </c>
      <c r="F14" s="28" t="s">
        <v>56</v>
      </c>
      <c r="G14" s="28" t="s">
        <v>81</v>
      </c>
      <c r="H14" s="28" t="s">
        <v>377</v>
      </c>
      <c r="I14" s="28" t="s">
        <v>378</v>
      </c>
      <c r="J14" s="31" t="s">
        <v>87</v>
      </c>
      <c r="K14" s="28" t="s">
        <v>380</v>
      </c>
      <c r="L14" s="28" t="s">
        <v>381</v>
      </c>
      <c r="M14" s="29">
        <v>1</v>
      </c>
      <c r="N14" s="28"/>
      <c r="O14" s="28"/>
      <c r="P14" s="28"/>
      <c r="Q14" s="28"/>
      <c r="R14" s="28"/>
      <c r="S14" s="28"/>
      <c r="T14" s="28"/>
      <c r="U14" s="28"/>
      <c r="V14" s="28"/>
      <c r="W14" s="28"/>
      <c r="X14" s="28"/>
      <c r="Y14" s="28"/>
      <c r="Z14" s="28"/>
      <c r="AA14" s="28"/>
      <c r="AB14" s="28"/>
      <c r="AC14" s="28"/>
      <c r="AD14" s="28"/>
    </row>
    <row r="15" spans="1:30" x14ac:dyDescent="0.35">
      <c r="A15" t="s">
        <v>351</v>
      </c>
      <c r="B15" s="27" t="s">
        <v>388</v>
      </c>
      <c r="C15" s="27" t="s">
        <v>362</v>
      </c>
      <c r="D15" s="28" t="str">
        <f t="shared" si="0"/>
        <v>I_13_3-5</v>
      </c>
      <c r="E15" s="32" t="s">
        <v>88</v>
      </c>
      <c r="F15" s="28" t="s">
        <v>56</v>
      </c>
      <c r="G15" s="28" t="s">
        <v>89</v>
      </c>
      <c r="H15" s="28" t="s">
        <v>65</v>
      </c>
      <c r="I15" s="28" t="s">
        <v>65</v>
      </c>
      <c r="J15" s="28" t="s">
        <v>90</v>
      </c>
      <c r="K15" s="28" t="s">
        <v>91</v>
      </c>
      <c r="L15" s="28" t="s">
        <v>389</v>
      </c>
      <c r="M15" s="29">
        <v>0.2</v>
      </c>
      <c r="N15" s="29">
        <v>0.2</v>
      </c>
      <c r="O15" s="29">
        <v>0.2</v>
      </c>
      <c r="P15" s="28"/>
      <c r="Q15" s="29">
        <v>0.2</v>
      </c>
      <c r="R15" s="29">
        <v>0.2</v>
      </c>
      <c r="S15" s="28"/>
      <c r="T15" s="28"/>
      <c r="U15" s="28"/>
      <c r="V15" s="28"/>
      <c r="W15" s="28"/>
      <c r="X15" s="28"/>
      <c r="Y15" s="28"/>
      <c r="Z15" s="28"/>
      <c r="AA15" s="28"/>
      <c r="AB15" s="28"/>
      <c r="AC15" s="28"/>
      <c r="AD15" s="28"/>
    </row>
    <row r="16" spans="1:30" x14ac:dyDescent="0.35">
      <c r="A16" t="s">
        <v>351</v>
      </c>
      <c r="B16" s="27" t="s">
        <v>390</v>
      </c>
      <c r="C16" s="27" t="s">
        <v>362</v>
      </c>
      <c r="D16" s="28" t="str">
        <f t="shared" si="0"/>
        <v>I_14_3-5</v>
      </c>
      <c r="E16" s="28" t="s">
        <v>92</v>
      </c>
      <c r="F16" s="28" t="s">
        <v>56</v>
      </c>
      <c r="G16" s="28" t="s">
        <v>89</v>
      </c>
      <c r="H16" s="28" t="s">
        <v>65</v>
      </c>
      <c r="I16" s="28" t="s">
        <v>65</v>
      </c>
      <c r="J16" s="28" t="s">
        <v>93</v>
      </c>
      <c r="K16" s="33" t="s">
        <v>94</v>
      </c>
      <c r="L16" s="28" t="s">
        <v>95</v>
      </c>
      <c r="M16" s="28"/>
      <c r="N16" s="28"/>
      <c r="O16" s="28"/>
      <c r="P16" s="29">
        <v>0.1</v>
      </c>
      <c r="Q16" s="29">
        <v>0.1</v>
      </c>
      <c r="R16" s="29">
        <v>0.1</v>
      </c>
      <c r="S16" s="29">
        <v>0.1</v>
      </c>
      <c r="T16" s="29">
        <v>0.1</v>
      </c>
      <c r="U16" s="29">
        <v>0.1</v>
      </c>
      <c r="V16" s="29">
        <v>0.1</v>
      </c>
      <c r="W16" s="29">
        <v>0.1</v>
      </c>
      <c r="X16" s="29">
        <v>0.1</v>
      </c>
      <c r="Y16" s="29">
        <v>0.1</v>
      </c>
      <c r="Z16" s="28"/>
      <c r="AA16" s="28"/>
      <c r="AB16" s="28"/>
      <c r="AC16" s="28"/>
      <c r="AD16" s="28"/>
    </row>
    <row r="17" spans="1:30" x14ac:dyDescent="0.35">
      <c r="A17" t="s">
        <v>351</v>
      </c>
      <c r="B17" s="27" t="s">
        <v>391</v>
      </c>
      <c r="C17" s="27" t="s">
        <v>353</v>
      </c>
      <c r="D17" s="28" t="str">
        <f t="shared" si="0"/>
        <v>I_15_1-5</v>
      </c>
      <c r="E17" s="28" t="s">
        <v>392</v>
      </c>
      <c r="F17" s="28" t="s">
        <v>56</v>
      </c>
      <c r="G17" s="28" t="s">
        <v>81</v>
      </c>
      <c r="H17" s="28" t="s">
        <v>377</v>
      </c>
      <c r="I17" s="28" t="s">
        <v>378</v>
      </c>
      <c r="J17" s="31" t="s">
        <v>96</v>
      </c>
      <c r="K17" s="28" t="s">
        <v>380</v>
      </c>
      <c r="L17" s="28" t="s">
        <v>381</v>
      </c>
      <c r="M17" s="28"/>
      <c r="N17" s="28"/>
      <c r="O17" s="28"/>
      <c r="P17" s="28"/>
      <c r="Q17" s="29">
        <v>0.5</v>
      </c>
      <c r="R17" s="29">
        <v>0.5</v>
      </c>
      <c r="S17" s="28"/>
      <c r="T17" s="28"/>
      <c r="U17" s="28"/>
      <c r="V17" s="28"/>
      <c r="W17" s="28"/>
      <c r="X17" s="28"/>
      <c r="Y17" s="28"/>
      <c r="Z17" s="28"/>
      <c r="AA17" s="28"/>
      <c r="AB17" s="28"/>
      <c r="AC17" s="28"/>
      <c r="AD17" s="28"/>
    </row>
    <row r="18" spans="1:30" x14ac:dyDescent="0.35">
      <c r="A18" t="s">
        <v>351</v>
      </c>
      <c r="B18" s="27" t="s">
        <v>393</v>
      </c>
      <c r="C18" s="27" t="s">
        <v>353</v>
      </c>
      <c r="D18" s="28" t="str">
        <f t="shared" si="0"/>
        <v>I_16_1-5</v>
      </c>
      <c r="E18" s="28" t="s">
        <v>97</v>
      </c>
      <c r="F18" s="28" t="s">
        <v>56</v>
      </c>
      <c r="G18" s="28" t="s">
        <v>81</v>
      </c>
      <c r="H18" s="28" t="s">
        <v>394</v>
      </c>
      <c r="I18" s="28" t="s">
        <v>395</v>
      </c>
      <c r="J18" s="28" t="s">
        <v>82</v>
      </c>
      <c r="K18" s="28" t="s">
        <v>118</v>
      </c>
      <c r="L18" s="28" t="s">
        <v>396</v>
      </c>
      <c r="M18" s="28"/>
      <c r="N18" s="28"/>
      <c r="O18" s="28"/>
      <c r="P18" s="28"/>
      <c r="Q18" s="28"/>
      <c r="R18" s="28"/>
      <c r="S18" s="28"/>
      <c r="T18" s="28"/>
      <c r="U18" s="29">
        <v>0.5</v>
      </c>
      <c r="V18" s="28"/>
      <c r="W18" s="28"/>
      <c r="X18" s="28"/>
      <c r="Y18" s="29">
        <v>0.5</v>
      </c>
      <c r="Z18" s="28"/>
      <c r="AA18" s="28"/>
      <c r="AB18" s="28"/>
      <c r="AC18" s="28"/>
      <c r="AD18" s="28"/>
    </row>
    <row r="19" spans="1:30" x14ac:dyDescent="0.35">
      <c r="A19" t="s">
        <v>351</v>
      </c>
      <c r="B19" s="27" t="s">
        <v>397</v>
      </c>
      <c r="C19" s="27" t="s">
        <v>353</v>
      </c>
      <c r="D19" s="28" t="str">
        <f t="shared" si="0"/>
        <v>I_17_1-5</v>
      </c>
      <c r="E19" s="28" t="s">
        <v>98</v>
      </c>
      <c r="F19" s="28" t="s">
        <v>56</v>
      </c>
      <c r="G19" s="28" t="s">
        <v>81</v>
      </c>
      <c r="H19" s="28" t="s">
        <v>82</v>
      </c>
      <c r="I19" s="28" t="s">
        <v>398</v>
      </c>
      <c r="J19" s="28" t="s">
        <v>83</v>
      </c>
      <c r="K19" s="28" t="s">
        <v>399</v>
      </c>
      <c r="L19" s="28" t="s">
        <v>400</v>
      </c>
      <c r="M19" s="28"/>
      <c r="N19" s="28"/>
      <c r="O19" s="28"/>
      <c r="P19" s="28"/>
      <c r="Q19" s="28"/>
      <c r="R19" s="28"/>
      <c r="S19" s="28"/>
      <c r="T19" s="28"/>
      <c r="U19" s="29">
        <v>0.5</v>
      </c>
      <c r="V19" s="28"/>
      <c r="W19" s="28"/>
      <c r="X19" s="28"/>
      <c r="Y19" s="29">
        <v>0.5</v>
      </c>
      <c r="Z19" s="28"/>
      <c r="AA19" s="28"/>
      <c r="AB19" s="28"/>
      <c r="AC19" s="28"/>
      <c r="AD19" s="28"/>
    </row>
    <row r="20" spans="1:30" x14ac:dyDescent="0.35">
      <c r="A20" t="s">
        <v>351</v>
      </c>
      <c r="B20" s="27" t="s">
        <v>401</v>
      </c>
      <c r="C20" s="27" t="s">
        <v>353</v>
      </c>
      <c r="D20" s="28" t="str">
        <f t="shared" si="0"/>
        <v>I_18_1-5</v>
      </c>
      <c r="E20" s="28" t="s">
        <v>99</v>
      </c>
      <c r="F20" s="28" t="s">
        <v>56</v>
      </c>
      <c r="G20" s="28" t="s">
        <v>81</v>
      </c>
      <c r="H20" s="28" t="s">
        <v>402</v>
      </c>
      <c r="I20" s="28" t="s">
        <v>403</v>
      </c>
      <c r="J20" s="28" t="s">
        <v>100</v>
      </c>
      <c r="K20" s="28" t="s">
        <v>404</v>
      </c>
      <c r="L20" s="28" t="s">
        <v>405</v>
      </c>
      <c r="M20" s="28"/>
      <c r="N20" s="28"/>
      <c r="O20" s="28"/>
      <c r="P20" s="28"/>
      <c r="Q20" s="28"/>
      <c r="R20" s="28"/>
      <c r="S20" s="28"/>
      <c r="T20" s="28"/>
      <c r="U20" s="29">
        <v>0.5</v>
      </c>
      <c r="V20" s="28"/>
      <c r="W20" s="28"/>
      <c r="X20" s="28"/>
      <c r="Y20" s="29">
        <v>0.5</v>
      </c>
      <c r="Z20" s="28"/>
      <c r="AA20" s="28"/>
      <c r="AB20" s="28"/>
      <c r="AC20" s="28"/>
      <c r="AD20" s="28"/>
    </row>
    <row r="21" spans="1:30" x14ac:dyDescent="0.35">
      <c r="A21" t="s">
        <v>351</v>
      </c>
      <c r="B21" s="27" t="s">
        <v>406</v>
      </c>
      <c r="C21" s="27" t="s">
        <v>353</v>
      </c>
      <c r="D21" s="28" t="str">
        <f t="shared" si="0"/>
        <v>I_19_1-5</v>
      </c>
      <c r="E21" s="28" t="s">
        <v>101</v>
      </c>
      <c r="F21" s="28" t="s">
        <v>56</v>
      </c>
      <c r="G21" s="28" t="s">
        <v>102</v>
      </c>
      <c r="H21" s="28" t="s">
        <v>407</v>
      </c>
      <c r="I21" s="28" t="s">
        <v>408</v>
      </c>
      <c r="J21" s="28" t="s">
        <v>103</v>
      </c>
      <c r="K21" s="28" t="s">
        <v>409</v>
      </c>
      <c r="L21" s="28" t="s">
        <v>410</v>
      </c>
      <c r="M21" s="28"/>
      <c r="N21" s="28"/>
      <c r="O21" s="28"/>
      <c r="P21" s="28"/>
      <c r="Q21" s="28"/>
      <c r="R21" s="28"/>
      <c r="S21" s="28"/>
      <c r="T21" s="28"/>
      <c r="U21" s="29">
        <v>0.5</v>
      </c>
      <c r="V21" s="28"/>
      <c r="W21" s="28"/>
      <c r="X21" s="28"/>
      <c r="Y21" s="29">
        <v>0.5</v>
      </c>
      <c r="Z21" s="28"/>
      <c r="AA21" s="28"/>
      <c r="AB21" s="28"/>
      <c r="AC21" s="28"/>
      <c r="AD21" s="28"/>
    </row>
    <row r="22" spans="1:30" x14ac:dyDescent="0.35">
      <c r="A22" t="s">
        <v>351</v>
      </c>
      <c r="B22" s="27" t="s">
        <v>411</v>
      </c>
      <c r="C22" s="27" t="s">
        <v>353</v>
      </c>
      <c r="D22" s="28" t="str">
        <f t="shared" si="0"/>
        <v>I_20_1-5</v>
      </c>
      <c r="E22" s="28" t="s">
        <v>412</v>
      </c>
      <c r="F22" s="28" t="s">
        <v>56</v>
      </c>
      <c r="G22" s="28" t="s">
        <v>102</v>
      </c>
      <c r="H22" s="28" t="s">
        <v>413</v>
      </c>
      <c r="I22" s="28" t="s">
        <v>414</v>
      </c>
      <c r="J22" s="28" t="s">
        <v>104</v>
      </c>
      <c r="K22" s="28" t="s">
        <v>415</v>
      </c>
      <c r="L22" s="28" t="s">
        <v>416</v>
      </c>
      <c r="M22" s="28"/>
      <c r="N22" s="28"/>
      <c r="O22" s="28"/>
      <c r="P22" s="28"/>
      <c r="Q22" s="28"/>
      <c r="R22" s="28"/>
      <c r="S22" s="28"/>
      <c r="T22" s="28"/>
      <c r="U22" s="29">
        <v>0.5</v>
      </c>
      <c r="V22" s="28"/>
      <c r="W22" s="28"/>
      <c r="X22" s="28"/>
      <c r="Y22" s="29">
        <v>0.5</v>
      </c>
      <c r="Z22" s="28"/>
      <c r="AA22" s="28"/>
      <c r="AB22" s="28"/>
      <c r="AC22" s="28"/>
      <c r="AD22" s="28"/>
    </row>
    <row r="23" spans="1:30" x14ac:dyDescent="0.35">
      <c r="A23" t="s">
        <v>354</v>
      </c>
      <c r="B23" s="27" t="s">
        <v>417</v>
      </c>
      <c r="C23" s="27" t="s">
        <v>356</v>
      </c>
      <c r="D23" s="28" t="str">
        <f t="shared" si="0"/>
        <v>N_21_4-5</v>
      </c>
      <c r="E23" s="28" t="s">
        <v>105</v>
      </c>
      <c r="F23" s="28" t="s">
        <v>64</v>
      </c>
      <c r="G23" s="28" t="s">
        <v>81</v>
      </c>
      <c r="H23" s="28" t="s">
        <v>65</v>
      </c>
      <c r="I23" s="28" t="s">
        <v>65</v>
      </c>
      <c r="J23" s="28" t="s">
        <v>65</v>
      </c>
      <c r="K23" s="28" t="s">
        <v>82</v>
      </c>
      <c r="L23" s="28" t="s">
        <v>83</v>
      </c>
      <c r="M23" s="28"/>
      <c r="N23" s="28"/>
      <c r="O23" s="28"/>
      <c r="P23" s="28"/>
      <c r="Q23" s="28"/>
      <c r="R23" s="28"/>
      <c r="S23" s="28"/>
      <c r="T23" s="28"/>
      <c r="U23" s="28"/>
      <c r="V23" s="28"/>
      <c r="W23" s="28"/>
      <c r="X23" s="28"/>
      <c r="Y23" s="29">
        <v>1</v>
      </c>
      <c r="Z23" s="28"/>
      <c r="AA23" s="28"/>
      <c r="AB23" s="28"/>
      <c r="AC23" s="28"/>
      <c r="AD23" s="28"/>
    </row>
    <row r="24" spans="1:30" x14ac:dyDescent="0.35">
      <c r="A24" t="s">
        <v>351</v>
      </c>
      <c r="B24" s="27" t="s">
        <v>418</v>
      </c>
      <c r="C24" s="27" t="s">
        <v>353</v>
      </c>
      <c r="D24" s="28" t="str">
        <f t="shared" si="0"/>
        <v>I_22_1-5</v>
      </c>
      <c r="E24" s="28" t="s">
        <v>106</v>
      </c>
      <c r="F24" s="28" t="s">
        <v>56</v>
      </c>
      <c r="G24" s="28" t="s">
        <v>81</v>
      </c>
      <c r="H24" s="28" t="s">
        <v>377</v>
      </c>
      <c r="I24" s="28" t="s">
        <v>378</v>
      </c>
      <c r="J24" s="28" t="s">
        <v>107</v>
      </c>
      <c r="K24" s="28" t="s">
        <v>380</v>
      </c>
      <c r="L24" s="28" t="s">
        <v>381</v>
      </c>
      <c r="M24" s="28"/>
      <c r="N24" s="28"/>
      <c r="O24" s="28"/>
      <c r="P24" s="29">
        <v>0.5</v>
      </c>
      <c r="Q24" s="28"/>
      <c r="R24" s="29">
        <v>0.5</v>
      </c>
      <c r="S24" s="28"/>
      <c r="T24" s="28"/>
      <c r="U24" s="28"/>
      <c r="V24" s="28"/>
      <c r="W24" s="28"/>
      <c r="X24" s="28"/>
      <c r="Y24" s="28"/>
      <c r="Z24" s="28"/>
      <c r="AA24" s="28"/>
      <c r="AB24" s="28"/>
      <c r="AC24" s="28"/>
      <c r="AD24" s="28"/>
    </row>
    <row r="25" spans="1:30" x14ac:dyDescent="0.35">
      <c r="A25" t="s">
        <v>351</v>
      </c>
      <c r="B25" s="27" t="s">
        <v>419</v>
      </c>
      <c r="C25" s="27" t="s">
        <v>353</v>
      </c>
      <c r="D25" s="28" t="str">
        <f t="shared" si="0"/>
        <v>I_23_1-5</v>
      </c>
      <c r="E25" s="28" t="s">
        <v>108</v>
      </c>
      <c r="F25" s="28" t="s">
        <v>56</v>
      </c>
      <c r="G25" s="28" t="s">
        <v>81</v>
      </c>
      <c r="H25" s="28" t="s">
        <v>377</v>
      </c>
      <c r="I25" s="28" t="s">
        <v>378</v>
      </c>
      <c r="J25" s="28" t="s">
        <v>109</v>
      </c>
      <c r="K25" s="28" t="s">
        <v>380</v>
      </c>
      <c r="L25" s="28" t="s">
        <v>381</v>
      </c>
      <c r="M25" s="28"/>
      <c r="N25" s="28"/>
      <c r="O25" s="28"/>
      <c r="P25" s="29">
        <v>0.5</v>
      </c>
      <c r="Q25" s="28"/>
      <c r="R25" s="29">
        <v>0.5</v>
      </c>
      <c r="S25" s="28"/>
      <c r="T25" s="28"/>
      <c r="U25" s="28"/>
      <c r="V25" s="28"/>
      <c r="W25" s="28"/>
      <c r="X25" s="28"/>
      <c r="Y25" s="28"/>
      <c r="Z25" s="28"/>
      <c r="AA25" s="28"/>
      <c r="AB25" s="28"/>
      <c r="AC25" s="28"/>
      <c r="AD25" s="28"/>
    </row>
    <row r="26" spans="1:30" x14ac:dyDescent="0.35">
      <c r="A26" t="s">
        <v>351</v>
      </c>
      <c r="B26" s="27" t="s">
        <v>420</v>
      </c>
      <c r="C26" s="27" t="s">
        <v>353</v>
      </c>
      <c r="D26" s="28" t="str">
        <f t="shared" si="0"/>
        <v>I_24_1-5</v>
      </c>
      <c r="E26" s="28" t="s">
        <v>110</v>
      </c>
      <c r="F26" s="28" t="s">
        <v>56</v>
      </c>
      <c r="G26" s="28" t="s">
        <v>81</v>
      </c>
      <c r="H26" s="28" t="s">
        <v>82</v>
      </c>
      <c r="I26" s="28" t="s">
        <v>398</v>
      </c>
      <c r="J26" s="28" t="s">
        <v>83</v>
      </c>
      <c r="K26" s="28" t="s">
        <v>399</v>
      </c>
      <c r="L26" s="28" t="s">
        <v>400</v>
      </c>
      <c r="M26" s="28"/>
      <c r="N26" s="28"/>
      <c r="O26" s="28"/>
      <c r="P26" s="29">
        <v>0.33</v>
      </c>
      <c r="Q26" s="29">
        <v>0.33</v>
      </c>
      <c r="R26" s="29">
        <v>0.33</v>
      </c>
      <c r="S26" s="28"/>
      <c r="T26" s="28"/>
      <c r="U26" s="28"/>
      <c r="V26" s="28"/>
      <c r="W26" s="28"/>
      <c r="X26" s="28"/>
      <c r="Y26" s="28"/>
      <c r="Z26" s="28"/>
      <c r="AA26" s="28"/>
      <c r="AB26" s="28"/>
      <c r="AC26" s="28"/>
      <c r="AD26" s="28"/>
    </row>
    <row r="27" spans="1:30" x14ac:dyDescent="0.35">
      <c r="A27" t="s">
        <v>351</v>
      </c>
      <c r="B27" s="27" t="s">
        <v>421</v>
      </c>
      <c r="C27" s="27" t="s">
        <v>353</v>
      </c>
      <c r="D27" s="28" t="str">
        <f t="shared" si="0"/>
        <v>I_25_1-5</v>
      </c>
      <c r="E27" s="28" t="s">
        <v>111</v>
      </c>
      <c r="F27" s="28" t="s">
        <v>56</v>
      </c>
      <c r="G27" s="28" t="s">
        <v>81</v>
      </c>
      <c r="H27" s="28" t="s">
        <v>377</v>
      </c>
      <c r="I27" s="28" t="s">
        <v>378</v>
      </c>
      <c r="J27" s="28" t="s">
        <v>112</v>
      </c>
      <c r="K27" s="28" t="s">
        <v>380</v>
      </c>
      <c r="L27" s="28" t="s">
        <v>381</v>
      </c>
      <c r="M27" s="28"/>
      <c r="N27" s="28"/>
      <c r="O27" s="28"/>
      <c r="P27" s="28"/>
      <c r="Q27" s="28"/>
      <c r="R27" s="28"/>
      <c r="S27" s="29">
        <v>0.33</v>
      </c>
      <c r="T27" s="29">
        <v>0.33</v>
      </c>
      <c r="U27" s="28"/>
      <c r="V27" s="29">
        <v>0.33</v>
      </c>
      <c r="W27" s="28"/>
      <c r="X27" s="28"/>
      <c r="Y27" s="28"/>
      <c r="Z27" s="28"/>
      <c r="AA27" s="28"/>
      <c r="AB27" s="28"/>
      <c r="AC27" s="28"/>
      <c r="AD27" s="34" t="s">
        <v>113</v>
      </c>
    </row>
    <row r="28" spans="1:30" x14ac:dyDescent="0.35">
      <c r="A28" t="s">
        <v>351</v>
      </c>
      <c r="B28" s="27" t="s">
        <v>422</v>
      </c>
      <c r="C28" s="27" t="s">
        <v>353</v>
      </c>
      <c r="D28" s="28" t="str">
        <f t="shared" si="0"/>
        <v>I_26_1-5</v>
      </c>
      <c r="E28" s="28" t="s">
        <v>114</v>
      </c>
      <c r="F28" s="28" t="s">
        <v>56</v>
      </c>
      <c r="G28" s="28" t="s">
        <v>81</v>
      </c>
      <c r="H28" s="28" t="s">
        <v>423</v>
      </c>
      <c r="I28" s="28" t="s">
        <v>122</v>
      </c>
      <c r="J28" s="28" t="s">
        <v>115</v>
      </c>
      <c r="K28" s="28" t="s">
        <v>424</v>
      </c>
      <c r="L28" s="28" t="s">
        <v>425</v>
      </c>
      <c r="M28" s="28"/>
      <c r="N28" s="28"/>
      <c r="O28" s="28"/>
      <c r="P28" s="28"/>
      <c r="Q28" s="28"/>
      <c r="R28" s="28"/>
      <c r="S28" s="29">
        <v>0.33</v>
      </c>
      <c r="T28" s="29">
        <v>0.33</v>
      </c>
      <c r="U28" s="28"/>
      <c r="V28" s="29">
        <v>0.33</v>
      </c>
      <c r="W28" s="28"/>
      <c r="X28" s="28"/>
      <c r="Y28" s="28"/>
      <c r="Z28" s="28"/>
      <c r="AA28" s="28"/>
      <c r="AB28" s="28"/>
      <c r="AC28" s="28"/>
      <c r="AD28" s="28" t="s">
        <v>116</v>
      </c>
    </row>
    <row r="29" spans="1:30" x14ac:dyDescent="0.35">
      <c r="A29" t="s">
        <v>351</v>
      </c>
      <c r="B29" s="27" t="s">
        <v>426</v>
      </c>
      <c r="C29" s="27" t="s">
        <v>353</v>
      </c>
      <c r="D29" s="28" t="str">
        <f t="shared" si="0"/>
        <v>I_27_1-5</v>
      </c>
      <c r="E29" s="28" t="s">
        <v>117</v>
      </c>
      <c r="F29" s="28" t="s">
        <v>56</v>
      </c>
      <c r="G29" s="28" t="s">
        <v>81</v>
      </c>
      <c r="H29" s="28" t="s">
        <v>395</v>
      </c>
      <c r="I29" s="28" t="s">
        <v>82</v>
      </c>
      <c r="J29" s="28" t="s">
        <v>118</v>
      </c>
      <c r="K29" s="28" t="s">
        <v>396</v>
      </c>
      <c r="L29" s="28" t="s">
        <v>83</v>
      </c>
      <c r="M29" s="28"/>
      <c r="N29" s="28"/>
      <c r="O29" s="28"/>
      <c r="P29" s="28"/>
      <c r="Q29" s="28"/>
      <c r="R29" s="28"/>
      <c r="S29" s="29">
        <v>0.33</v>
      </c>
      <c r="T29" s="29">
        <v>0.33</v>
      </c>
      <c r="U29" s="28"/>
      <c r="V29" s="29">
        <v>0.33</v>
      </c>
      <c r="W29" s="28"/>
      <c r="X29" s="28"/>
      <c r="Y29" s="28"/>
      <c r="Z29" s="28"/>
      <c r="AA29" s="28"/>
      <c r="AB29" s="28"/>
      <c r="AC29" s="28"/>
      <c r="AD29" s="28"/>
    </row>
    <row r="30" spans="1:30" x14ac:dyDescent="0.35">
      <c r="A30" t="s">
        <v>351</v>
      </c>
      <c r="B30" s="27" t="s">
        <v>427</v>
      </c>
      <c r="C30" s="27" t="s">
        <v>353</v>
      </c>
      <c r="D30" s="28" t="str">
        <f t="shared" si="0"/>
        <v>I_28_1-5</v>
      </c>
      <c r="E30" s="28" t="s">
        <v>119</v>
      </c>
      <c r="F30" s="28" t="s">
        <v>56</v>
      </c>
      <c r="G30" s="28" t="s">
        <v>81</v>
      </c>
      <c r="H30" s="28" t="s">
        <v>377</v>
      </c>
      <c r="I30" s="28" t="s">
        <v>378</v>
      </c>
      <c r="J30" s="28" t="s">
        <v>120</v>
      </c>
      <c r="K30" s="28" t="s">
        <v>380</v>
      </c>
      <c r="L30" s="28" t="s">
        <v>381</v>
      </c>
      <c r="M30" s="28"/>
      <c r="N30" s="28"/>
      <c r="O30" s="28"/>
      <c r="P30" s="28"/>
      <c r="Q30" s="28"/>
      <c r="R30" s="28"/>
      <c r="S30" s="28"/>
      <c r="T30" s="28"/>
      <c r="U30" s="28"/>
      <c r="V30" s="28"/>
      <c r="W30" s="29">
        <v>1</v>
      </c>
      <c r="X30" s="28"/>
      <c r="Y30" s="28"/>
      <c r="Z30" s="28"/>
      <c r="AA30" s="28"/>
      <c r="AB30" s="28"/>
      <c r="AC30" s="28"/>
      <c r="AD30" s="28"/>
    </row>
    <row r="31" spans="1:30" x14ac:dyDescent="0.35">
      <c r="A31" t="s">
        <v>351</v>
      </c>
      <c r="B31" s="27" t="s">
        <v>428</v>
      </c>
      <c r="C31" s="27" t="s">
        <v>353</v>
      </c>
      <c r="D31" s="28" t="str">
        <f t="shared" si="0"/>
        <v>I_29_1-5</v>
      </c>
      <c r="E31" s="28" t="s">
        <v>121</v>
      </c>
      <c r="F31" s="28" t="s">
        <v>56</v>
      </c>
      <c r="G31" s="28" t="s">
        <v>81</v>
      </c>
      <c r="H31" s="28" t="s">
        <v>423</v>
      </c>
      <c r="I31" s="28" t="s">
        <v>429</v>
      </c>
      <c r="J31" s="28" t="s">
        <v>122</v>
      </c>
      <c r="K31" s="28" t="s">
        <v>424</v>
      </c>
      <c r="L31" s="28" t="s">
        <v>430</v>
      </c>
      <c r="M31" s="28"/>
      <c r="N31" s="28"/>
      <c r="O31" s="28"/>
      <c r="P31" s="28"/>
      <c r="Q31" s="28"/>
      <c r="R31" s="28"/>
      <c r="S31" s="28"/>
      <c r="T31" s="28"/>
      <c r="U31" s="28"/>
      <c r="V31" s="28"/>
      <c r="W31" s="29">
        <v>1</v>
      </c>
      <c r="X31" s="28"/>
      <c r="Y31" s="28"/>
      <c r="Z31" s="28"/>
      <c r="AA31" s="28"/>
      <c r="AB31" s="28"/>
      <c r="AC31" s="28"/>
      <c r="AD31" s="28"/>
    </row>
    <row r="32" spans="1:30" x14ac:dyDescent="0.35">
      <c r="A32" t="s">
        <v>351</v>
      </c>
      <c r="B32" s="27" t="s">
        <v>431</v>
      </c>
      <c r="C32" s="27" t="s">
        <v>353</v>
      </c>
      <c r="D32" s="28" t="str">
        <f t="shared" si="0"/>
        <v>I_30_1-5</v>
      </c>
      <c r="E32" s="28" t="s">
        <v>123</v>
      </c>
      <c r="F32" s="28" t="s">
        <v>56</v>
      </c>
      <c r="G32" s="28" t="s">
        <v>81</v>
      </c>
      <c r="H32" s="28" t="s">
        <v>394</v>
      </c>
      <c r="I32" s="28" t="s">
        <v>395</v>
      </c>
      <c r="J32" s="28" t="s">
        <v>118</v>
      </c>
      <c r="K32" s="28" t="s">
        <v>396</v>
      </c>
      <c r="L32" s="28" t="s">
        <v>83</v>
      </c>
      <c r="M32" s="28"/>
      <c r="N32" s="28"/>
      <c r="O32" s="28"/>
      <c r="P32" s="28"/>
      <c r="Q32" s="28"/>
      <c r="R32" s="28"/>
      <c r="S32" s="28"/>
      <c r="T32" s="28"/>
      <c r="U32" s="28"/>
      <c r="V32" s="28"/>
      <c r="W32" s="29">
        <v>1</v>
      </c>
      <c r="X32" s="28"/>
      <c r="Y32" s="28"/>
      <c r="Z32" s="28"/>
      <c r="AA32" s="28"/>
      <c r="AB32" s="28"/>
      <c r="AC32" s="28"/>
      <c r="AD32" s="28"/>
    </row>
    <row r="33" spans="1:30" x14ac:dyDescent="0.35">
      <c r="A33" t="s">
        <v>354</v>
      </c>
      <c r="B33" s="27" t="s">
        <v>432</v>
      </c>
      <c r="C33" s="27" t="s">
        <v>356</v>
      </c>
      <c r="D33" s="28" t="str">
        <f t="shared" si="0"/>
        <v>N_31_4-5</v>
      </c>
      <c r="E33" s="28" t="s">
        <v>124</v>
      </c>
      <c r="F33" s="28" t="s">
        <v>64</v>
      </c>
      <c r="G33" s="28" t="s">
        <v>102</v>
      </c>
      <c r="H33" s="28" t="s">
        <v>65</v>
      </c>
      <c r="I33" s="28" t="s">
        <v>65</v>
      </c>
      <c r="J33" s="28" t="s">
        <v>65</v>
      </c>
      <c r="K33" s="28" t="s">
        <v>433</v>
      </c>
      <c r="L33" s="28" t="s">
        <v>103</v>
      </c>
      <c r="M33" s="28"/>
      <c r="N33" s="28"/>
      <c r="O33" s="28"/>
      <c r="P33" s="28"/>
      <c r="Q33" s="28"/>
      <c r="R33" s="28"/>
      <c r="S33" s="28"/>
      <c r="T33" s="28"/>
      <c r="U33" s="28"/>
      <c r="V33" s="28"/>
      <c r="W33" s="29">
        <v>1</v>
      </c>
      <c r="X33" s="28"/>
      <c r="Y33" s="28"/>
      <c r="Z33" s="28"/>
      <c r="AA33" s="28"/>
      <c r="AB33" s="28"/>
      <c r="AC33" s="28"/>
      <c r="AD33" s="28"/>
    </row>
    <row r="34" spans="1:30" x14ac:dyDescent="0.35">
      <c r="A34" t="s">
        <v>354</v>
      </c>
      <c r="B34" s="27" t="s">
        <v>434</v>
      </c>
      <c r="C34" s="27" t="s">
        <v>356</v>
      </c>
      <c r="D34" s="28" t="str">
        <f t="shared" si="0"/>
        <v>N_32_4-5</v>
      </c>
      <c r="E34" s="28" t="s">
        <v>125</v>
      </c>
      <c r="F34" s="28" t="s">
        <v>64</v>
      </c>
      <c r="G34" s="28" t="s">
        <v>102</v>
      </c>
      <c r="H34" s="28" t="s">
        <v>65</v>
      </c>
      <c r="I34" s="28" t="s">
        <v>65</v>
      </c>
      <c r="J34" s="28" t="s">
        <v>65</v>
      </c>
      <c r="K34" s="28" t="s">
        <v>104</v>
      </c>
      <c r="L34" s="35" t="s">
        <v>126</v>
      </c>
      <c r="M34" s="28"/>
      <c r="N34" s="28"/>
      <c r="O34" s="28"/>
      <c r="P34" s="28"/>
      <c r="Q34" s="28"/>
      <c r="R34" s="28"/>
      <c r="S34" s="28"/>
      <c r="T34" s="28"/>
      <c r="U34" s="28"/>
      <c r="V34" s="28"/>
      <c r="W34" s="29">
        <v>1</v>
      </c>
      <c r="X34" s="28"/>
      <c r="Y34" s="28"/>
      <c r="Z34" s="28"/>
      <c r="AA34" s="28"/>
      <c r="AB34" s="28"/>
      <c r="AC34" s="28"/>
      <c r="AD34" s="28"/>
    </row>
    <row r="35" spans="1:30" x14ac:dyDescent="0.35">
      <c r="A35" t="s">
        <v>351</v>
      </c>
      <c r="B35" s="27" t="s">
        <v>435</v>
      </c>
      <c r="C35" s="27" t="s">
        <v>362</v>
      </c>
      <c r="D35" s="28" t="str">
        <f t="shared" si="0"/>
        <v>I_33_3-5</v>
      </c>
      <c r="E35" s="28" t="s">
        <v>127</v>
      </c>
      <c r="F35" s="28" t="s">
        <v>56</v>
      </c>
      <c r="G35" s="28" t="s">
        <v>102</v>
      </c>
      <c r="H35" s="28" t="s">
        <v>65</v>
      </c>
      <c r="I35" s="28" t="s">
        <v>65</v>
      </c>
      <c r="J35" s="28" t="s">
        <v>128</v>
      </c>
      <c r="K35" s="28" t="s">
        <v>436</v>
      </c>
      <c r="L35" s="28" t="s">
        <v>437</v>
      </c>
      <c r="M35" s="28"/>
      <c r="N35" s="28"/>
      <c r="O35" s="29">
        <v>0.33</v>
      </c>
      <c r="P35" s="28"/>
      <c r="Q35" s="28"/>
      <c r="R35" s="28"/>
      <c r="S35" s="28"/>
      <c r="T35" s="28"/>
      <c r="U35" s="28"/>
      <c r="V35" s="28"/>
      <c r="W35" s="28"/>
      <c r="X35" s="28"/>
      <c r="Y35" s="28"/>
      <c r="Z35" s="28"/>
      <c r="AA35" s="29">
        <v>0.33</v>
      </c>
      <c r="AB35" s="28"/>
      <c r="AC35" s="29">
        <v>0.33</v>
      </c>
      <c r="AD35" s="28"/>
    </row>
    <row r="36" spans="1:30" x14ac:dyDescent="0.35">
      <c r="A36" t="s">
        <v>351</v>
      </c>
      <c r="B36" s="27" t="s">
        <v>438</v>
      </c>
      <c r="C36" s="27" t="s">
        <v>353</v>
      </c>
      <c r="D36" s="28" t="str">
        <f t="shared" si="0"/>
        <v>I_34_1-5</v>
      </c>
      <c r="E36" s="28" t="s">
        <v>129</v>
      </c>
      <c r="F36" s="28" t="s">
        <v>56</v>
      </c>
      <c r="G36" s="28" t="s">
        <v>80</v>
      </c>
      <c r="H36" s="28" t="s">
        <v>439</v>
      </c>
      <c r="I36" s="28" t="s">
        <v>440</v>
      </c>
      <c r="J36" s="28" t="s">
        <v>130</v>
      </c>
      <c r="K36" s="30">
        <v>0.6</v>
      </c>
      <c r="L36" s="30">
        <v>1</v>
      </c>
      <c r="M36" s="28"/>
      <c r="N36" s="28"/>
      <c r="O36" s="28"/>
      <c r="P36" s="28"/>
      <c r="Q36" s="28"/>
      <c r="R36" s="28"/>
      <c r="S36" s="28"/>
      <c r="T36" s="28"/>
      <c r="U36" s="28"/>
      <c r="V36" s="28"/>
      <c r="W36" s="28"/>
      <c r="X36" s="28"/>
      <c r="Y36" s="28"/>
      <c r="Z36" s="29">
        <v>0.25</v>
      </c>
      <c r="AA36" s="29">
        <v>0.25</v>
      </c>
      <c r="AB36" s="29">
        <v>0.25</v>
      </c>
      <c r="AC36" s="29">
        <v>0.25</v>
      </c>
      <c r="AD36" s="28"/>
    </row>
    <row r="37" spans="1:30" x14ac:dyDescent="0.35">
      <c r="A37" t="s">
        <v>351</v>
      </c>
      <c r="B37" s="27" t="s">
        <v>441</v>
      </c>
      <c r="C37" s="27" t="s">
        <v>353</v>
      </c>
      <c r="D37" s="28" t="str">
        <f t="shared" si="0"/>
        <v>I_35_1-5</v>
      </c>
      <c r="E37" s="28" t="s">
        <v>131</v>
      </c>
      <c r="F37" s="28" t="s">
        <v>56</v>
      </c>
      <c r="G37" s="28" t="s">
        <v>80</v>
      </c>
      <c r="H37" s="28" t="s">
        <v>442</v>
      </c>
      <c r="I37" s="28" t="s">
        <v>443</v>
      </c>
      <c r="J37" s="28" t="s">
        <v>132</v>
      </c>
      <c r="K37" s="28" t="s">
        <v>444</v>
      </c>
      <c r="L37" s="28" t="s">
        <v>445</v>
      </c>
      <c r="M37" s="28"/>
      <c r="N37" s="28"/>
      <c r="O37" s="28"/>
      <c r="P37" s="28"/>
      <c r="Q37" s="28"/>
      <c r="R37" s="28"/>
      <c r="S37" s="28"/>
      <c r="T37" s="28"/>
      <c r="U37" s="28"/>
      <c r="V37" s="28"/>
      <c r="W37" s="28"/>
      <c r="X37" s="28"/>
      <c r="Y37" s="28"/>
      <c r="Z37" s="28"/>
      <c r="AA37" s="28"/>
      <c r="AB37" s="29">
        <v>0.5</v>
      </c>
      <c r="AC37" s="29">
        <v>0.5</v>
      </c>
      <c r="AD37" s="28"/>
    </row>
    <row r="38" spans="1:30" x14ac:dyDescent="0.35">
      <c r="A38" t="s">
        <v>351</v>
      </c>
      <c r="B38" s="27" t="s">
        <v>446</v>
      </c>
      <c r="C38" s="27" t="s">
        <v>353</v>
      </c>
      <c r="D38" s="28" t="str">
        <f t="shared" si="0"/>
        <v>I_36_1-5</v>
      </c>
      <c r="E38" s="28" t="s">
        <v>133</v>
      </c>
      <c r="F38" s="28" t="s">
        <v>56</v>
      </c>
      <c r="G38" s="28" t="s">
        <v>80</v>
      </c>
      <c r="H38" s="30">
        <v>0.1</v>
      </c>
      <c r="I38" s="30">
        <v>0.2</v>
      </c>
      <c r="J38" s="28" t="s">
        <v>134</v>
      </c>
      <c r="K38" s="30">
        <v>0.6</v>
      </c>
      <c r="L38" s="30">
        <v>1</v>
      </c>
      <c r="M38" s="28"/>
      <c r="N38" s="28"/>
      <c r="O38" s="28"/>
      <c r="P38" s="28"/>
      <c r="Q38" s="28"/>
      <c r="R38" s="28"/>
      <c r="S38" s="28"/>
      <c r="T38" s="28"/>
      <c r="U38" s="28"/>
      <c r="V38" s="28"/>
      <c r="W38" s="28"/>
      <c r="X38" s="28"/>
      <c r="Y38" s="28"/>
      <c r="Z38" s="29">
        <v>0.5</v>
      </c>
      <c r="AA38" s="29">
        <v>0.5</v>
      </c>
      <c r="AB38" s="28"/>
      <c r="AC38" s="28"/>
      <c r="AD38" s="28"/>
    </row>
    <row r="39" spans="1:30" x14ac:dyDescent="0.35">
      <c r="A39" t="s">
        <v>351</v>
      </c>
      <c r="B39" s="27" t="s">
        <v>447</v>
      </c>
      <c r="C39" s="27" t="s">
        <v>353</v>
      </c>
      <c r="D39" s="28" t="str">
        <f t="shared" si="0"/>
        <v>I_37_1-5</v>
      </c>
      <c r="E39" s="28" t="s">
        <v>135</v>
      </c>
      <c r="F39" s="28" t="s">
        <v>56</v>
      </c>
      <c r="G39" s="28" t="s">
        <v>80</v>
      </c>
      <c r="H39" s="28" t="s">
        <v>448</v>
      </c>
      <c r="I39" s="28" t="s">
        <v>449</v>
      </c>
      <c r="J39" s="28" t="s">
        <v>136</v>
      </c>
      <c r="K39" s="28" t="s">
        <v>450</v>
      </c>
      <c r="L39" s="28" t="s">
        <v>451</v>
      </c>
      <c r="M39" s="28"/>
      <c r="N39" s="28"/>
      <c r="O39" s="28"/>
      <c r="P39" s="28"/>
      <c r="Q39" s="28"/>
      <c r="R39" s="28"/>
      <c r="S39" s="28"/>
      <c r="T39" s="28"/>
      <c r="U39" s="28"/>
      <c r="V39" s="28"/>
      <c r="W39" s="28"/>
      <c r="X39" s="28"/>
      <c r="Y39" s="28"/>
      <c r="Z39" s="29">
        <v>0.5</v>
      </c>
      <c r="AA39" s="29">
        <v>0.5</v>
      </c>
      <c r="AB39" s="28"/>
      <c r="AC39" s="28"/>
      <c r="AD39" s="28"/>
    </row>
    <row r="40" spans="1:30" x14ac:dyDescent="0.35">
      <c r="A40" t="s">
        <v>351</v>
      </c>
      <c r="B40" s="27" t="s">
        <v>452</v>
      </c>
      <c r="C40" s="27" t="s">
        <v>353</v>
      </c>
      <c r="D40" s="28" t="str">
        <f t="shared" si="0"/>
        <v>I_38_1-5</v>
      </c>
      <c r="E40" s="28" t="s">
        <v>137</v>
      </c>
      <c r="F40" s="28" t="s">
        <v>56</v>
      </c>
      <c r="G40" s="28" t="s">
        <v>68</v>
      </c>
      <c r="H40" s="28" t="s">
        <v>453</v>
      </c>
      <c r="I40" s="28" t="s">
        <v>454</v>
      </c>
      <c r="J40" s="28" t="s">
        <v>138</v>
      </c>
      <c r="K40" s="28" t="s">
        <v>455</v>
      </c>
      <c r="L40" s="28" t="s">
        <v>456</v>
      </c>
      <c r="M40" s="28"/>
      <c r="N40" s="28"/>
      <c r="O40" s="28"/>
      <c r="P40" s="28"/>
      <c r="Q40" s="28"/>
      <c r="R40" s="28"/>
      <c r="S40" s="28"/>
      <c r="T40" s="28"/>
      <c r="U40" s="28"/>
      <c r="V40" s="28"/>
      <c r="W40" s="28"/>
      <c r="X40" s="28"/>
      <c r="Y40" s="28"/>
      <c r="Z40" s="29">
        <v>0.5</v>
      </c>
      <c r="AA40" s="29">
        <v>0.5</v>
      </c>
      <c r="AB40" s="28"/>
      <c r="AC40" s="28"/>
      <c r="AD40" s="34" t="s">
        <v>139</v>
      </c>
    </row>
    <row r="41" spans="1:30" x14ac:dyDescent="0.35">
      <c r="A41" t="s">
        <v>351</v>
      </c>
      <c r="B41" s="27" t="s">
        <v>457</v>
      </c>
      <c r="C41" s="27" t="s">
        <v>353</v>
      </c>
      <c r="D41" s="28" t="str">
        <f t="shared" si="0"/>
        <v>I_39_1-5</v>
      </c>
      <c r="E41" s="28" t="s">
        <v>140</v>
      </c>
      <c r="F41" s="28" t="s">
        <v>56</v>
      </c>
      <c r="G41" s="28" t="s">
        <v>68</v>
      </c>
      <c r="H41" s="28" t="s">
        <v>458</v>
      </c>
      <c r="I41" s="28" t="s">
        <v>459</v>
      </c>
      <c r="J41" s="28" t="s">
        <v>141</v>
      </c>
      <c r="K41" s="28" t="s">
        <v>460</v>
      </c>
      <c r="L41" s="28" t="s">
        <v>461</v>
      </c>
      <c r="M41" s="28"/>
      <c r="N41" s="28"/>
      <c r="O41" s="28"/>
      <c r="P41" s="28"/>
      <c r="Q41" s="28"/>
      <c r="R41" s="28"/>
      <c r="S41" s="28"/>
      <c r="T41" s="28"/>
      <c r="U41" s="28"/>
      <c r="V41" s="28"/>
      <c r="W41" s="28"/>
      <c r="X41" s="28"/>
      <c r="Y41" s="28"/>
      <c r="Z41" s="29">
        <v>0.25</v>
      </c>
      <c r="AA41" s="29">
        <v>0.25</v>
      </c>
      <c r="AB41" s="29">
        <v>0.25</v>
      </c>
      <c r="AC41" s="29">
        <v>0.25</v>
      </c>
      <c r="AD41" s="28"/>
    </row>
    <row r="42" spans="1:30" x14ac:dyDescent="0.35">
      <c r="A42" t="s">
        <v>354</v>
      </c>
      <c r="B42" s="27" t="s">
        <v>462</v>
      </c>
      <c r="C42" s="27" t="s">
        <v>356</v>
      </c>
      <c r="D42" s="28" t="str">
        <f t="shared" si="0"/>
        <v>N_40_4-5</v>
      </c>
      <c r="E42" s="28" t="s">
        <v>142</v>
      </c>
      <c r="F42" s="28" t="s">
        <v>64</v>
      </c>
      <c r="G42" s="28" t="s">
        <v>68</v>
      </c>
      <c r="H42" s="28" t="s">
        <v>65</v>
      </c>
      <c r="I42" s="28" t="s">
        <v>65</v>
      </c>
      <c r="J42" s="28" t="s">
        <v>65</v>
      </c>
      <c r="K42" s="30">
        <v>0.04</v>
      </c>
      <c r="L42" s="30">
        <v>0.06</v>
      </c>
      <c r="M42" s="28"/>
      <c r="N42" s="28"/>
      <c r="O42" s="28"/>
      <c r="P42" s="28"/>
      <c r="Q42" s="28"/>
      <c r="R42" s="28"/>
      <c r="S42" s="28"/>
      <c r="T42" s="28"/>
      <c r="U42" s="28"/>
      <c r="V42" s="28"/>
      <c r="W42" s="28"/>
      <c r="X42" s="28"/>
      <c r="Y42" s="28"/>
      <c r="Z42" s="28"/>
      <c r="AA42" s="29">
        <v>0.5</v>
      </c>
      <c r="AB42" s="28"/>
      <c r="AC42" s="29">
        <v>0.5</v>
      </c>
      <c r="AD42" s="28"/>
    </row>
    <row r="43" spans="1:30" x14ac:dyDescent="0.35">
      <c r="A43" t="s">
        <v>354</v>
      </c>
      <c r="B43" s="27" t="s">
        <v>463</v>
      </c>
      <c r="C43" s="27" t="s">
        <v>356</v>
      </c>
      <c r="D43" s="28" t="str">
        <f t="shared" si="0"/>
        <v>N_41_4-5</v>
      </c>
      <c r="E43" s="32" t="s">
        <v>464</v>
      </c>
      <c r="F43" s="28" t="s">
        <v>64</v>
      </c>
      <c r="G43" s="28" t="s">
        <v>81</v>
      </c>
      <c r="H43" s="28" t="s">
        <v>65</v>
      </c>
      <c r="I43" s="28" t="s">
        <v>65</v>
      </c>
      <c r="J43" s="28" t="s">
        <v>65</v>
      </c>
      <c r="K43" s="28" t="s">
        <v>145</v>
      </c>
      <c r="L43" s="28" t="s">
        <v>146</v>
      </c>
      <c r="M43" s="28"/>
      <c r="N43" s="28"/>
      <c r="O43" s="28"/>
      <c r="P43" s="28"/>
      <c r="Q43" s="28"/>
      <c r="R43" s="28"/>
      <c r="S43" s="28"/>
      <c r="T43" s="28"/>
      <c r="U43" s="28"/>
      <c r="V43" s="28"/>
      <c r="W43" s="28"/>
      <c r="X43" s="28"/>
      <c r="Y43" s="28"/>
      <c r="Z43" s="28"/>
      <c r="AA43" s="29">
        <v>0.5</v>
      </c>
      <c r="AB43" s="28"/>
      <c r="AC43" s="29">
        <v>0.5</v>
      </c>
      <c r="AD43" s="28"/>
    </row>
    <row r="44" spans="1:30" x14ac:dyDescent="0.35">
      <c r="A44" t="s">
        <v>351</v>
      </c>
      <c r="B44" s="27" t="s">
        <v>465</v>
      </c>
      <c r="C44" s="27" t="s">
        <v>353</v>
      </c>
      <c r="D44" s="28" t="str">
        <f t="shared" si="0"/>
        <v>I_42_1-5</v>
      </c>
      <c r="E44" s="28" t="s">
        <v>466</v>
      </c>
      <c r="F44" s="28" t="s">
        <v>56</v>
      </c>
      <c r="G44" s="28" t="s">
        <v>81</v>
      </c>
      <c r="H44" s="28" t="s">
        <v>467</v>
      </c>
      <c r="I44" s="28" t="s">
        <v>468</v>
      </c>
      <c r="J44" s="28" t="s">
        <v>143</v>
      </c>
      <c r="K44" s="28" t="s">
        <v>469</v>
      </c>
      <c r="L44" s="28" t="s">
        <v>470</v>
      </c>
      <c r="M44" s="28"/>
      <c r="N44" s="28"/>
      <c r="O44" s="28"/>
      <c r="P44" s="28"/>
      <c r="Q44" s="28"/>
      <c r="R44" s="28"/>
      <c r="S44" s="28"/>
      <c r="T44" s="28"/>
      <c r="U44" s="28"/>
      <c r="V44" s="28"/>
      <c r="W44" s="28"/>
      <c r="X44" s="28"/>
      <c r="Y44" s="28"/>
      <c r="Z44" s="29">
        <v>1</v>
      </c>
      <c r="AA44" s="28"/>
      <c r="AB44" s="28"/>
      <c r="AC44" s="28"/>
      <c r="AD44" s="28"/>
    </row>
    <row r="45" spans="1:30" x14ac:dyDescent="0.35">
      <c r="A45" t="s">
        <v>351</v>
      </c>
      <c r="B45" s="27" t="s">
        <v>471</v>
      </c>
      <c r="C45" s="27" t="s">
        <v>353</v>
      </c>
      <c r="D45" s="28" t="str">
        <f t="shared" si="0"/>
        <v>I_43_1-5</v>
      </c>
      <c r="E45" s="28" t="s">
        <v>472</v>
      </c>
      <c r="F45" s="28" t="s">
        <v>56</v>
      </c>
      <c r="G45" s="28" t="s">
        <v>81</v>
      </c>
      <c r="H45" s="28" t="s">
        <v>473</v>
      </c>
      <c r="I45" s="28" t="s">
        <v>474</v>
      </c>
      <c r="J45" s="28" t="s">
        <v>144</v>
      </c>
      <c r="K45" s="28" t="s">
        <v>475</v>
      </c>
      <c r="L45" s="28" t="s">
        <v>476</v>
      </c>
      <c r="M45" s="28"/>
      <c r="N45" s="28"/>
      <c r="O45" s="28"/>
      <c r="P45" s="28"/>
      <c r="Q45" s="28"/>
      <c r="R45" s="28"/>
      <c r="S45" s="28"/>
      <c r="T45" s="28"/>
      <c r="U45" s="28"/>
      <c r="V45" s="28"/>
      <c r="W45" s="28"/>
      <c r="X45" s="28"/>
      <c r="Y45" s="28"/>
      <c r="Z45" s="28"/>
      <c r="AA45" s="28"/>
      <c r="AB45" s="29">
        <v>1</v>
      </c>
      <c r="AC45" s="28"/>
      <c r="AD45" s="28"/>
    </row>
    <row r="46" spans="1:30" x14ac:dyDescent="0.35">
      <c r="A46" t="s">
        <v>354</v>
      </c>
      <c r="B46" s="27" t="s">
        <v>477</v>
      </c>
      <c r="C46" s="27" t="s">
        <v>356</v>
      </c>
      <c r="D46" s="28" t="str">
        <f t="shared" si="0"/>
        <v>N_44_4-5</v>
      </c>
      <c r="E46" s="32" t="s">
        <v>478</v>
      </c>
      <c r="F46" s="28" t="s">
        <v>64</v>
      </c>
      <c r="G46" s="28" t="s">
        <v>81</v>
      </c>
      <c r="H46" s="28" t="s">
        <v>65</v>
      </c>
      <c r="I46" s="28" t="s">
        <v>65</v>
      </c>
      <c r="J46" s="28" t="s">
        <v>65</v>
      </c>
      <c r="K46" s="28" t="s">
        <v>145</v>
      </c>
      <c r="L46" s="28" t="s">
        <v>146</v>
      </c>
      <c r="M46" s="28"/>
      <c r="N46" s="28"/>
      <c r="O46" s="28"/>
      <c r="P46" s="28"/>
      <c r="Q46" s="28"/>
      <c r="R46" s="28"/>
      <c r="S46" s="28"/>
      <c r="T46" s="28"/>
      <c r="U46" s="28"/>
      <c r="V46" s="28"/>
      <c r="W46" s="28"/>
      <c r="X46" s="28"/>
      <c r="Y46" s="28"/>
      <c r="Z46" s="28"/>
      <c r="AA46" s="29">
        <v>0.5</v>
      </c>
      <c r="AB46" s="28"/>
      <c r="AC46" s="29">
        <v>0.5</v>
      </c>
      <c r="AD46" s="28"/>
    </row>
    <row r="47" spans="1:30" x14ac:dyDescent="0.35">
      <c r="A47" t="s">
        <v>354</v>
      </c>
      <c r="B47" s="27" t="s">
        <v>479</v>
      </c>
      <c r="C47" s="27" t="s">
        <v>356</v>
      </c>
      <c r="D47" s="28" t="str">
        <f>A47 &amp; "_" &amp; B47 &amp; "_" &amp; C47</f>
        <v>N_45_4-5</v>
      </c>
      <c r="E47" s="28" t="s">
        <v>147</v>
      </c>
      <c r="F47" s="28" t="s">
        <v>64</v>
      </c>
      <c r="G47" s="28" t="s">
        <v>89</v>
      </c>
      <c r="H47" s="28" t="s">
        <v>65</v>
      </c>
      <c r="I47" s="28" t="s">
        <v>65</v>
      </c>
      <c r="J47" s="28" t="s">
        <v>65</v>
      </c>
      <c r="K47" s="28" t="s">
        <v>148</v>
      </c>
      <c r="L47" s="28" t="s">
        <v>480</v>
      </c>
      <c r="M47" s="28"/>
      <c r="N47" s="28"/>
      <c r="O47" s="28"/>
      <c r="P47" s="28"/>
      <c r="Q47" s="28"/>
      <c r="R47" s="28"/>
      <c r="S47" s="28"/>
      <c r="T47" s="28"/>
      <c r="U47" s="28"/>
      <c r="V47" s="28"/>
      <c r="W47" s="28"/>
      <c r="X47" s="28"/>
      <c r="Y47" s="28"/>
      <c r="Z47" s="29">
        <v>0.25</v>
      </c>
      <c r="AA47" s="29">
        <v>0.25</v>
      </c>
      <c r="AB47" s="29">
        <v>0.25</v>
      </c>
      <c r="AC47" s="29">
        <v>0.25</v>
      </c>
      <c r="AD47" s="28"/>
    </row>
    <row r="48" spans="1:30" x14ac:dyDescent="0.35">
      <c r="A48" t="s">
        <v>354</v>
      </c>
      <c r="B48" s="27" t="s">
        <v>481</v>
      </c>
      <c r="C48" s="27" t="s">
        <v>356</v>
      </c>
      <c r="D48" s="28" t="str">
        <f>A48 &amp; "_" &amp; B48 &amp; "_" &amp; C48</f>
        <v>N_46_4-5</v>
      </c>
      <c r="E48" s="28" t="s">
        <v>482</v>
      </c>
      <c r="F48" s="28" t="s">
        <v>64</v>
      </c>
      <c r="G48" s="28" t="s">
        <v>81</v>
      </c>
      <c r="H48" s="28" t="s">
        <v>65</v>
      </c>
      <c r="I48" s="28" t="s">
        <v>65</v>
      </c>
      <c r="J48" s="28" t="s">
        <v>65</v>
      </c>
      <c r="K48" s="28" t="s">
        <v>483</v>
      </c>
      <c r="L48" s="28" t="s">
        <v>484</v>
      </c>
      <c r="M48" s="28"/>
      <c r="N48" s="28"/>
      <c r="O48" s="28"/>
      <c r="P48" s="28"/>
      <c r="Q48" s="28"/>
      <c r="R48" s="28"/>
      <c r="S48" s="28"/>
      <c r="T48" s="28"/>
      <c r="U48" s="28"/>
      <c r="V48" s="28"/>
      <c r="W48" s="28"/>
      <c r="X48" s="28"/>
      <c r="Y48" s="28"/>
      <c r="Z48" s="28"/>
      <c r="AA48" s="29">
        <v>0.5</v>
      </c>
      <c r="AB48" s="28"/>
      <c r="AC48" s="29">
        <v>0.5</v>
      </c>
      <c r="AD48" s="28"/>
    </row>
    <row r="56" spans="4:4" x14ac:dyDescent="0.35">
      <c r="D56" t="s">
        <v>149</v>
      </c>
    </row>
    <row r="57" spans="4:4" x14ac:dyDescent="0.35">
      <c r="D57" t="s">
        <v>150</v>
      </c>
    </row>
    <row r="58" spans="4:4" x14ac:dyDescent="0.35">
      <c r="D58" t="s">
        <v>151</v>
      </c>
    </row>
    <row r="59" spans="4:4" x14ac:dyDescent="0.35">
      <c r="D59" t="s">
        <v>152</v>
      </c>
    </row>
    <row r="60" spans="4:4" x14ac:dyDescent="0.35">
      <c r="D60" t="s">
        <v>153</v>
      </c>
    </row>
    <row r="61" spans="4:4" x14ac:dyDescent="0.35">
      <c r="D61" t="s">
        <v>154</v>
      </c>
    </row>
    <row r="62" spans="4:4" x14ac:dyDescent="0.35">
      <c r="D62" t="s">
        <v>155</v>
      </c>
    </row>
    <row r="63" spans="4:4" x14ac:dyDescent="0.35">
      <c r="D63" t="s">
        <v>156</v>
      </c>
    </row>
    <row r="64" spans="4:4" x14ac:dyDescent="0.35">
      <c r="D64" t="s">
        <v>157</v>
      </c>
    </row>
  </sheetData>
  <autoFilter ref="A2:AD47" xr:uid="{1FFF27BB-EC90-4B7C-A3B5-667BD518F7F6}"/>
  <mergeCells count="10">
    <mergeCell ref="G1:G2"/>
    <mergeCell ref="H1:L1"/>
    <mergeCell ref="M1:AC1"/>
    <mergeCell ref="AD1:AD2"/>
    <mergeCell ref="A1:A2"/>
    <mergeCell ref="B1:B2"/>
    <mergeCell ref="C1:C2"/>
    <mergeCell ref="D1:D2"/>
    <mergeCell ref="E1:E2"/>
    <mergeCell ref="F1:F2"/>
  </mergeCells>
  <hyperlinks>
    <hyperlink ref="AD27" r:id="rId1" xr:uid="{68C3E0DF-7E96-44FA-BCA3-F388DC861C2A}"/>
    <hyperlink ref="AD40" r:id="rId2" display="https://www.bwo.admin.ch/de/newnsb/quLQqXJt-4wHbwb9E_BOQ" xr:uid="{0F581E17-FC83-475D-ABEA-9B76895311A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E4DC0-6CAD-4969-8840-EF2E1BC6F291}">
  <dimension ref="A1:I188"/>
  <sheetViews>
    <sheetView workbookViewId="0">
      <pane xSplit="1" topLeftCell="B1" activePane="topRight" state="frozen"/>
      <selection pane="topRight" activeCell="E22" sqref="E22"/>
    </sheetView>
  </sheetViews>
  <sheetFormatPr defaultRowHeight="14.5" x14ac:dyDescent="0.35"/>
  <cols>
    <col min="1" max="1" width="8.7265625" style="15"/>
    <col min="3" max="3" width="12.26953125" bestFit="1" customWidth="1"/>
    <col min="4" max="4" width="21.08984375" bestFit="1" customWidth="1"/>
    <col min="5" max="5" width="32" bestFit="1" customWidth="1"/>
    <col min="6" max="6" width="20.453125" bestFit="1" customWidth="1"/>
  </cols>
  <sheetData>
    <row r="1" spans="1:9" ht="15" thickBot="1" x14ac:dyDescent="0.4">
      <c r="A1" s="15" t="s">
        <v>347</v>
      </c>
      <c r="B1" t="s">
        <v>36</v>
      </c>
      <c r="C1" t="s">
        <v>37</v>
      </c>
      <c r="D1" t="s">
        <v>38</v>
      </c>
      <c r="E1" t="s">
        <v>39</v>
      </c>
      <c r="F1" t="s">
        <v>40</v>
      </c>
      <c r="G1" t="s">
        <v>348</v>
      </c>
      <c r="H1" t="s">
        <v>349</v>
      </c>
      <c r="I1" t="s">
        <v>350</v>
      </c>
    </row>
    <row r="2" spans="1:9" ht="15" thickBot="1" x14ac:dyDescent="0.4">
      <c r="A2" s="15" t="s">
        <v>162</v>
      </c>
      <c r="B2" s="36">
        <v>5</v>
      </c>
      <c r="C2" s="36">
        <v>2</v>
      </c>
      <c r="D2" s="36">
        <v>4</v>
      </c>
      <c r="E2" s="36">
        <v>4</v>
      </c>
      <c r="F2" s="36">
        <v>4</v>
      </c>
    </row>
    <row r="3" spans="1:9" ht="15" thickBot="1" x14ac:dyDescent="0.4">
      <c r="A3" s="15" t="s">
        <v>163</v>
      </c>
      <c r="B3" s="36">
        <v>5</v>
      </c>
      <c r="C3" s="36">
        <v>3</v>
      </c>
      <c r="D3" s="36">
        <v>4</v>
      </c>
      <c r="E3" s="36">
        <v>3</v>
      </c>
      <c r="F3" s="36">
        <v>4</v>
      </c>
    </row>
    <row r="4" spans="1:9" ht="15" thickBot="1" x14ac:dyDescent="0.4">
      <c r="A4" s="15" t="s">
        <v>164</v>
      </c>
      <c r="B4" s="36">
        <v>5</v>
      </c>
      <c r="C4" s="36">
        <v>4</v>
      </c>
      <c r="D4" s="36">
        <v>4</v>
      </c>
      <c r="E4" s="36">
        <v>2</v>
      </c>
      <c r="F4" s="36">
        <v>4</v>
      </c>
    </row>
    <row r="5" spans="1:9" ht="15" thickBot="1" x14ac:dyDescent="0.4">
      <c r="A5" s="15" t="s">
        <v>165</v>
      </c>
      <c r="B5" s="36">
        <v>5</v>
      </c>
      <c r="C5" s="36">
        <v>5</v>
      </c>
      <c r="D5" s="36">
        <v>4</v>
      </c>
      <c r="E5" s="36">
        <v>1</v>
      </c>
      <c r="F5" s="36">
        <v>4</v>
      </c>
    </row>
    <row r="6" spans="1:9" ht="15" thickBot="1" x14ac:dyDescent="0.4">
      <c r="A6" s="15" t="s">
        <v>166</v>
      </c>
      <c r="B6" s="36">
        <v>5</v>
      </c>
      <c r="C6" s="36">
        <v>5</v>
      </c>
      <c r="D6" s="36">
        <v>4</v>
      </c>
      <c r="E6" s="36">
        <v>1</v>
      </c>
      <c r="F6" s="36">
        <v>4</v>
      </c>
    </row>
    <row r="7" spans="1:9" ht="15" thickBot="1" x14ac:dyDescent="0.4">
      <c r="A7" s="15" t="s">
        <v>167</v>
      </c>
      <c r="B7" s="36">
        <v>5</v>
      </c>
      <c r="C7" s="36">
        <v>2</v>
      </c>
      <c r="D7" s="36">
        <v>4</v>
      </c>
      <c r="E7" s="36">
        <v>2</v>
      </c>
      <c r="F7" s="36">
        <v>3</v>
      </c>
    </row>
    <row r="8" spans="1:9" ht="15" thickBot="1" x14ac:dyDescent="0.4">
      <c r="A8" s="15" t="s">
        <v>168</v>
      </c>
      <c r="B8" s="36">
        <v>5</v>
      </c>
      <c r="C8" s="36">
        <v>3</v>
      </c>
      <c r="D8" s="36">
        <v>4</v>
      </c>
      <c r="E8" s="36">
        <v>1</v>
      </c>
      <c r="F8" s="36">
        <v>3</v>
      </c>
    </row>
    <row r="9" spans="1:9" ht="15" thickBot="1" x14ac:dyDescent="0.4">
      <c r="A9" s="15" t="s">
        <v>169</v>
      </c>
      <c r="B9" s="36">
        <v>4</v>
      </c>
      <c r="C9" s="36">
        <v>2</v>
      </c>
      <c r="D9" s="36">
        <v>4</v>
      </c>
      <c r="E9" s="36">
        <v>4</v>
      </c>
      <c r="F9" s="36">
        <v>3</v>
      </c>
    </row>
    <row r="10" spans="1:9" ht="15" thickBot="1" x14ac:dyDescent="0.4">
      <c r="A10" s="15" t="s">
        <v>170</v>
      </c>
      <c r="B10" s="36">
        <v>3</v>
      </c>
      <c r="C10" s="36">
        <v>3</v>
      </c>
      <c r="D10" s="36">
        <v>4</v>
      </c>
      <c r="E10" s="36">
        <v>4</v>
      </c>
      <c r="F10" s="36">
        <v>3</v>
      </c>
    </row>
    <row r="11" spans="1:9" ht="15" thickBot="1" x14ac:dyDescent="0.4">
      <c r="A11" s="15" t="s">
        <v>171</v>
      </c>
      <c r="B11" s="36">
        <v>2</v>
      </c>
      <c r="C11" s="36">
        <v>4</v>
      </c>
      <c r="D11" s="36">
        <v>4</v>
      </c>
      <c r="E11" s="36">
        <v>4</v>
      </c>
      <c r="F11" s="36">
        <v>3</v>
      </c>
    </row>
    <row r="12" spans="1:9" ht="15" thickBot="1" x14ac:dyDescent="0.4">
      <c r="A12" s="15" t="s">
        <v>172</v>
      </c>
      <c r="B12" s="36">
        <v>5</v>
      </c>
      <c r="C12" s="36">
        <v>1</v>
      </c>
      <c r="D12" s="36">
        <v>4</v>
      </c>
      <c r="E12" s="36">
        <v>4</v>
      </c>
      <c r="F12" s="36">
        <v>4</v>
      </c>
    </row>
    <row r="13" spans="1:9" ht="15" thickBot="1" x14ac:dyDescent="0.4">
      <c r="A13" s="15" t="s">
        <v>173</v>
      </c>
      <c r="B13" s="36">
        <v>5</v>
      </c>
      <c r="C13" s="36">
        <v>3</v>
      </c>
      <c r="D13" s="36">
        <v>4</v>
      </c>
      <c r="E13" s="36">
        <v>3</v>
      </c>
      <c r="F13" s="36">
        <v>4</v>
      </c>
    </row>
    <row r="14" spans="1:9" ht="15" thickBot="1" x14ac:dyDescent="0.4">
      <c r="A14" s="15" t="s">
        <v>174</v>
      </c>
      <c r="B14" s="36">
        <v>5</v>
      </c>
      <c r="C14" s="36">
        <v>4</v>
      </c>
      <c r="D14" s="36">
        <v>4</v>
      </c>
      <c r="E14" s="36">
        <v>2</v>
      </c>
      <c r="F14" s="36">
        <v>4</v>
      </c>
    </row>
    <row r="15" spans="1:9" ht="15" thickBot="1" x14ac:dyDescent="0.4">
      <c r="A15" s="15" t="s">
        <v>175</v>
      </c>
      <c r="B15" s="36">
        <v>5</v>
      </c>
      <c r="C15" s="36">
        <v>2</v>
      </c>
      <c r="D15" s="36">
        <v>4</v>
      </c>
      <c r="E15" s="36">
        <v>3</v>
      </c>
      <c r="F15" s="36">
        <v>4</v>
      </c>
    </row>
    <row r="16" spans="1:9" ht="15" thickBot="1" x14ac:dyDescent="0.4">
      <c r="A16" s="15" t="s">
        <v>176</v>
      </c>
      <c r="B16" s="36">
        <v>5</v>
      </c>
      <c r="C16" s="36">
        <v>3</v>
      </c>
      <c r="D16" s="36">
        <v>4</v>
      </c>
      <c r="E16" s="36">
        <v>2</v>
      </c>
      <c r="F16" s="36">
        <v>4</v>
      </c>
    </row>
    <row r="17" spans="1:6" ht="15" thickBot="1" x14ac:dyDescent="0.4">
      <c r="A17" s="15" t="s">
        <v>177</v>
      </c>
      <c r="B17" s="36">
        <v>5</v>
      </c>
      <c r="C17" s="36">
        <v>3</v>
      </c>
      <c r="D17" s="36">
        <v>4</v>
      </c>
      <c r="E17" s="36">
        <v>2</v>
      </c>
      <c r="F17" s="36">
        <v>4</v>
      </c>
    </row>
    <row r="18" spans="1:6" ht="15" thickBot="1" x14ac:dyDescent="0.4">
      <c r="A18" s="15" t="s">
        <v>178</v>
      </c>
      <c r="B18" s="36">
        <v>5</v>
      </c>
      <c r="C18" s="36">
        <v>4</v>
      </c>
      <c r="D18" s="36">
        <v>4</v>
      </c>
      <c r="E18" s="36">
        <v>1</v>
      </c>
      <c r="F18" s="36">
        <v>4</v>
      </c>
    </row>
    <row r="19" spans="1:6" ht="15" thickBot="1" x14ac:dyDescent="0.4">
      <c r="A19" s="15" t="s">
        <v>179</v>
      </c>
      <c r="B19" s="36">
        <v>5</v>
      </c>
      <c r="C19" s="36">
        <v>5</v>
      </c>
      <c r="D19" s="36">
        <v>4</v>
      </c>
      <c r="E19" s="36">
        <v>1</v>
      </c>
      <c r="F19" s="36">
        <v>4</v>
      </c>
    </row>
    <row r="20" spans="1:6" ht="15" thickBot="1" x14ac:dyDescent="0.4">
      <c r="A20" s="15" t="s">
        <v>180</v>
      </c>
      <c r="B20" s="36">
        <v>5</v>
      </c>
      <c r="C20" s="36">
        <v>3</v>
      </c>
      <c r="D20" s="36">
        <v>4</v>
      </c>
      <c r="E20" s="36">
        <v>4</v>
      </c>
      <c r="F20" s="36">
        <v>4</v>
      </c>
    </row>
    <row r="21" spans="1:6" ht="15" thickBot="1" x14ac:dyDescent="0.4">
      <c r="A21" s="15" t="s">
        <v>181</v>
      </c>
      <c r="B21" s="36">
        <v>5</v>
      </c>
      <c r="C21" s="36">
        <v>4</v>
      </c>
      <c r="D21" s="36">
        <v>4</v>
      </c>
      <c r="E21" s="36">
        <v>3</v>
      </c>
      <c r="F21" s="36">
        <v>4</v>
      </c>
    </row>
    <row r="22" spans="1:6" ht="15" thickBot="1" x14ac:dyDescent="0.4">
      <c r="A22" s="15" t="s">
        <v>182</v>
      </c>
      <c r="B22" s="36">
        <v>5</v>
      </c>
      <c r="C22" s="36">
        <v>4</v>
      </c>
      <c r="D22" s="36">
        <v>4</v>
      </c>
      <c r="E22" s="36">
        <v>3</v>
      </c>
      <c r="F22" s="36">
        <v>4</v>
      </c>
    </row>
    <row r="23" spans="1:6" ht="15" thickBot="1" x14ac:dyDescent="0.4">
      <c r="A23" s="15" t="s">
        <v>183</v>
      </c>
      <c r="B23" s="36">
        <v>5</v>
      </c>
      <c r="C23" s="36">
        <v>5</v>
      </c>
      <c r="D23" s="36">
        <v>4</v>
      </c>
      <c r="E23" s="36">
        <v>2</v>
      </c>
      <c r="F23" s="36">
        <v>4</v>
      </c>
    </row>
    <row r="24" spans="1:6" ht="15" thickBot="1" x14ac:dyDescent="0.4">
      <c r="A24" s="15" t="s">
        <v>184</v>
      </c>
      <c r="B24" s="36">
        <v>5</v>
      </c>
      <c r="C24" s="36">
        <v>5</v>
      </c>
      <c r="D24" s="36">
        <v>4</v>
      </c>
      <c r="E24" s="36">
        <v>2</v>
      </c>
      <c r="F24" s="36">
        <v>4</v>
      </c>
    </row>
    <row r="25" spans="1:6" ht="15" thickBot="1" x14ac:dyDescent="0.4">
      <c r="A25" s="15" t="s">
        <v>185</v>
      </c>
      <c r="B25" s="36">
        <v>4</v>
      </c>
      <c r="C25" s="36">
        <v>3</v>
      </c>
      <c r="D25" s="36">
        <v>3</v>
      </c>
      <c r="E25" s="36">
        <v>3</v>
      </c>
      <c r="F25" s="36">
        <v>1</v>
      </c>
    </row>
    <row r="26" spans="1:6" ht="15" thickBot="1" x14ac:dyDescent="0.4">
      <c r="A26" s="15" t="s">
        <v>186</v>
      </c>
      <c r="B26" s="36">
        <v>3</v>
      </c>
      <c r="C26" s="36">
        <v>5</v>
      </c>
      <c r="D26" s="36">
        <v>3</v>
      </c>
      <c r="E26" s="36">
        <v>2</v>
      </c>
      <c r="F26" s="36">
        <v>1</v>
      </c>
    </row>
    <row r="27" spans="1:6" ht="15" thickBot="1" x14ac:dyDescent="0.4">
      <c r="A27" s="15" t="s">
        <v>187</v>
      </c>
      <c r="B27" s="36">
        <v>3</v>
      </c>
      <c r="C27" s="36">
        <v>3</v>
      </c>
      <c r="D27" s="36">
        <v>3</v>
      </c>
      <c r="E27" s="36">
        <v>4</v>
      </c>
      <c r="F27" s="36">
        <v>1</v>
      </c>
    </row>
    <row r="28" spans="1:6" ht="15" thickBot="1" x14ac:dyDescent="0.4">
      <c r="A28" s="15" t="s">
        <v>188</v>
      </c>
      <c r="B28" s="36">
        <v>1</v>
      </c>
      <c r="C28" s="36">
        <v>4</v>
      </c>
      <c r="D28" s="36">
        <v>3</v>
      </c>
      <c r="E28" s="36">
        <v>4</v>
      </c>
      <c r="F28" s="36">
        <v>1</v>
      </c>
    </row>
    <row r="29" spans="1:6" ht="15" thickBot="1" x14ac:dyDescent="0.4">
      <c r="A29" s="15" t="s">
        <v>189</v>
      </c>
      <c r="B29" s="36">
        <v>4</v>
      </c>
      <c r="C29" s="36">
        <v>2</v>
      </c>
      <c r="D29" s="36">
        <v>5</v>
      </c>
      <c r="E29" s="36">
        <v>5</v>
      </c>
      <c r="F29" s="36">
        <v>4</v>
      </c>
    </row>
    <row r="30" spans="1:6" ht="15" thickBot="1" x14ac:dyDescent="0.4">
      <c r="A30" s="15" t="s">
        <v>190</v>
      </c>
      <c r="B30" s="36">
        <v>4</v>
      </c>
      <c r="C30" s="36">
        <v>2</v>
      </c>
      <c r="D30" s="36">
        <v>5</v>
      </c>
      <c r="E30" s="36">
        <v>5</v>
      </c>
      <c r="F30" s="36">
        <v>4</v>
      </c>
    </row>
    <row r="31" spans="1:6" ht="15" thickBot="1" x14ac:dyDescent="0.4">
      <c r="A31" s="15" t="s">
        <v>191</v>
      </c>
      <c r="B31" s="36">
        <v>3</v>
      </c>
      <c r="C31" s="36">
        <v>3</v>
      </c>
      <c r="D31" s="36">
        <v>5</v>
      </c>
      <c r="E31" s="36">
        <v>5</v>
      </c>
      <c r="F31" s="36">
        <v>4</v>
      </c>
    </row>
    <row r="32" spans="1:6" ht="15" thickBot="1" x14ac:dyDescent="0.4">
      <c r="A32" s="15" t="s">
        <v>192</v>
      </c>
      <c r="B32" s="36">
        <v>2</v>
      </c>
      <c r="C32" s="36">
        <v>4</v>
      </c>
      <c r="D32" s="36">
        <v>5</v>
      </c>
      <c r="E32" s="36">
        <v>5</v>
      </c>
      <c r="F32" s="36">
        <v>4</v>
      </c>
    </row>
    <row r="33" spans="1:6" ht="15" thickBot="1" x14ac:dyDescent="0.4">
      <c r="A33" s="15" t="s">
        <v>193</v>
      </c>
      <c r="B33" s="36">
        <v>1</v>
      </c>
      <c r="C33" s="36">
        <v>5</v>
      </c>
      <c r="D33" s="36">
        <v>5</v>
      </c>
      <c r="E33" s="36">
        <v>5</v>
      </c>
      <c r="F33" s="36">
        <v>4</v>
      </c>
    </row>
    <row r="34" spans="1:6" ht="15" thickBot="1" x14ac:dyDescent="0.4">
      <c r="A34" s="15" t="s">
        <v>194</v>
      </c>
      <c r="B34" s="36">
        <v>4</v>
      </c>
      <c r="C34" s="36">
        <v>2</v>
      </c>
      <c r="D34" s="36">
        <v>5</v>
      </c>
      <c r="E34" s="36">
        <v>5</v>
      </c>
      <c r="F34" s="36">
        <v>4</v>
      </c>
    </row>
    <row r="35" spans="1:6" ht="15" thickBot="1" x14ac:dyDescent="0.4">
      <c r="A35" s="15" t="s">
        <v>195</v>
      </c>
      <c r="B35" s="36">
        <v>4</v>
      </c>
      <c r="C35" s="36">
        <v>2</v>
      </c>
      <c r="D35" s="36">
        <v>5</v>
      </c>
      <c r="E35" s="36">
        <v>5</v>
      </c>
      <c r="F35" s="36">
        <v>4</v>
      </c>
    </row>
    <row r="36" spans="1:6" ht="15" thickBot="1" x14ac:dyDescent="0.4">
      <c r="A36" s="15" t="s">
        <v>196</v>
      </c>
      <c r="B36" s="36">
        <v>3</v>
      </c>
      <c r="C36" s="36">
        <v>3</v>
      </c>
      <c r="D36" s="36">
        <v>5</v>
      </c>
      <c r="E36" s="36">
        <v>5</v>
      </c>
      <c r="F36" s="36">
        <v>4</v>
      </c>
    </row>
    <row r="37" spans="1:6" ht="15" thickBot="1" x14ac:dyDescent="0.4">
      <c r="A37" s="15" t="s">
        <v>197</v>
      </c>
      <c r="B37" s="36">
        <v>2</v>
      </c>
      <c r="C37" s="36">
        <v>4</v>
      </c>
      <c r="D37" s="36">
        <v>5</v>
      </c>
      <c r="E37" s="36">
        <v>5</v>
      </c>
      <c r="F37" s="36">
        <v>4</v>
      </c>
    </row>
    <row r="38" spans="1:6" ht="15" thickBot="1" x14ac:dyDescent="0.4">
      <c r="A38" s="15" t="s">
        <v>198</v>
      </c>
      <c r="B38" s="36">
        <v>1</v>
      </c>
      <c r="C38" s="36">
        <v>5</v>
      </c>
      <c r="D38" s="36">
        <v>5</v>
      </c>
      <c r="E38" s="36">
        <v>5</v>
      </c>
      <c r="F38" s="36">
        <v>4</v>
      </c>
    </row>
    <row r="39" spans="1:6" ht="15" thickBot="1" x14ac:dyDescent="0.4">
      <c r="A39" s="15" t="s">
        <v>199</v>
      </c>
      <c r="B39" s="36">
        <v>4</v>
      </c>
      <c r="C39" s="36">
        <v>2</v>
      </c>
      <c r="D39" s="36">
        <v>5</v>
      </c>
      <c r="E39" s="36">
        <v>5</v>
      </c>
      <c r="F39" s="36">
        <v>4</v>
      </c>
    </row>
    <row r="40" spans="1:6" ht="15" thickBot="1" x14ac:dyDescent="0.4">
      <c r="A40" s="15" t="s">
        <v>200</v>
      </c>
      <c r="B40" s="36">
        <v>4</v>
      </c>
      <c r="C40" s="36">
        <v>2</v>
      </c>
      <c r="D40" s="36">
        <v>5</v>
      </c>
      <c r="E40" s="36">
        <v>5</v>
      </c>
      <c r="F40" s="36">
        <v>4</v>
      </c>
    </row>
    <row r="41" spans="1:6" ht="15" thickBot="1" x14ac:dyDescent="0.4">
      <c r="A41" s="15" t="s">
        <v>201</v>
      </c>
      <c r="B41" s="36">
        <v>3</v>
      </c>
      <c r="C41" s="36">
        <v>4</v>
      </c>
      <c r="D41" s="36">
        <v>5</v>
      </c>
      <c r="E41" s="36">
        <v>5</v>
      </c>
      <c r="F41" s="36">
        <v>4</v>
      </c>
    </row>
    <row r="42" spans="1:6" ht="15" thickBot="1" x14ac:dyDescent="0.4">
      <c r="A42" s="15" t="s">
        <v>202</v>
      </c>
      <c r="B42" s="36">
        <v>2</v>
      </c>
      <c r="C42" s="36">
        <v>4</v>
      </c>
      <c r="D42" s="36">
        <v>5</v>
      </c>
      <c r="E42" s="36">
        <v>5</v>
      </c>
      <c r="F42" s="36">
        <v>4</v>
      </c>
    </row>
    <row r="43" spans="1:6" ht="15" thickBot="1" x14ac:dyDescent="0.4">
      <c r="A43" s="15" t="s">
        <v>203</v>
      </c>
      <c r="B43" s="36">
        <v>1</v>
      </c>
      <c r="C43" s="36">
        <v>5</v>
      </c>
      <c r="D43" s="36">
        <v>5</v>
      </c>
      <c r="E43" s="36">
        <v>5</v>
      </c>
      <c r="F43" s="36">
        <v>4</v>
      </c>
    </row>
    <row r="44" spans="1:6" ht="15" thickBot="1" x14ac:dyDescent="0.4">
      <c r="A44" s="15" t="s">
        <v>204</v>
      </c>
      <c r="B44" s="36">
        <v>4</v>
      </c>
      <c r="C44" s="36">
        <v>2</v>
      </c>
      <c r="D44" s="36">
        <v>4</v>
      </c>
      <c r="E44" s="36">
        <v>5</v>
      </c>
      <c r="F44" s="36">
        <v>4</v>
      </c>
    </row>
    <row r="45" spans="1:6" ht="15" thickBot="1" x14ac:dyDescent="0.4">
      <c r="A45" s="15" t="s">
        <v>205</v>
      </c>
      <c r="B45" s="36">
        <v>4</v>
      </c>
      <c r="C45" s="36">
        <v>2</v>
      </c>
      <c r="D45" s="36">
        <v>4</v>
      </c>
      <c r="E45" s="36">
        <v>5</v>
      </c>
      <c r="F45" s="36">
        <v>4</v>
      </c>
    </row>
    <row r="46" spans="1:6" ht="15" thickBot="1" x14ac:dyDescent="0.4">
      <c r="A46" s="15" t="s">
        <v>206</v>
      </c>
      <c r="B46" s="36">
        <v>3</v>
      </c>
      <c r="C46" s="36">
        <v>3</v>
      </c>
      <c r="D46" s="36">
        <v>4</v>
      </c>
      <c r="E46" s="36">
        <v>5</v>
      </c>
      <c r="F46" s="36">
        <v>4</v>
      </c>
    </row>
    <row r="47" spans="1:6" ht="15" thickBot="1" x14ac:dyDescent="0.4">
      <c r="A47" s="15" t="s">
        <v>207</v>
      </c>
      <c r="B47" s="36">
        <v>2</v>
      </c>
      <c r="C47" s="36">
        <v>4</v>
      </c>
      <c r="D47" s="36">
        <v>4</v>
      </c>
      <c r="E47" s="36">
        <v>5</v>
      </c>
      <c r="F47" s="36">
        <v>4</v>
      </c>
    </row>
    <row r="48" spans="1:6" ht="15" thickBot="1" x14ac:dyDescent="0.4">
      <c r="A48" s="15" t="s">
        <v>208</v>
      </c>
      <c r="B48" s="36">
        <v>1</v>
      </c>
      <c r="C48" s="36">
        <v>4</v>
      </c>
      <c r="D48" s="36">
        <v>4</v>
      </c>
      <c r="E48" s="36">
        <v>5</v>
      </c>
      <c r="F48" s="36">
        <v>4</v>
      </c>
    </row>
    <row r="49" spans="1:6" ht="15" thickBot="1" x14ac:dyDescent="0.4">
      <c r="A49" s="15" t="s">
        <v>209</v>
      </c>
      <c r="B49" s="36">
        <v>5</v>
      </c>
      <c r="C49" s="36">
        <v>3</v>
      </c>
      <c r="D49" s="36">
        <v>4</v>
      </c>
      <c r="E49" s="36">
        <v>3</v>
      </c>
      <c r="F49" s="36">
        <v>3</v>
      </c>
    </row>
    <row r="50" spans="1:6" ht="15" thickBot="1" x14ac:dyDescent="0.4">
      <c r="A50" s="15" t="s">
        <v>210</v>
      </c>
      <c r="B50" s="36">
        <v>5</v>
      </c>
      <c r="C50" s="36">
        <v>4</v>
      </c>
      <c r="D50" s="36">
        <v>4</v>
      </c>
      <c r="E50" s="36">
        <v>2</v>
      </c>
      <c r="F50" s="36">
        <v>3</v>
      </c>
    </row>
    <row r="51" spans="1:6" ht="15" thickBot="1" x14ac:dyDescent="0.4">
      <c r="A51" s="15" t="s">
        <v>211</v>
      </c>
      <c r="B51" s="36">
        <v>5</v>
      </c>
      <c r="C51" s="36">
        <v>5</v>
      </c>
      <c r="D51" s="36">
        <v>4</v>
      </c>
      <c r="E51" s="36">
        <v>1</v>
      </c>
      <c r="F51" s="36">
        <v>3</v>
      </c>
    </row>
    <row r="52" spans="1:6" ht="15" thickBot="1" x14ac:dyDescent="0.4">
      <c r="A52" s="15" t="s">
        <v>212</v>
      </c>
      <c r="B52" s="36">
        <v>5</v>
      </c>
      <c r="C52" s="36">
        <v>2</v>
      </c>
      <c r="D52" s="36">
        <v>3</v>
      </c>
      <c r="E52" s="36">
        <v>4</v>
      </c>
      <c r="F52" s="36">
        <v>4</v>
      </c>
    </row>
    <row r="53" spans="1:6" ht="15" thickBot="1" x14ac:dyDescent="0.4">
      <c r="A53" s="15" t="s">
        <v>213</v>
      </c>
      <c r="B53" s="36">
        <v>5</v>
      </c>
      <c r="C53" s="36">
        <v>3</v>
      </c>
      <c r="D53" s="36">
        <v>3</v>
      </c>
      <c r="E53" s="36">
        <v>3</v>
      </c>
      <c r="F53" s="36">
        <v>4</v>
      </c>
    </row>
    <row r="54" spans="1:6" ht="15" thickBot="1" x14ac:dyDescent="0.4">
      <c r="A54" s="15" t="s">
        <v>214</v>
      </c>
      <c r="B54" s="36">
        <v>5</v>
      </c>
      <c r="C54" s="36">
        <v>4</v>
      </c>
      <c r="D54" s="36">
        <v>3</v>
      </c>
      <c r="E54" s="36">
        <v>2</v>
      </c>
      <c r="F54" s="36">
        <v>4</v>
      </c>
    </row>
    <row r="55" spans="1:6" ht="15" thickBot="1" x14ac:dyDescent="0.4">
      <c r="A55" s="15" t="s">
        <v>215</v>
      </c>
      <c r="B55" s="36">
        <v>4</v>
      </c>
      <c r="C55" s="36">
        <v>2</v>
      </c>
      <c r="D55" s="36">
        <v>4</v>
      </c>
      <c r="E55" s="36">
        <v>5</v>
      </c>
      <c r="F55" s="36">
        <v>4</v>
      </c>
    </row>
    <row r="56" spans="1:6" ht="15" thickBot="1" x14ac:dyDescent="0.4">
      <c r="A56" s="15" t="s">
        <v>216</v>
      </c>
      <c r="B56" s="36">
        <v>4</v>
      </c>
      <c r="C56" s="36">
        <v>2</v>
      </c>
      <c r="D56" s="36">
        <v>4</v>
      </c>
      <c r="E56" s="36">
        <v>5</v>
      </c>
      <c r="F56" s="36">
        <v>4</v>
      </c>
    </row>
    <row r="57" spans="1:6" ht="15" thickBot="1" x14ac:dyDescent="0.4">
      <c r="A57" s="15" t="s">
        <v>217</v>
      </c>
      <c r="B57" s="36">
        <v>3</v>
      </c>
      <c r="C57" s="36">
        <v>3</v>
      </c>
      <c r="D57" s="36">
        <v>4</v>
      </c>
      <c r="E57" s="36">
        <v>5</v>
      </c>
      <c r="F57" s="36">
        <v>4</v>
      </c>
    </row>
    <row r="58" spans="1:6" ht="15" thickBot="1" x14ac:dyDescent="0.4">
      <c r="A58" s="15" t="s">
        <v>218</v>
      </c>
      <c r="B58" s="36">
        <v>2</v>
      </c>
      <c r="C58" s="36">
        <v>4</v>
      </c>
      <c r="D58" s="36">
        <v>4</v>
      </c>
      <c r="E58" s="36">
        <v>5</v>
      </c>
      <c r="F58" s="36">
        <v>4</v>
      </c>
    </row>
    <row r="59" spans="1:6" ht="15" thickBot="1" x14ac:dyDescent="0.4">
      <c r="A59" s="15" t="s">
        <v>219</v>
      </c>
      <c r="B59" s="36">
        <v>1</v>
      </c>
      <c r="C59" s="36">
        <v>4</v>
      </c>
      <c r="D59" s="36">
        <v>4</v>
      </c>
      <c r="E59" s="36">
        <v>5</v>
      </c>
      <c r="F59" s="36">
        <v>4</v>
      </c>
    </row>
    <row r="60" spans="1:6" ht="15" thickBot="1" x14ac:dyDescent="0.4">
      <c r="A60" s="15" t="s">
        <v>220</v>
      </c>
      <c r="B60" s="36">
        <v>4</v>
      </c>
      <c r="C60" s="36">
        <v>2</v>
      </c>
      <c r="D60" s="36">
        <v>5</v>
      </c>
      <c r="E60" s="36">
        <v>5</v>
      </c>
      <c r="F60" s="36">
        <v>4</v>
      </c>
    </row>
    <row r="61" spans="1:6" ht="15" thickBot="1" x14ac:dyDescent="0.4">
      <c r="A61" s="15" t="s">
        <v>221</v>
      </c>
      <c r="B61" s="36">
        <v>4</v>
      </c>
      <c r="C61" s="36">
        <v>3</v>
      </c>
      <c r="D61" s="36">
        <v>5</v>
      </c>
      <c r="E61" s="36">
        <v>5</v>
      </c>
      <c r="F61" s="36">
        <v>4</v>
      </c>
    </row>
    <row r="62" spans="1:6" ht="15" thickBot="1" x14ac:dyDescent="0.4">
      <c r="A62" s="15" t="s">
        <v>222</v>
      </c>
      <c r="B62" s="36">
        <v>3</v>
      </c>
      <c r="C62" s="36">
        <v>4</v>
      </c>
      <c r="D62" s="36">
        <v>5</v>
      </c>
      <c r="E62" s="36">
        <v>5</v>
      </c>
      <c r="F62" s="36">
        <v>4</v>
      </c>
    </row>
    <row r="63" spans="1:6" ht="15" thickBot="1" x14ac:dyDescent="0.4">
      <c r="A63" s="15" t="s">
        <v>223</v>
      </c>
      <c r="B63" s="36">
        <v>2</v>
      </c>
      <c r="C63" s="36">
        <v>4</v>
      </c>
      <c r="D63" s="36">
        <v>5</v>
      </c>
      <c r="E63" s="36">
        <v>5</v>
      </c>
      <c r="F63" s="36">
        <v>4</v>
      </c>
    </row>
    <row r="64" spans="1:6" ht="15" thickBot="1" x14ac:dyDescent="0.4">
      <c r="A64" s="15" t="s">
        <v>224</v>
      </c>
      <c r="B64" s="36">
        <v>1</v>
      </c>
      <c r="C64" s="36">
        <v>5</v>
      </c>
      <c r="D64" s="36">
        <v>5</v>
      </c>
      <c r="E64" s="36">
        <v>5</v>
      </c>
      <c r="F64" s="36">
        <v>4</v>
      </c>
    </row>
    <row r="65" spans="1:6" ht="15" thickBot="1" x14ac:dyDescent="0.4">
      <c r="A65" s="15" t="s">
        <v>225</v>
      </c>
      <c r="B65" s="36">
        <v>4</v>
      </c>
      <c r="C65" s="36">
        <v>3</v>
      </c>
      <c r="D65" s="36">
        <v>5</v>
      </c>
      <c r="E65" s="36">
        <v>4</v>
      </c>
      <c r="F65" s="36">
        <v>3</v>
      </c>
    </row>
    <row r="66" spans="1:6" ht="15" thickBot="1" x14ac:dyDescent="0.4">
      <c r="A66" s="15" t="s">
        <v>226</v>
      </c>
      <c r="B66" s="36">
        <v>3</v>
      </c>
      <c r="C66" s="36">
        <v>4</v>
      </c>
      <c r="D66" s="36">
        <v>5</v>
      </c>
      <c r="E66" s="36">
        <v>4</v>
      </c>
      <c r="F66" s="36">
        <v>3</v>
      </c>
    </row>
    <row r="67" spans="1:6" ht="15" thickBot="1" x14ac:dyDescent="0.4">
      <c r="A67" s="15" t="s">
        <v>227</v>
      </c>
      <c r="B67" s="36">
        <v>2</v>
      </c>
      <c r="C67" s="36">
        <v>4</v>
      </c>
      <c r="D67" s="36">
        <v>5</v>
      </c>
      <c r="E67" s="36">
        <v>4</v>
      </c>
      <c r="F67" s="36">
        <v>3</v>
      </c>
    </row>
    <row r="68" spans="1:6" ht="15" thickBot="1" x14ac:dyDescent="0.4">
      <c r="A68" s="15" t="s">
        <v>228</v>
      </c>
      <c r="B68" s="36">
        <v>2</v>
      </c>
      <c r="C68" s="36">
        <v>5</v>
      </c>
      <c r="D68" s="36">
        <v>5</v>
      </c>
      <c r="E68" s="36">
        <v>4</v>
      </c>
      <c r="F68" s="36">
        <v>3</v>
      </c>
    </row>
    <row r="69" spans="1:6" ht="15" thickBot="1" x14ac:dyDescent="0.4">
      <c r="A69" s="15" t="s">
        <v>229</v>
      </c>
      <c r="B69" s="36">
        <v>1</v>
      </c>
      <c r="C69" s="36">
        <v>5</v>
      </c>
      <c r="D69" s="36">
        <v>5</v>
      </c>
      <c r="E69" s="36">
        <v>4</v>
      </c>
      <c r="F69" s="36">
        <v>3</v>
      </c>
    </row>
    <row r="70" spans="1:6" ht="15" thickBot="1" x14ac:dyDescent="0.4">
      <c r="A70" s="15" t="s">
        <v>230</v>
      </c>
      <c r="B70" s="36">
        <v>4</v>
      </c>
      <c r="C70" s="36">
        <v>2</v>
      </c>
      <c r="D70" s="36">
        <v>5</v>
      </c>
      <c r="E70" s="36">
        <v>4</v>
      </c>
      <c r="F70" s="36">
        <v>3</v>
      </c>
    </row>
    <row r="71" spans="1:6" ht="15" thickBot="1" x14ac:dyDescent="0.4">
      <c r="A71" s="15" t="s">
        <v>231</v>
      </c>
      <c r="B71" s="36">
        <v>4</v>
      </c>
      <c r="C71" s="36">
        <v>3</v>
      </c>
      <c r="D71" s="36">
        <v>5</v>
      </c>
      <c r="E71" s="36">
        <v>4</v>
      </c>
      <c r="F71" s="36">
        <v>3</v>
      </c>
    </row>
    <row r="72" spans="1:6" ht="15" thickBot="1" x14ac:dyDescent="0.4">
      <c r="A72" s="15" t="s">
        <v>232</v>
      </c>
      <c r="B72" s="36">
        <v>3</v>
      </c>
      <c r="C72" s="36">
        <v>4</v>
      </c>
      <c r="D72" s="36">
        <v>5</v>
      </c>
      <c r="E72" s="36">
        <v>4</v>
      </c>
      <c r="F72" s="36">
        <v>3</v>
      </c>
    </row>
    <row r="73" spans="1:6" ht="15" thickBot="1" x14ac:dyDescent="0.4">
      <c r="A73" s="15" t="s">
        <v>233</v>
      </c>
      <c r="B73" s="36">
        <v>2</v>
      </c>
      <c r="C73" s="36">
        <v>4</v>
      </c>
      <c r="D73" s="36">
        <v>5</v>
      </c>
      <c r="E73" s="36">
        <v>4</v>
      </c>
      <c r="F73" s="36">
        <v>3</v>
      </c>
    </row>
    <row r="74" spans="1:6" ht="15" thickBot="1" x14ac:dyDescent="0.4">
      <c r="A74" s="15" t="s">
        <v>234</v>
      </c>
      <c r="B74" s="36">
        <v>1</v>
      </c>
      <c r="C74" s="36">
        <v>5</v>
      </c>
      <c r="D74" s="36">
        <v>5</v>
      </c>
      <c r="E74" s="36">
        <v>4</v>
      </c>
      <c r="F74" s="36">
        <v>3</v>
      </c>
    </row>
    <row r="75" spans="1:6" ht="15" thickBot="1" x14ac:dyDescent="0.4">
      <c r="A75" s="15" t="s">
        <v>235</v>
      </c>
      <c r="B75" s="36">
        <v>4</v>
      </c>
      <c r="C75" s="36">
        <v>2</v>
      </c>
      <c r="D75" s="36">
        <v>5</v>
      </c>
      <c r="E75" s="36">
        <v>4</v>
      </c>
      <c r="F75" s="36">
        <v>3</v>
      </c>
    </row>
    <row r="76" spans="1:6" ht="15" thickBot="1" x14ac:dyDescent="0.4">
      <c r="A76" s="15" t="s">
        <v>236</v>
      </c>
      <c r="B76" s="36">
        <v>4</v>
      </c>
      <c r="C76" s="36">
        <v>3</v>
      </c>
      <c r="D76" s="36">
        <v>5</v>
      </c>
      <c r="E76" s="36">
        <v>4</v>
      </c>
      <c r="F76" s="36">
        <v>3</v>
      </c>
    </row>
    <row r="77" spans="1:6" ht="15" thickBot="1" x14ac:dyDescent="0.4">
      <c r="A77" s="15" t="s">
        <v>237</v>
      </c>
      <c r="B77" s="36">
        <v>3</v>
      </c>
      <c r="C77" s="36">
        <v>4</v>
      </c>
      <c r="D77" s="36">
        <v>5</v>
      </c>
      <c r="E77" s="36">
        <v>4</v>
      </c>
      <c r="F77" s="36">
        <v>3</v>
      </c>
    </row>
    <row r="78" spans="1:6" ht="15" thickBot="1" x14ac:dyDescent="0.4">
      <c r="A78" s="15" t="s">
        <v>238</v>
      </c>
      <c r="B78" s="36">
        <v>2</v>
      </c>
      <c r="C78" s="36">
        <v>4</v>
      </c>
      <c r="D78" s="36">
        <v>5</v>
      </c>
      <c r="E78" s="36">
        <v>4</v>
      </c>
      <c r="F78" s="36">
        <v>3</v>
      </c>
    </row>
    <row r="79" spans="1:6" ht="15" thickBot="1" x14ac:dyDescent="0.4">
      <c r="A79" s="15" t="s">
        <v>239</v>
      </c>
      <c r="B79" s="36">
        <v>1</v>
      </c>
      <c r="C79" s="36">
        <v>5</v>
      </c>
      <c r="D79" s="36">
        <v>5</v>
      </c>
      <c r="E79" s="36">
        <v>4</v>
      </c>
      <c r="F79" s="36">
        <v>3</v>
      </c>
    </row>
    <row r="80" spans="1:6" ht="15" thickBot="1" x14ac:dyDescent="0.4">
      <c r="A80" s="15" t="s">
        <v>240</v>
      </c>
      <c r="B80" s="36">
        <v>4</v>
      </c>
      <c r="C80" s="36">
        <v>2</v>
      </c>
      <c r="D80" s="36">
        <v>5</v>
      </c>
      <c r="E80" s="36">
        <v>4</v>
      </c>
      <c r="F80" s="36">
        <v>4</v>
      </c>
    </row>
    <row r="81" spans="1:6" ht="15" thickBot="1" x14ac:dyDescent="0.4">
      <c r="A81" s="15" t="s">
        <v>241</v>
      </c>
      <c r="B81" s="36">
        <v>4</v>
      </c>
      <c r="C81" s="36">
        <v>2</v>
      </c>
      <c r="D81" s="36">
        <v>5</v>
      </c>
      <c r="E81" s="36">
        <v>4</v>
      </c>
      <c r="F81" s="36">
        <v>4</v>
      </c>
    </row>
    <row r="82" spans="1:6" ht="15" thickBot="1" x14ac:dyDescent="0.4">
      <c r="A82" s="15" t="s">
        <v>242</v>
      </c>
      <c r="B82" s="36">
        <v>3</v>
      </c>
      <c r="C82" s="36">
        <v>3</v>
      </c>
      <c r="D82" s="36">
        <v>5</v>
      </c>
      <c r="E82" s="36">
        <v>4</v>
      </c>
      <c r="F82" s="36">
        <v>4</v>
      </c>
    </row>
    <row r="83" spans="1:6" ht="15" thickBot="1" x14ac:dyDescent="0.4">
      <c r="A83" s="15" t="s">
        <v>243</v>
      </c>
      <c r="B83" s="36">
        <v>2</v>
      </c>
      <c r="C83" s="36">
        <v>4</v>
      </c>
      <c r="D83" s="36">
        <v>5</v>
      </c>
      <c r="E83" s="36">
        <v>4</v>
      </c>
      <c r="F83" s="36">
        <v>4</v>
      </c>
    </row>
    <row r="84" spans="1:6" ht="15" thickBot="1" x14ac:dyDescent="0.4">
      <c r="A84" s="15" t="s">
        <v>244</v>
      </c>
      <c r="B84" s="36">
        <v>1</v>
      </c>
      <c r="C84" s="36">
        <v>5</v>
      </c>
      <c r="D84" s="36">
        <v>5</v>
      </c>
      <c r="E84" s="36">
        <v>4</v>
      </c>
      <c r="F84" s="36">
        <v>4</v>
      </c>
    </row>
    <row r="85" spans="1:6" ht="15" thickBot="1" x14ac:dyDescent="0.4">
      <c r="A85" s="15" t="s">
        <v>245</v>
      </c>
      <c r="B85" s="36">
        <v>3</v>
      </c>
      <c r="C85" s="36">
        <v>4</v>
      </c>
      <c r="D85" s="36">
        <v>3</v>
      </c>
      <c r="E85" s="36">
        <v>4</v>
      </c>
      <c r="F85" s="36">
        <v>2</v>
      </c>
    </row>
    <row r="86" spans="1:6" ht="15" thickBot="1" x14ac:dyDescent="0.4">
      <c r="A86" s="15" t="s">
        <v>246</v>
      </c>
      <c r="B86" s="36">
        <v>1</v>
      </c>
      <c r="C86" s="36">
        <v>5</v>
      </c>
      <c r="D86" s="36">
        <v>3</v>
      </c>
      <c r="E86" s="36">
        <v>4</v>
      </c>
      <c r="F86" s="36">
        <v>2</v>
      </c>
    </row>
    <row r="87" spans="1:6" ht="15" thickBot="1" x14ac:dyDescent="0.4">
      <c r="A87" s="15" t="s">
        <v>247</v>
      </c>
      <c r="B87" s="36">
        <v>4</v>
      </c>
      <c r="C87" s="36">
        <v>2</v>
      </c>
      <c r="D87" s="36">
        <v>4</v>
      </c>
      <c r="E87" s="36">
        <v>4</v>
      </c>
      <c r="F87" s="36">
        <v>3</v>
      </c>
    </row>
    <row r="88" spans="1:6" ht="15" thickBot="1" x14ac:dyDescent="0.4">
      <c r="A88" s="15" t="s">
        <v>248</v>
      </c>
      <c r="B88" s="36">
        <v>4</v>
      </c>
      <c r="C88" s="36">
        <v>2</v>
      </c>
      <c r="D88" s="36">
        <v>4</v>
      </c>
      <c r="E88" s="36">
        <v>4</v>
      </c>
      <c r="F88" s="36">
        <v>3</v>
      </c>
    </row>
    <row r="89" spans="1:6" ht="15" thickBot="1" x14ac:dyDescent="0.4">
      <c r="A89" s="15" t="s">
        <v>249</v>
      </c>
      <c r="B89" s="36">
        <v>3</v>
      </c>
      <c r="C89" s="36">
        <v>3</v>
      </c>
      <c r="D89" s="36">
        <v>4</v>
      </c>
      <c r="E89" s="36">
        <v>4</v>
      </c>
      <c r="F89" s="36">
        <v>3</v>
      </c>
    </row>
    <row r="90" spans="1:6" ht="15" thickBot="1" x14ac:dyDescent="0.4">
      <c r="A90" s="15" t="s">
        <v>250</v>
      </c>
      <c r="B90" s="36">
        <v>2</v>
      </c>
      <c r="C90" s="36">
        <v>4</v>
      </c>
      <c r="D90" s="36">
        <v>4</v>
      </c>
      <c r="E90" s="36">
        <v>4</v>
      </c>
      <c r="F90" s="36">
        <v>3</v>
      </c>
    </row>
    <row r="91" spans="1:6" ht="15" thickBot="1" x14ac:dyDescent="0.4">
      <c r="A91" s="15" t="s">
        <v>251</v>
      </c>
      <c r="B91" s="36">
        <v>1</v>
      </c>
      <c r="C91" s="36">
        <v>4</v>
      </c>
      <c r="D91" s="36">
        <v>4</v>
      </c>
      <c r="E91" s="36">
        <v>4</v>
      </c>
      <c r="F91" s="36">
        <v>3</v>
      </c>
    </row>
    <row r="92" spans="1:6" ht="15" thickBot="1" x14ac:dyDescent="0.4">
      <c r="A92" s="15" t="s">
        <v>252</v>
      </c>
      <c r="B92" s="36">
        <v>4</v>
      </c>
      <c r="C92" s="36">
        <v>2</v>
      </c>
      <c r="D92" s="36">
        <v>4</v>
      </c>
      <c r="E92" s="36">
        <v>4</v>
      </c>
      <c r="F92" s="36">
        <v>4</v>
      </c>
    </row>
    <row r="93" spans="1:6" ht="15" thickBot="1" x14ac:dyDescent="0.4">
      <c r="A93" s="15" t="s">
        <v>253</v>
      </c>
      <c r="B93" s="36">
        <v>4</v>
      </c>
      <c r="C93" s="36">
        <v>2</v>
      </c>
      <c r="D93" s="36">
        <v>4</v>
      </c>
      <c r="E93" s="36">
        <v>4</v>
      </c>
      <c r="F93" s="36">
        <v>4</v>
      </c>
    </row>
    <row r="94" spans="1:6" ht="15" thickBot="1" x14ac:dyDescent="0.4">
      <c r="A94" s="15" t="s">
        <v>254</v>
      </c>
      <c r="B94" s="36">
        <v>3</v>
      </c>
      <c r="C94" s="36">
        <v>3</v>
      </c>
      <c r="D94" s="36">
        <v>4</v>
      </c>
      <c r="E94" s="36">
        <v>4</v>
      </c>
      <c r="F94" s="36">
        <v>4</v>
      </c>
    </row>
    <row r="95" spans="1:6" ht="15" thickBot="1" x14ac:dyDescent="0.4">
      <c r="A95" s="15" t="s">
        <v>255</v>
      </c>
      <c r="B95" s="36">
        <v>2</v>
      </c>
      <c r="C95" s="36">
        <v>4</v>
      </c>
      <c r="D95" s="36">
        <v>4</v>
      </c>
      <c r="E95" s="36">
        <v>4</v>
      </c>
      <c r="F95" s="36">
        <v>4</v>
      </c>
    </row>
    <row r="96" spans="1:6" ht="15" thickBot="1" x14ac:dyDescent="0.4">
      <c r="A96" s="15" t="s">
        <v>256</v>
      </c>
      <c r="B96" s="36">
        <v>1</v>
      </c>
      <c r="C96" s="36">
        <v>4</v>
      </c>
      <c r="D96" s="36">
        <v>4</v>
      </c>
      <c r="E96" s="36">
        <v>4</v>
      </c>
      <c r="F96" s="36">
        <v>4</v>
      </c>
    </row>
    <row r="97" spans="1:6" ht="15" thickBot="1" x14ac:dyDescent="0.4">
      <c r="A97" s="15" t="s">
        <v>257</v>
      </c>
      <c r="B97" s="36">
        <v>4</v>
      </c>
      <c r="C97" s="36">
        <v>2</v>
      </c>
      <c r="D97" s="36">
        <v>4</v>
      </c>
      <c r="E97" s="36">
        <v>5</v>
      </c>
      <c r="F97" s="36">
        <v>4</v>
      </c>
    </row>
    <row r="98" spans="1:6" ht="15" thickBot="1" x14ac:dyDescent="0.4">
      <c r="A98" s="15" t="s">
        <v>258</v>
      </c>
      <c r="B98" s="36">
        <v>3</v>
      </c>
      <c r="C98" s="36">
        <v>3</v>
      </c>
      <c r="D98" s="36">
        <v>4</v>
      </c>
      <c r="E98" s="36">
        <v>5</v>
      </c>
      <c r="F98" s="36">
        <v>4</v>
      </c>
    </row>
    <row r="99" spans="1:6" ht="15" thickBot="1" x14ac:dyDescent="0.4">
      <c r="A99" s="15" t="s">
        <v>259</v>
      </c>
      <c r="B99" s="36">
        <v>2</v>
      </c>
      <c r="C99" s="36">
        <v>4</v>
      </c>
      <c r="D99" s="36">
        <v>4</v>
      </c>
      <c r="E99" s="36">
        <v>5</v>
      </c>
      <c r="F99" s="36">
        <v>4</v>
      </c>
    </row>
    <row r="100" spans="1:6" ht="15" thickBot="1" x14ac:dyDescent="0.4">
      <c r="A100" s="15" t="s">
        <v>260</v>
      </c>
      <c r="B100" s="36">
        <v>2</v>
      </c>
      <c r="C100" s="36">
        <v>4</v>
      </c>
      <c r="D100" s="36">
        <v>4</v>
      </c>
      <c r="E100" s="36">
        <v>5</v>
      </c>
      <c r="F100" s="36">
        <v>4</v>
      </c>
    </row>
    <row r="101" spans="1:6" ht="15" thickBot="1" x14ac:dyDescent="0.4">
      <c r="A101" s="15" t="s">
        <v>261</v>
      </c>
      <c r="B101" s="36">
        <v>1</v>
      </c>
      <c r="C101" s="36">
        <v>5</v>
      </c>
      <c r="D101" s="36">
        <v>4</v>
      </c>
      <c r="E101" s="36">
        <v>5</v>
      </c>
      <c r="F101" s="36">
        <v>4</v>
      </c>
    </row>
    <row r="102" spans="1:6" ht="15" thickBot="1" x14ac:dyDescent="0.4">
      <c r="A102" s="15" t="s">
        <v>262</v>
      </c>
      <c r="B102" s="36">
        <v>4</v>
      </c>
      <c r="C102" s="36">
        <v>2</v>
      </c>
      <c r="D102" s="36">
        <v>5</v>
      </c>
      <c r="E102" s="36">
        <v>4</v>
      </c>
      <c r="F102" s="36">
        <v>3</v>
      </c>
    </row>
    <row r="103" spans="1:6" ht="15" thickBot="1" x14ac:dyDescent="0.4">
      <c r="A103" s="15" t="s">
        <v>263</v>
      </c>
      <c r="B103" s="36">
        <v>4</v>
      </c>
      <c r="C103" s="36">
        <v>2</v>
      </c>
      <c r="D103" s="36">
        <v>5</v>
      </c>
      <c r="E103" s="36">
        <v>4</v>
      </c>
      <c r="F103" s="36">
        <v>3</v>
      </c>
    </row>
    <row r="104" spans="1:6" ht="15" thickBot="1" x14ac:dyDescent="0.4">
      <c r="A104" s="15" t="s">
        <v>264</v>
      </c>
      <c r="B104" s="36">
        <v>3</v>
      </c>
      <c r="C104" s="36">
        <v>3</v>
      </c>
      <c r="D104" s="36">
        <v>5</v>
      </c>
      <c r="E104" s="36">
        <v>4</v>
      </c>
      <c r="F104" s="36">
        <v>3</v>
      </c>
    </row>
    <row r="105" spans="1:6" ht="15" thickBot="1" x14ac:dyDescent="0.4">
      <c r="A105" s="15" t="s">
        <v>265</v>
      </c>
      <c r="B105" s="36">
        <v>2</v>
      </c>
      <c r="C105" s="36">
        <v>4</v>
      </c>
      <c r="D105" s="36">
        <v>5</v>
      </c>
      <c r="E105" s="36">
        <v>4</v>
      </c>
      <c r="F105" s="36">
        <v>3</v>
      </c>
    </row>
    <row r="106" spans="1:6" ht="15" thickBot="1" x14ac:dyDescent="0.4">
      <c r="A106" s="15" t="s">
        <v>266</v>
      </c>
      <c r="B106" s="36">
        <v>1</v>
      </c>
      <c r="C106" s="36">
        <v>4</v>
      </c>
      <c r="D106" s="36">
        <v>5</v>
      </c>
      <c r="E106" s="36">
        <v>4</v>
      </c>
      <c r="F106" s="36">
        <v>3</v>
      </c>
    </row>
    <row r="107" spans="1:6" ht="15" thickBot="1" x14ac:dyDescent="0.4">
      <c r="A107" s="15" t="s">
        <v>267</v>
      </c>
      <c r="B107" s="36">
        <v>4</v>
      </c>
      <c r="C107" s="36">
        <v>2</v>
      </c>
      <c r="D107" s="36">
        <v>5</v>
      </c>
      <c r="E107" s="36">
        <v>5</v>
      </c>
      <c r="F107" s="36">
        <v>4</v>
      </c>
    </row>
    <row r="108" spans="1:6" ht="15" thickBot="1" x14ac:dyDescent="0.4">
      <c r="A108" s="15" t="s">
        <v>268</v>
      </c>
      <c r="B108" s="36">
        <v>3</v>
      </c>
      <c r="C108" s="36">
        <v>3</v>
      </c>
      <c r="D108" s="36">
        <v>5</v>
      </c>
      <c r="E108" s="36">
        <v>5</v>
      </c>
      <c r="F108" s="36">
        <v>4</v>
      </c>
    </row>
    <row r="109" spans="1:6" ht="15" thickBot="1" x14ac:dyDescent="0.4">
      <c r="A109" s="15" t="s">
        <v>269</v>
      </c>
      <c r="B109" s="36">
        <v>3</v>
      </c>
      <c r="C109" s="36">
        <v>4</v>
      </c>
      <c r="D109" s="36">
        <v>5</v>
      </c>
      <c r="E109" s="36">
        <v>5</v>
      </c>
      <c r="F109" s="36">
        <v>4</v>
      </c>
    </row>
    <row r="110" spans="1:6" ht="15" thickBot="1" x14ac:dyDescent="0.4">
      <c r="A110" s="15" t="s">
        <v>270</v>
      </c>
      <c r="B110" s="36">
        <v>2</v>
      </c>
      <c r="C110" s="36">
        <v>4</v>
      </c>
      <c r="D110" s="36">
        <v>5</v>
      </c>
      <c r="E110" s="36">
        <v>5</v>
      </c>
      <c r="F110" s="36">
        <v>4</v>
      </c>
    </row>
    <row r="111" spans="1:6" ht="15" thickBot="1" x14ac:dyDescent="0.4">
      <c r="A111" s="15" t="s">
        <v>271</v>
      </c>
      <c r="B111" s="36">
        <v>1</v>
      </c>
      <c r="C111" s="36">
        <v>5</v>
      </c>
      <c r="D111" s="36">
        <v>5</v>
      </c>
      <c r="E111" s="36">
        <v>5</v>
      </c>
      <c r="F111" s="36">
        <v>4</v>
      </c>
    </row>
    <row r="112" spans="1:6" ht="15" thickBot="1" x14ac:dyDescent="0.4">
      <c r="A112" s="15" t="s">
        <v>272</v>
      </c>
      <c r="B112" s="36">
        <v>4</v>
      </c>
      <c r="C112" s="36">
        <v>2</v>
      </c>
      <c r="D112" s="36">
        <v>5</v>
      </c>
      <c r="E112" s="36">
        <v>5</v>
      </c>
      <c r="F112" s="36">
        <v>4</v>
      </c>
    </row>
    <row r="113" spans="1:6" ht="15" thickBot="1" x14ac:dyDescent="0.4">
      <c r="A113" s="15" t="s">
        <v>273</v>
      </c>
      <c r="B113" s="36">
        <v>4</v>
      </c>
      <c r="C113" s="36">
        <v>3</v>
      </c>
      <c r="D113" s="36">
        <v>5</v>
      </c>
      <c r="E113" s="36">
        <v>5</v>
      </c>
      <c r="F113" s="36">
        <v>4</v>
      </c>
    </row>
    <row r="114" spans="1:6" ht="15" thickBot="1" x14ac:dyDescent="0.4">
      <c r="A114" s="15" t="s">
        <v>274</v>
      </c>
      <c r="B114" s="36">
        <v>3</v>
      </c>
      <c r="C114" s="36">
        <v>3</v>
      </c>
      <c r="D114" s="36">
        <v>5</v>
      </c>
      <c r="E114" s="36">
        <v>5</v>
      </c>
      <c r="F114" s="36">
        <v>4</v>
      </c>
    </row>
    <row r="115" spans="1:6" ht="15" thickBot="1" x14ac:dyDescent="0.4">
      <c r="A115" s="15" t="s">
        <v>275</v>
      </c>
      <c r="B115" s="36">
        <v>3</v>
      </c>
      <c r="C115" s="36">
        <v>4</v>
      </c>
      <c r="D115" s="36">
        <v>5</v>
      </c>
      <c r="E115" s="36">
        <v>5</v>
      </c>
      <c r="F115" s="36">
        <v>4</v>
      </c>
    </row>
    <row r="116" spans="1:6" ht="15" thickBot="1" x14ac:dyDescent="0.4">
      <c r="A116" s="15" t="s">
        <v>276</v>
      </c>
      <c r="B116" s="36">
        <v>2</v>
      </c>
      <c r="C116" s="36">
        <v>4</v>
      </c>
      <c r="D116" s="36">
        <v>5</v>
      </c>
      <c r="E116" s="36">
        <v>5</v>
      </c>
      <c r="F116" s="36">
        <v>4</v>
      </c>
    </row>
    <row r="117" spans="1:6" ht="15" thickBot="1" x14ac:dyDescent="0.4">
      <c r="A117" s="15" t="s">
        <v>277</v>
      </c>
      <c r="B117" s="36">
        <v>4</v>
      </c>
      <c r="C117" s="36">
        <v>1</v>
      </c>
      <c r="D117" s="36">
        <v>2</v>
      </c>
      <c r="E117" s="36">
        <v>4</v>
      </c>
      <c r="F117" s="36">
        <v>3</v>
      </c>
    </row>
    <row r="118" spans="1:6" ht="15" thickBot="1" x14ac:dyDescent="0.4">
      <c r="A118" s="15" t="s">
        <v>278</v>
      </c>
      <c r="B118" s="36">
        <v>4</v>
      </c>
      <c r="C118" s="36">
        <v>2</v>
      </c>
      <c r="D118" s="36">
        <v>2</v>
      </c>
      <c r="E118" s="36">
        <v>4</v>
      </c>
      <c r="F118" s="36">
        <v>3</v>
      </c>
    </row>
    <row r="119" spans="1:6" ht="15" thickBot="1" x14ac:dyDescent="0.4">
      <c r="A119" s="15" t="s">
        <v>279</v>
      </c>
      <c r="B119" s="36">
        <v>3</v>
      </c>
      <c r="C119" s="36">
        <v>3</v>
      </c>
      <c r="D119" s="36">
        <v>2</v>
      </c>
      <c r="E119" s="36">
        <v>4</v>
      </c>
      <c r="F119" s="36">
        <v>3</v>
      </c>
    </row>
    <row r="120" spans="1:6" ht="15" thickBot="1" x14ac:dyDescent="0.4">
      <c r="A120" s="15" t="s">
        <v>280</v>
      </c>
      <c r="B120" s="36">
        <v>2</v>
      </c>
      <c r="C120" s="36">
        <v>3</v>
      </c>
      <c r="D120" s="36">
        <v>2</v>
      </c>
      <c r="E120" s="36">
        <v>4</v>
      </c>
      <c r="F120" s="36">
        <v>3</v>
      </c>
    </row>
    <row r="121" spans="1:6" ht="15" thickBot="1" x14ac:dyDescent="0.4">
      <c r="A121" s="15" t="s">
        <v>281</v>
      </c>
      <c r="B121" s="36">
        <v>1</v>
      </c>
      <c r="C121" s="36">
        <v>4</v>
      </c>
      <c r="D121" s="36">
        <v>2</v>
      </c>
      <c r="E121" s="36">
        <v>4</v>
      </c>
      <c r="F121" s="36">
        <v>3</v>
      </c>
    </row>
    <row r="122" spans="1:6" ht="15" thickBot="1" x14ac:dyDescent="0.4">
      <c r="A122" s="15" t="s">
        <v>282</v>
      </c>
      <c r="B122" s="36">
        <v>4</v>
      </c>
      <c r="C122" s="36">
        <v>2</v>
      </c>
      <c r="D122" s="36">
        <v>2</v>
      </c>
      <c r="E122" s="36">
        <v>5</v>
      </c>
      <c r="F122" s="36">
        <v>4</v>
      </c>
    </row>
    <row r="123" spans="1:6" ht="15" thickBot="1" x14ac:dyDescent="0.4">
      <c r="A123" s="15" t="s">
        <v>283</v>
      </c>
      <c r="B123" s="36">
        <v>4</v>
      </c>
      <c r="C123" s="36">
        <v>2</v>
      </c>
      <c r="D123" s="36">
        <v>2</v>
      </c>
      <c r="E123" s="36">
        <v>5</v>
      </c>
      <c r="F123" s="36">
        <v>4</v>
      </c>
    </row>
    <row r="124" spans="1:6" ht="15" thickBot="1" x14ac:dyDescent="0.4">
      <c r="A124" s="15" t="s">
        <v>284</v>
      </c>
      <c r="B124" s="36">
        <v>3</v>
      </c>
      <c r="C124" s="36">
        <v>3</v>
      </c>
      <c r="D124" s="36">
        <v>2</v>
      </c>
      <c r="E124" s="36">
        <v>5</v>
      </c>
      <c r="F124" s="36">
        <v>4</v>
      </c>
    </row>
    <row r="125" spans="1:6" ht="15" thickBot="1" x14ac:dyDescent="0.4">
      <c r="A125" s="15" t="s">
        <v>285</v>
      </c>
      <c r="B125" s="36">
        <v>2</v>
      </c>
      <c r="C125" s="36">
        <v>4</v>
      </c>
      <c r="D125" s="36">
        <v>2</v>
      </c>
      <c r="E125" s="36">
        <v>5</v>
      </c>
      <c r="F125" s="36">
        <v>4</v>
      </c>
    </row>
    <row r="126" spans="1:6" ht="15" thickBot="1" x14ac:dyDescent="0.4">
      <c r="A126" s="15" t="s">
        <v>286</v>
      </c>
      <c r="B126" s="36">
        <v>1</v>
      </c>
      <c r="C126" s="36">
        <v>4</v>
      </c>
      <c r="D126" s="36">
        <v>2</v>
      </c>
      <c r="E126" s="36">
        <v>5</v>
      </c>
      <c r="F126" s="36">
        <v>4</v>
      </c>
    </row>
    <row r="127" spans="1:6" ht="15" thickBot="1" x14ac:dyDescent="0.4">
      <c r="A127" s="15" t="s">
        <v>287</v>
      </c>
      <c r="B127" s="36">
        <v>4</v>
      </c>
      <c r="C127" s="36">
        <v>2</v>
      </c>
      <c r="D127" s="36">
        <v>2</v>
      </c>
      <c r="E127" s="36">
        <v>5</v>
      </c>
      <c r="F127" s="36">
        <v>4</v>
      </c>
    </row>
    <row r="128" spans="1:6" ht="15" thickBot="1" x14ac:dyDescent="0.4">
      <c r="A128" s="15" t="s">
        <v>288</v>
      </c>
      <c r="B128" s="36">
        <v>4</v>
      </c>
      <c r="C128" s="36">
        <v>2</v>
      </c>
      <c r="D128" s="36">
        <v>2</v>
      </c>
      <c r="E128" s="36">
        <v>5</v>
      </c>
      <c r="F128" s="36">
        <v>4</v>
      </c>
    </row>
    <row r="129" spans="1:6" ht="15" thickBot="1" x14ac:dyDescent="0.4">
      <c r="A129" s="15" t="s">
        <v>289</v>
      </c>
      <c r="B129" s="36">
        <v>3</v>
      </c>
      <c r="C129" s="36">
        <v>3</v>
      </c>
      <c r="D129" s="36">
        <v>2</v>
      </c>
      <c r="E129" s="36">
        <v>5</v>
      </c>
      <c r="F129" s="36">
        <v>4</v>
      </c>
    </row>
    <row r="130" spans="1:6" ht="15" thickBot="1" x14ac:dyDescent="0.4">
      <c r="A130" s="15" t="s">
        <v>290</v>
      </c>
      <c r="B130" s="36">
        <v>3</v>
      </c>
      <c r="C130" s="36">
        <v>3</v>
      </c>
      <c r="D130" s="36">
        <v>2</v>
      </c>
      <c r="E130" s="36">
        <v>5</v>
      </c>
      <c r="F130" s="36">
        <v>4</v>
      </c>
    </row>
    <row r="131" spans="1:6" ht="15" thickBot="1" x14ac:dyDescent="0.4">
      <c r="A131" s="15" t="s">
        <v>291</v>
      </c>
      <c r="B131" s="36">
        <v>2</v>
      </c>
      <c r="C131" s="36">
        <v>4</v>
      </c>
      <c r="D131" s="36">
        <v>2</v>
      </c>
      <c r="E131" s="36">
        <v>5</v>
      </c>
      <c r="F131" s="36">
        <v>4</v>
      </c>
    </row>
    <row r="132" spans="1:6" ht="15" thickBot="1" x14ac:dyDescent="0.4">
      <c r="A132" s="15" t="s">
        <v>292</v>
      </c>
      <c r="B132" s="36">
        <v>3</v>
      </c>
      <c r="C132" s="36">
        <v>3</v>
      </c>
      <c r="D132" s="36">
        <v>2</v>
      </c>
      <c r="E132" s="36">
        <v>4</v>
      </c>
      <c r="F132" s="36">
        <v>2</v>
      </c>
    </row>
    <row r="133" spans="1:6" ht="15" thickBot="1" x14ac:dyDescent="0.4">
      <c r="A133" s="15" t="s">
        <v>293</v>
      </c>
      <c r="B133" s="36">
        <v>2</v>
      </c>
      <c r="C133" s="36">
        <v>4</v>
      </c>
      <c r="D133" s="36">
        <v>2</v>
      </c>
      <c r="E133" s="36">
        <v>4</v>
      </c>
      <c r="F133" s="36">
        <v>2</v>
      </c>
    </row>
    <row r="134" spans="1:6" ht="15" thickBot="1" x14ac:dyDescent="0.4">
      <c r="A134" s="15" t="s">
        <v>294</v>
      </c>
      <c r="B134" s="36">
        <v>3</v>
      </c>
      <c r="C134" s="36">
        <v>3</v>
      </c>
      <c r="D134" s="36">
        <v>2</v>
      </c>
      <c r="E134" s="36">
        <v>4</v>
      </c>
      <c r="F134" s="36">
        <v>2</v>
      </c>
    </row>
    <row r="135" spans="1:6" ht="15" thickBot="1" x14ac:dyDescent="0.4">
      <c r="A135" s="15" t="s">
        <v>295</v>
      </c>
      <c r="B135" s="36">
        <v>2</v>
      </c>
      <c r="C135" s="36">
        <v>4</v>
      </c>
      <c r="D135" s="36">
        <v>2</v>
      </c>
      <c r="E135" s="36">
        <v>4</v>
      </c>
      <c r="F135" s="36">
        <v>2</v>
      </c>
    </row>
    <row r="136" spans="1:6" ht="15" thickBot="1" x14ac:dyDescent="0.4">
      <c r="A136" s="15" t="s">
        <v>296</v>
      </c>
      <c r="B136" s="36">
        <v>3</v>
      </c>
      <c r="C136" s="36">
        <v>3</v>
      </c>
      <c r="D136" s="36">
        <v>4</v>
      </c>
      <c r="E136" s="36">
        <v>4</v>
      </c>
      <c r="F136" s="36">
        <v>3</v>
      </c>
    </row>
    <row r="137" spans="1:6" ht="15" thickBot="1" x14ac:dyDescent="0.4">
      <c r="A137" s="15" t="s">
        <v>297</v>
      </c>
      <c r="B137" s="36">
        <v>2</v>
      </c>
      <c r="C137" s="36">
        <v>4</v>
      </c>
      <c r="D137" s="36">
        <v>4</v>
      </c>
      <c r="E137" s="36">
        <v>4</v>
      </c>
      <c r="F137" s="36">
        <v>3</v>
      </c>
    </row>
    <row r="138" spans="1:6" ht="15" thickBot="1" x14ac:dyDescent="0.4">
      <c r="A138" s="15" t="s">
        <v>298</v>
      </c>
      <c r="B138" s="36">
        <v>1</v>
      </c>
      <c r="C138" s="36">
        <v>5</v>
      </c>
      <c r="D138" s="36">
        <v>4</v>
      </c>
      <c r="E138" s="36">
        <v>4</v>
      </c>
      <c r="F138" s="36">
        <v>3</v>
      </c>
    </row>
    <row r="139" spans="1:6" ht="15" thickBot="1" x14ac:dyDescent="0.4">
      <c r="A139" s="15" t="s">
        <v>299</v>
      </c>
      <c r="B139" s="36">
        <v>5</v>
      </c>
      <c r="C139" s="36">
        <v>2</v>
      </c>
      <c r="D139" s="36">
        <v>4</v>
      </c>
      <c r="E139" s="36">
        <v>3</v>
      </c>
      <c r="F139" s="36">
        <v>3</v>
      </c>
    </row>
    <row r="140" spans="1:6" ht="15" thickBot="1" x14ac:dyDescent="0.4">
      <c r="A140" s="15" t="s">
        <v>300</v>
      </c>
      <c r="B140" s="36">
        <v>5</v>
      </c>
      <c r="C140" s="36">
        <v>3</v>
      </c>
      <c r="D140" s="36">
        <v>4</v>
      </c>
      <c r="E140" s="36">
        <v>3</v>
      </c>
      <c r="F140" s="36">
        <v>3</v>
      </c>
    </row>
    <row r="141" spans="1:6" ht="15" thickBot="1" x14ac:dyDescent="0.4">
      <c r="A141" s="15" t="s">
        <v>301</v>
      </c>
      <c r="B141" s="36">
        <v>5</v>
      </c>
      <c r="C141" s="36">
        <v>4</v>
      </c>
      <c r="D141" s="36">
        <v>4</v>
      </c>
      <c r="E141" s="36">
        <v>2</v>
      </c>
      <c r="F141" s="36">
        <v>3</v>
      </c>
    </row>
    <row r="142" spans="1:6" ht="15" thickBot="1" x14ac:dyDescent="0.4">
      <c r="A142" s="15" t="s">
        <v>302</v>
      </c>
      <c r="B142" s="36">
        <v>5</v>
      </c>
      <c r="C142" s="36">
        <v>4</v>
      </c>
      <c r="D142" s="36">
        <v>4</v>
      </c>
      <c r="E142" s="36">
        <v>2</v>
      </c>
      <c r="F142" s="36">
        <v>3</v>
      </c>
    </row>
    <row r="143" spans="1:6" ht="15" thickBot="1" x14ac:dyDescent="0.4">
      <c r="A143" s="15" t="s">
        <v>303</v>
      </c>
      <c r="B143" s="36">
        <v>5</v>
      </c>
      <c r="C143" s="36">
        <v>5</v>
      </c>
      <c r="D143" s="36">
        <v>4</v>
      </c>
      <c r="E143" s="36">
        <v>1</v>
      </c>
      <c r="F143" s="36">
        <v>3</v>
      </c>
    </row>
    <row r="144" spans="1:6" ht="15" thickBot="1" x14ac:dyDescent="0.4">
      <c r="A144" s="15" t="s">
        <v>304</v>
      </c>
      <c r="B144" s="36">
        <v>5</v>
      </c>
      <c r="C144" s="36">
        <v>2</v>
      </c>
      <c r="D144" s="36">
        <v>5</v>
      </c>
      <c r="E144" s="36">
        <v>4</v>
      </c>
      <c r="F144" s="36">
        <v>4</v>
      </c>
    </row>
    <row r="145" spans="1:6" ht="15" thickBot="1" x14ac:dyDescent="0.4">
      <c r="A145" s="15" t="s">
        <v>305</v>
      </c>
      <c r="B145" s="36">
        <v>5</v>
      </c>
      <c r="C145" s="36">
        <v>3</v>
      </c>
      <c r="D145" s="36">
        <v>5</v>
      </c>
      <c r="E145" s="36">
        <v>4</v>
      </c>
      <c r="F145" s="36">
        <v>4</v>
      </c>
    </row>
    <row r="146" spans="1:6" ht="15" thickBot="1" x14ac:dyDescent="0.4">
      <c r="A146" s="15" t="s">
        <v>306</v>
      </c>
      <c r="B146" s="36">
        <v>5</v>
      </c>
      <c r="C146" s="36">
        <v>3</v>
      </c>
      <c r="D146" s="36">
        <v>5</v>
      </c>
      <c r="E146" s="36">
        <v>4</v>
      </c>
      <c r="F146" s="36">
        <v>4</v>
      </c>
    </row>
    <row r="147" spans="1:6" ht="15" thickBot="1" x14ac:dyDescent="0.4">
      <c r="A147" s="15" t="s">
        <v>307</v>
      </c>
      <c r="B147" s="36">
        <v>5</v>
      </c>
      <c r="C147" s="36">
        <v>4</v>
      </c>
      <c r="D147" s="36">
        <v>5</v>
      </c>
      <c r="E147" s="36">
        <v>3</v>
      </c>
      <c r="F147" s="36">
        <v>4</v>
      </c>
    </row>
    <row r="148" spans="1:6" ht="15" thickBot="1" x14ac:dyDescent="0.4">
      <c r="A148" s="15" t="s">
        <v>308</v>
      </c>
      <c r="B148" s="36">
        <v>5</v>
      </c>
      <c r="C148" s="36">
        <v>5</v>
      </c>
      <c r="D148" s="36">
        <v>5</v>
      </c>
      <c r="E148" s="36">
        <v>2</v>
      </c>
      <c r="F148" s="36">
        <v>4</v>
      </c>
    </row>
    <row r="149" spans="1:6" ht="15" thickBot="1" x14ac:dyDescent="0.4">
      <c r="A149" s="15" t="s">
        <v>309</v>
      </c>
      <c r="B149" s="36">
        <v>5</v>
      </c>
      <c r="C149" s="36">
        <v>2</v>
      </c>
      <c r="D149" s="36">
        <v>5</v>
      </c>
      <c r="E149" s="36">
        <v>4</v>
      </c>
      <c r="F149" s="36">
        <v>4</v>
      </c>
    </row>
    <row r="150" spans="1:6" ht="15" thickBot="1" x14ac:dyDescent="0.4">
      <c r="A150" s="15" t="s">
        <v>310</v>
      </c>
      <c r="B150" s="36">
        <v>5</v>
      </c>
      <c r="C150" s="36">
        <v>3</v>
      </c>
      <c r="D150" s="36">
        <v>5</v>
      </c>
      <c r="E150" s="36">
        <v>4</v>
      </c>
      <c r="F150" s="36">
        <v>4</v>
      </c>
    </row>
    <row r="151" spans="1:6" ht="15" thickBot="1" x14ac:dyDescent="0.4">
      <c r="A151" s="15" t="s">
        <v>311</v>
      </c>
      <c r="B151" s="36">
        <v>5</v>
      </c>
      <c r="C151" s="36">
        <v>3</v>
      </c>
      <c r="D151" s="36">
        <v>5</v>
      </c>
      <c r="E151" s="36">
        <v>4</v>
      </c>
      <c r="F151" s="36">
        <v>4</v>
      </c>
    </row>
    <row r="152" spans="1:6" ht="15" thickBot="1" x14ac:dyDescent="0.4">
      <c r="A152" s="15" t="s">
        <v>312</v>
      </c>
      <c r="B152" s="36">
        <v>5</v>
      </c>
      <c r="C152" s="36">
        <v>4</v>
      </c>
      <c r="D152" s="36">
        <v>5</v>
      </c>
      <c r="E152" s="36">
        <v>3</v>
      </c>
      <c r="F152" s="36">
        <v>4</v>
      </c>
    </row>
    <row r="153" spans="1:6" ht="15" thickBot="1" x14ac:dyDescent="0.4">
      <c r="A153" s="15" t="s">
        <v>313</v>
      </c>
      <c r="B153" s="36">
        <v>5</v>
      </c>
      <c r="C153" s="36">
        <v>5</v>
      </c>
      <c r="D153" s="36">
        <v>5</v>
      </c>
      <c r="E153" s="36">
        <v>2</v>
      </c>
      <c r="F153" s="36">
        <v>4</v>
      </c>
    </row>
    <row r="154" spans="1:6" ht="15" thickBot="1" x14ac:dyDescent="0.4">
      <c r="A154" s="15" t="s">
        <v>314</v>
      </c>
      <c r="B154" s="36">
        <v>4</v>
      </c>
      <c r="C154" s="36">
        <v>2</v>
      </c>
      <c r="D154" s="36">
        <v>5</v>
      </c>
      <c r="E154" s="36">
        <v>4</v>
      </c>
      <c r="F154" s="36">
        <v>4</v>
      </c>
    </row>
    <row r="155" spans="1:6" ht="15" thickBot="1" x14ac:dyDescent="0.4">
      <c r="A155" s="15" t="s">
        <v>315</v>
      </c>
      <c r="B155" s="36">
        <v>4</v>
      </c>
      <c r="C155" s="36">
        <v>2</v>
      </c>
      <c r="D155" s="36">
        <v>5</v>
      </c>
      <c r="E155" s="36">
        <v>4</v>
      </c>
      <c r="F155" s="36">
        <v>4</v>
      </c>
    </row>
    <row r="156" spans="1:6" ht="15" thickBot="1" x14ac:dyDescent="0.4">
      <c r="A156" s="15" t="s">
        <v>316</v>
      </c>
      <c r="B156" s="36">
        <v>3</v>
      </c>
      <c r="C156" s="36">
        <v>3</v>
      </c>
      <c r="D156" s="36">
        <v>5</v>
      </c>
      <c r="E156" s="36">
        <v>4</v>
      </c>
      <c r="F156" s="36">
        <v>4</v>
      </c>
    </row>
    <row r="157" spans="1:6" ht="15" thickBot="1" x14ac:dyDescent="0.4">
      <c r="A157" s="15" t="s">
        <v>317</v>
      </c>
      <c r="B157" s="36">
        <v>2</v>
      </c>
      <c r="C157" s="36">
        <v>4</v>
      </c>
      <c r="D157" s="36">
        <v>5</v>
      </c>
      <c r="E157" s="36">
        <v>3</v>
      </c>
      <c r="F157" s="36">
        <v>4</v>
      </c>
    </row>
    <row r="158" spans="1:6" ht="15" thickBot="1" x14ac:dyDescent="0.4">
      <c r="A158" s="15" t="s">
        <v>318</v>
      </c>
      <c r="B158" s="36">
        <v>1</v>
      </c>
      <c r="C158" s="36">
        <v>5</v>
      </c>
      <c r="D158" s="36">
        <v>5</v>
      </c>
      <c r="E158" s="36">
        <v>2</v>
      </c>
      <c r="F158" s="36">
        <v>4</v>
      </c>
    </row>
    <row r="159" spans="1:6" ht="15" thickBot="1" x14ac:dyDescent="0.4">
      <c r="A159" s="15" t="s">
        <v>319</v>
      </c>
      <c r="B159" s="36">
        <v>4</v>
      </c>
      <c r="C159" s="36">
        <v>2</v>
      </c>
      <c r="D159" s="36">
        <v>5</v>
      </c>
      <c r="E159" s="36">
        <v>4</v>
      </c>
      <c r="F159" s="36">
        <v>4</v>
      </c>
    </row>
    <row r="160" spans="1:6" ht="15" thickBot="1" x14ac:dyDescent="0.4">
      <c r="A160" s="15" t="s">
        <v>320</v>
      </c>
      <c r="B160" s="36">
        <v>3</v>
      </c>
      <c r="C160" s="36">
        <v>3</v>
      </c>
      <c r="D160" s="36">
        <v>5</v>
      </c>
      <c r="E160" s="36">
        <v>4</v>
      </c>
      <c r="F160" s="36">
        <v>4</v>
      </c>
    </row>
    <row r="161" spans="1:6" ht="15" thickBot="1" x14ac:dyDescent="0.4">
      <c r="A161" s="15" t="s">
        <v>321</v>
      </c>
      <c r="B161" s="36">
        <v>3</v>
      </c>
      <c r="C161" s="36">
        <v>3</v>
      </c>
      <c r="D161" s="36">
        <v>5</v>
      </c>
      <c r="E161" s="36">
        <v>4</v>
      </c>
      <c r="F161" s="36">
        <v>4</v>
      </c>
    </row>
    <row r="162" spans="1:6" ht="15" thickBot="1" x14ac:dyDescent="0.4">
      <c r="A162" s="15" t="s">
        <v>322</v>
      </c>
      <c r="B162" s="36">
        <v>2</v>
      </c>
      <c r="C162" s="36">
        <v>4</v>
      </c>
      <c r="D162" s="36">
        <v>5</v>
      </c>
      <c r="E162" s="36">
        <v>4</v>
      </c>
      <c r="F162" s="36">
        <v>4</v>
      </c>
    </row>
    <row r="163" spans="1:6" ht="15" thickBot="1" x14ac:dyDescent="0.4">
      <c r="A163" s="15" t="s">
        <v>323</v>
      </c>
      <c r="B163" s="36">
        <v>1</v>
      </c>
      <c r="C163" s="36">
        <v>4</v>
      </c>
      <c r="D163" s="36">
        <v>5</v>
      </c>
      <c r="E163" s="36">
        <v>4</v>
      </c>
      <c r="F163" s="36">
        <v>4</v>
      </c>
    </row>
    <row r="164" spans="1:6" ht="15" thickBot="1" x14ac:dyDescent="0.4">
      <c r="A164" s="15" t="s">
        <v>324</v>
      </c>
      <c r="B164" s="36">
        <v>4</v>
      </c>
      <c r="C164" s="36">
        <v>2</v>
      </c>
      <c r="D164" s="36">
        <v>5</v>
      </c>
      <c r="E164" s="36">
        <v>5</v>
      </c>
      <c r="F164" s="36">
        <v>4</v>
      </c>
    </row>
    <row r="165" spans="1:6" ht="15" thickBot="1" x14ac:dyDescent="0.4">
      <c r="A165" s="15" t="s">
        <v>325</v>
      </c>
      <c r="B165" s="36">
        <v>3</v>
      </c>
      <c r="C165" s="36">
        <v>3</v>
      </c>
      <c r="D165" s="36">
        <v>5</v>
      </c>
      <c r="E165" s="36">
        <v>5</v>
      </c>
      <c r="F165" s="36">
        <v>4</v>
      </c>
    </row>
    <row r="166" spans="1:6" ht="15" thickBot="1" x14ac:dyDescent="0.4">
      <c r="A166" s="15" t="s">
        <v>326</v>
      </c>
      <c r="B166" s="36">
        <v>3</v>
      </c>
      <c r="C166" s="36">
        <v>3</v>
      </c>
      <c r="D166" s="36">
        <v>5</v>
      </c>
      <c r="E166" s="36">
        <v>5</v>
      </c>
      <c r="F166" s="36">
        <v>4</v>
      </c>
    </row>
    <row r="167" spans="1:6" ht="15" thickBot="1" x14ac:dyDescent="0.4">
      <c r="A167" s="15" t="s">
        <v>327</v>
      </c>
      <c r="B167" s="36">
        <v>2</v>
      </c>
      <c r="C167" s="36">
        <v>4</v>
      </c>
      <c r="D167" s="36">
        <v>5</v>
      </c>
      <c r="E167" s="36">
        <v>5</v>
      </c>
      <c r="F167" s="36">
        <v>4</v>
      </c>
    </row>
    <row r="168" spans="1:6" ht="15" thickBot="1" x14ac:dyDescent="0.4">
      <c r="A168" s="15" t="s">
        <v>328</v>
      </c>
      <c r="B168" s="36">
        <v>1</v>
      </c>
      <c r="C168" s="36">
        <v>5</v>
      </c>
      <c r="D168" s="36">
        <v>5</v>
      </c>
      <c r="E168" s="36">
        <v>5</v>
      </c>
      <c r="F168" s="36">
        <v>4</v>
      </c>
    </row>
    <row r="169" spans="1:6" ht="15" thickBot="1" x14ac:dyDescent="0.4">
      <c r="A169" s="15" t="s">
        <v>329</v>
      </c>
      <c r="B169" s="36">
        <v>4</v>
      </c>
      <c r="C169" s="36">
        <v>2</v>
      </c>
      <c r="D169" s="36">
        <v>4</v>
      </c>
      <c r="E169" s="36">
        <v>5</v>
      </c>
      <c r="F169" s="36">
        <v>3</v>
      </c>
    </row>
    <row r="170" spans="1:6" ht="15" thickBot="1" x14ac:dyDescent="0.4">
      <c r="A170" s="15" t="s">
        <v>330</v>
      </c>
      <c r="B170" s="36">
        <v>3</v>
      </c>
      <c r="C170" s="36">
        <v>3</v>
      </c>
      <c r="D170" s="36">
        <v>4</v>
      </c>
      <c r="E170" s="36">
        <v>5</v>
      </c>
      <c r="F170" s="36">
        <v>3</v>
      </c>
    </row>
    <row r="171" spans="1:6" ht="15" thickBot="1" x14ac:dyDescent="0.4">
      <c r="A171" s="15" t="s">
        <v>331</v>
      </c>
      <c r="B171" s="36">
        <v>3</v>
      </c>
      <c r="C171" s="36">
        <v>3</v>
      </c>
      <c r="D171" s="36">
        <v>4</v>
      </c>
      <c r="E171" s="36">
        <v>4</v>
      </c>
      <c r="F171" s="36">
        <v>2</v>
      </c>
    </row>
    <row r="172" spans="1:6" ht="15" thickBot="1" x14ac:dyDescent="0.4">
      <c r="A172" s="15" t="s">
        <v>332</v>
      </c>
      <c r="B172" s="36">
        <v>1</v>
      </c>
      <c r="C172" s="36">
        <v>4</v>
      </c>
      <c r="D172" s="36">
        <v>4</v>
      </c>
      <c r="E172" s="36">
        <v>4</v>
      </c>
      <c r="F172" s="36">
        <v>2</v>
      </c>
    </row>
    <row r="173" spans="1:6" ht="15" thickBot="1" x14ac:dyDescent="0.4">
      <c r="A173" s="15" t="s">
        <v>333</v>
      </c>
      <c r="B173" s="36">
        <v>4</v>
      </c>
      <c r="C173" s="36">
        <v>2</v>
      </c>
      <c r="D173" s="36">
        <v>5</v>
      </c>
      <c r="E173" s="36">
        <v>5</v>
      </c>
      <c r="F173" s="36">
        <v>4</v>
      </c>
    </row>
    <row r="174" spans="1:6" ht="15" thickBot="1" x14ac:dyDescent="0.4">
      <c r="A174" s="15" t="s">
        <v>334</v>
      </c>
      <c r="B174" s="36">
        <v>4</v>
      </c>
      <c r="C174" s="36">
        <v>3</v>
      </c>
      <c r="D174" s="36">
        <v>5</v>
      </c>
      <c r="E174" s="36">
        <v>5</v>
      </c>
      <c r="F174" s="36">
        <v>4</v>
      </c>
    </row>
    <row r="175" spans="1:6" ht="15" thickBot="1" x14ac:dyDescent="0.4">
      <c r="A175" s="15" t="s">
        <v>335</v>
      </c>
      <c r="B175" s="36">
        <v>3</v>
      </c>
      <c r="C175" s="36">
        <v>3</v>
      </c>
      <c r="D175" s="36">
        <v>5</v>
      </c>
      <c r="E175" s="36">
        <v>5</v>
      </c>
      <c r="F175" s="36">
        <v>4</v>
      </c>
    </row>
    <row r="176" spans="1:6" ht="15" thickBot="1" x14ac:dyDescent="0.4">
      <c r="A176" s="15" t="s">
        <v>336</v>
      </c>
      <c r="B176" s="36">
        <v>2</v>
      </c>
      <c r="C176" s="36">
        <v>4</v>
      </c>
      <c r="D176" s="36">
        <v>5</v>
      </c>
      <c r="E176" s="36">
        <v>5</v>
      </c>
      <c r="F176" s="36">
        <v>4</v>
      </c>
    </row>
    <row r="177" spans="1:6" ht="15" thickBot="1" x14ac:dyDescent="0.4">
      <c r="A177" s="15" t="s">
        <v>337</v>
      </c>
      <c r="B177" s="36">
        <v>1</v>
      </c>
      <c r="C177" s="36">
        <v>5</v>
      </c>
      <c r="D177" s="36">
        <v>5</v>
      </c>
      <c r="E177" s="36">
        <v>5</v>
      </c>
      <c r="F177" s="36">
        <v>4</v>
      </c>
    </row>
    <row r="178" spans="1:6" ht="15" thickBot="1" x14ac:dyDescent="0.4">
      <c r="A178" s="15" t="s">
        <v>338</v>
      </c>
      <c r="B178" s="36">
        <v>4</v>
      </c>
      <c r="C178" s="36">
        <v>2</v>
      </c>
      <c r="D178" s="36">
        <v>5</v>
      </c>
      <c r="E178" s="36">
        <v>5</v>
      </c>
      <c r="F178" s="36">
        <v>4</v>
      </c>
    </row>
    <row r="179" spans="1:6" ht="15" thickBot="1" x14ac:dyDescent="0.4">
      <c r="A179" s="15" t="s">
        <v>339</v>
      </c>
      <c r="B179" s="36">
        <v>4</v>
      </c>
      <c r="C179" s="36">
        <v>3</v>
      </c>
      <c r="D179" s="36">
        <v>5</v>
      </c>
      <c r="E179" s="36">
        <v>5</v>
      </c>
      <c r="F179" s="36">
        <v>4</v>
      </c>
    </row>
    <row r="180" spans="1:6" ht="15" thickBot="1" x14ac:dyDescent="0.4">
      <c r="A180" s="15" t="s">
        <v>340</v>
      </c>
      <c r="B180" s="36">
        <v>3</v>
      </c>
      <c r="C180" s="36">
        <v>4</v>
      </c>
      <c r="D180" s="36">
        <v>5</v>
      </c>
      <c r="E180" s="36">
        <v>5</v>
      </c>
      <c r="F180" s="36">
        <v>4</v>
      </c>
    </row>
    <row r="181" spans="1:6" ht="15" thickBot="1" x14ac:dyDescent="0.4">
      <c r="A181" s="15" t="s">
        <v>341</v>
      </c>
      <c r="B181" s="36">
        <v>2</v>
      </c>
      <c r="C181" s="36">
        <v>4</v>
      </c>
      <c r="D181" s="36">
        <v>5</v>
      </c>
      <c r="E181" s="36">
        <v>5</v>
      </c>
      <c r="F181" s="36">
        <v>4</v>
      </c>
    </row>
    <row r="182" spans="1:6" ht="15" thickBot="1" x14ac:dyDescent="0.4">
      <c r="A182" s="15" t="s">
        <v>342</v>
      </c>
      <c r="B182" s="36">
        <v>1</v>
      </c>
      <c r="C182" s="36">
        <v>5</v>
      </c>
      <c r="D182" s="36">
        <v>5</v>
      </c>
      <c r="E182" s="36">
        <v>5</v>
      </c>
      <c r="F182" s="36">
        <v>4</v>
      </c>
    </row>
    <row r="183" spans="1:6" ht="15" thickBot="1" x14ac:dyDescent="0.4">
      <c r="A183" s="15" t="s">
        <v>343</v>
      </c>
      <c r="B183" s="36">
        <v>3</v>
      </c>
      <c r="C183" s="36">
        <v>3</v>
      </c>
      <c r="D183" s="36">
        <v>4</v>
      </c>
      <c r="E183" s="36">
        <v>4</v>
      </c>
      <c r="F183" s="36">
        <v>3</v>
      </c>
    </row>
    <row r="184" spans="1:6" ht="15" thickBot="1" x14ac:dyDescent="0.4">
      <c r="A184" s="15" t="s">
        <v>344</v>
      </c>
      <c r="B184" s="36">
        <v>1</v>
      </c>
      <c r="C184" s="36">
        <v>4</v>
      </c>
      <c r="D184" s="36">
        <v>4</v>
      </c>
      <c r="E184" s="36">
        <v>4</v>
      </c>
      <c r="F184" s="36">
        <v>3</v>
      </c>
    </row>
    <row r="185" spans="1:6" ht="15" thickBot="1" x14ac:dyDescent="0.4">
      <c r="A185" s="15" t="s">
        <v>345</v>
      </c>
      <c r="B185" s="36">
        <v>5</v>
      </c>
      <c r="C185" s="36">
        <v>4</v>
      </c>
      <c r="D185" s="36">
        <v>4</v>
      </c>
      <c r="E185" s="36">
        <v>2</v>
      </c>
      <c r="F185" s="36">
        <v>1</v>
      </c>
    </row>
    <row r="186" spans="1:6" ht="15" thickBot="1" x14ac:dyDescent="0.4">
      <c r="A186" s="15" t="s">
        <v>346</v>
      </c>
      <c r="B186" s="36">
        <v>5</v>
      </c>
      <c r="C186" s="36">
        <v>5</v>
      </c>
      <c r="D186" s="36">
        <v>4</v>
      </c>
      <c r="E186" s="36">
        <v>1</v>
      </c>
      <c r="F186" s="36">
        <v>1</v>
      </c>
    </row>
    <row r="187" spans="1:6" ht="15" thickBot="1" x14ac:dyDescent="0.4">
      <c r="A187" s="15" t="s">
        <v>485</v>
      </c>
      <c r="B187" s="36">
        <v>3</v>
      </c>
      <c r="C187" s="36">
        <v>3</v>
      </c>
      <c r="D187" s="36">
        <v>4</v>
      </c>
      <c r="E187" s="36">
        <v>4</v>
      </c>
      <c r="F187" s="36">
        <v>3</v>
      </c>
    </row>
    <row r="188" spans="1:6" ht="15" thickBot="1" x14ac:dyDescent="0.4">
      <c r="A188" s="15" t="s">
        <v>486</v>
      </c>
      <c r="B188" s="36">
        <v>2</v>
      </c>
      <c r="C188" s="36">
        <v>4</v>
      </c>
      <c r="D188" s="36">
        <v>4</v>
      </c>
      <c r="E188" s="36">
        <v>4</v>
      </c>
      <c r="F188" s="36">
        <v>3</v>
      </c>
    </row>
  </sheetData>
  <autoFilter ref="A1:I188" xr:uid="{F21E4DC0-6CAD-4969-8840-EF2E1BC6F291}">
    <sortState xmlns:xlrd2="http://schemas.microsoft.com/office/spreadsheetml/2017/richdata2" ref="A2:I188">
      <sortCondition descending="1" ref="I1"/>
    </sortState>
  </autoFilter>
  <conditionalFormatting sqref="A2:A28">
    <cfRule type="colorScale" priority="1">
      <colorScale>
        <cfvo type="min"/>
        <cfvo type="percentile" val="50"/>
        <cfvo type="max"/>
        <color rgb="FF63BE7B"/>
        <color rgb="FFFFEB84"/>
        <color rgb="FFF8696B"/>
      </colorScale>
    </cfRule>
  </conditionalFormatting>
  <conditionalFormatting sqref="A29:A1048576 A1">
    <cfRule type="colorScale" priority="8">
      <colorScale>
        <cfvo type="min"/>
        <cfvo type="percentile" val="50"/>
        <cfvo type="max"/>
        <color rgb="FF63BE7B"/>
        <color rgb="FFFFEB84"/>
        <color rgb="FFF8696B"/>
      </colorScale>
    </cfRule>
  </conditionalFormatting>
  <conditionalFormatting sqref="B189:B1048576 B1">
    <cfRule type="colorScale" priority="7">
      <colorScale>
        <cfvo type="min"/>
        <cfvo type="percentile" val="50"/>
        <cfvo type="max"/>
        <color rgb="FF63BE7B"/>
        <color rgb="FFFCFCFF"/>
        <color rgb="FFF8696B"/>
      </colorScale>
    </cfRule>
  </conditionalFormatting>
  <conditionalFormatting sqref="C189:C1048576 C1">
    <cfRule type="colorScale" priority="6">
      <colorScale>
        <cfvo type="min"/>
        <cfvo type="percentile" val="50"/>
        <cfvo type="max"/>
        <color rgb="FFF8696B"/>
        <color rgb="FFFCFCFF"/>
        <color rgb="FF63BE7B"/>
      </colorScale>
    </cfRule>
  </conditionalFormatting>
  <conditionalFormatting sqref="D189:D1048576 D1">
    <cfRule type="colorScale" priority="5">
      <colorScale>
        <cfvo type="min"/>
        <cfvo type="percentile" val="50"/>
        <cfvo type="max"/>
        <color rgb="FFF8696B"/>
        <color rgb="FFFCFCFF"/>
        <color rgb="FF63BE7B"/>
      </colorScale>
    </cfRule>
  </conditionalFormatting>
  <conditionalFormatting sqref="E189:E1048576 E1">
    <cfRule type="colorScale" priority="4">
      <colorScale>
        <cfvo type="min"/>
        <cfvo type="percentile" val="50"/>
        <cfvo type="max"/>
        <color rgb="FFF8696B"/>
        <color rgb="FFFCFCFF"/>
        <color rgb="FF63BE7B"/>
      </colorScale>
    </cfRule>
  </conditionalFormatting>
  <conditionalFormatting sqref="F189:F1048576 F1">
    <cfRule type="colorScale" priority="3">
      <colorScale>
        <cfvo type="min"/>
        <cfvo type="percentile" val="50"/>
        <cfvo type="max"/>
        <color rgb="FF63BE7B"/>
        <color rgb="FFFCFCFF"/>
        <color rgb="FFF8696B"/>
      </colorScale>
    </cfRule>
  </conditionalFormatting>
  <conditionalFormatting sqref="I1:I1048576">
    <cfRule type="colorScale" priority="2">
      <colorScale>
        <cfvo type="min"/>
        <cfvo type="percentile" val="50"/>
        <cfvo type="max"/>
        <color rgb="FFF8696B"/>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DD4BC-8EF6-4A44-AC74-7B36ACB2D07B}">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Scenario background</vt:lpstr>
      <vt:lpstr>Relative tech support level</vt:lpstr>
      <vt:lpstr>Policy Evaluation List</vt:lpstr>
      <vt:lpstr>2030-2040</vt:lpstr>
      <vt:lpstr>2040-2050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Tansy</dc:creator>
  <cp:lastModifiedBy>Wang  Tianci</cp:lastModifiedBy>
  <dcterms:created xsi:type="dcterms:W3CDTF">2015-06-05T18:17:20Z</dcterms:created>
  <dcterms:modified xsi:type="dcterms:W3CDTF">2026-05-21T13:08:34Z</dcterms:modified>
</cp:coreProperties>
</file>