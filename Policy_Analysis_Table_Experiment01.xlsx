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ansy\Master thesis\MCDA\"/>
    </mc:Choice>
  </mc:AlternateContent>
  <xr:revisionPtr revIDLastSave="0" documentId="13_ncr:1_{FCA81354-9F39-49EF-AEB4-BC9D13452ECD}" xr6:coauthVersionLast="47" xr6:coauthVersionMax="47" xr10:uidLastSave="{00000000-0000-0000-0000-000000000000}"/>
  <bookViews>
    <workbookView xWindow="-110" yWindow="-110" windowWidth="25820" windowHeight="13900" firstSheet="2" activeTab="4" xr2:uid="{A887E12D-89D9-456D-AA76-AAD5F0322D07}"/>
  </bookViews>
  <sheets>
    <sheet name="2030-2040" sheetId="1" r:id="rId1"/>
    <sheet name="Criteria" sheetId="2" r:id="rId2"/>
    <sheet name="Result" sheetId="3" r:id="rId3"/>
    <sheet name="data preparation" sheetId="5" r:id="rId4"/>
    <sheet name="Tech. Support level" sheetId="6" r:id="rId5"/>
    <sheet name="Tech. Support level EP2050+" sheetId="7" r:id="rId6"/>
    <sheet name="Relative tech support level" sheetId="8" r:id="rId7"/>
    <sheet name="2040-2050" sheetId="4" r:id="rId8"/>
  </sheets>
  <externalReferences>
    <externalReference r:id="rId9"/>
  </externalReferences>
  <definedNames>
    <definedName name="_xlnm._FilterDatabase" localSheetId="0" hidden="1">'2030-2040'!$A$1:$F$188</definedName>
    <definedName name="_xlnm._FilterDatabase" localSheetId="7" hidden="1">'2040-2050'!$A$1:$F$188</definedName>
    <definedName name="_xlnm._FilterDatabase" localSheetId="3" hidden="1">'data preparation'!$A$1:$F$188</definedName>
    <definedName name="_xlnm._FilterDatabase" localSheetId="2" hidden="1">Result!$A$1:$S$189</definedName>
    <definedName name="_xlnm._FilterDatabase" localSheetId="4" hidden="1">'Tech. Support level'!$A$1:$W$188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5" i="8" l="1"/>
  <c r="B15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C12" i="8"/>
  <c r="B13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B12" i="8"/>
  <c r="O3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R3" i="8"/>
  <c r="Q3" i="8"/>
  <c r="P3" i="8"/>
  <c r="N3" i="8"/>
  <c r="M3" i="8"/>
  <c r="L3" i="8"/>
  <c r="K3" i="8"/>
  <c r="J3" i="8"/>
  <c r="I3" i="8"/>
  <c r="H3" i="8"/>
  <c r="G3" i="8"/>
  <c r="F3" i="8"/>
  <c r="E3" i="8"/>
  <c r="D3" i="8"/>
  <c r="C3" i="8"/>
  <c r="B3" i="8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E37" i="7"/>
  <c r="F188" i="6"/>
  <c r="F187" i="6"/>
  <c r="F186" i="6"/>
  <c r="F185" i="6"/>
  <c r="AC185" i="6" s="1"/>
  <c r="F184" i="6"/>
  <c r="AA184" i="6" s="1"/>
  <c r="F183" i="6"/>
  <c r="AJ183" i="6" s="1"/>
  <c r="F182" i="6"/>
  <c r="AC182" i="6" s="1"/>
  <c r="F181" i="6"/>
  <c r="Y181" i="6" s="1"/>
  <c r="F180" i="6"/>
  <c r="F179" i="6"/>
  <c r="F178" i="6"/>
  <c r="F177" i="6"/>
  <c r="F176" i="6"/>
  <c r="F175" i="6"/>
  <c r="AJ175" i="6" s="1"/>
  <c r="F174" i="6"/>
  <c r="F173" i="6"/>
  <c r="AL173" i="6" s="1"/>
  <c r="F172" i="6"/>
  <c r="F171" i="6"/>
  <c r="F170" i="6"/>
  <c r="F169" i="6"/>
  <c r="AM169" i="6" s="1"/>
  <c r="F168" i="6"/>
  <c r="AC168" i="6" s="1"/>
  <c r="F167" i="6"/>
  <c r="AA167" i="6" s="1"/>
  <c r="F166" i="6"/>
  <c r="AE166" i="6" s="1"/>
  <c r="F165" i="6"/>
  <c r="AD165" i="6" s="1"/>
  <c r="F164" i="6"/>
  <c r="F163" i="6"/>
  <c r="F162" i="6"/>
  <c r="F161" i="6"/>
  <c r="F160" i="6"/>
  <c r="F159" i="6"/>
  <c r="AJ159" i="6" s="1"/>
  <c r="F158" i="6"/>
  <c r="F157" i="6"/>
  <c r="AL157" i="6" s="1"/>
  <c r="F156" i="6"/>
  <c r="F155" i="6"/>
  <c r="F154" i="6"/>
  <c r="F153" i="6"/>
  <c r="AB153" i="6" s="1"/>
  <c r="F152" i="6"/>
  <c r="AE152" i="6" s="1"/>
  <c r="F151" i="6"/>
  <c r="AE151" i="6" s="1"/>
  <c r="F150" i="6"/>
  <c r="AG150" i="6" s="1"/>
  <c r="F149" i="6"/>
  <c r="AH149" i="6" s="1"/>
  <c r="F148" i="6"/>
  <c r="F147" i="6"/>
  <c r="F146" i="6"/>
  <c r="F145" i="6"/>
  <c r="F144" i="6"/>
  <c r="F143" i="6"/>
  <c r="AJ143" i="6" s="1"/>
  <c r="F142" i="6"/>
  <c r="F141" i="6"/>
  <c r="AL141" i="6" s="1"/>
  <c r="F140" i="6"/>
  <c r="F139" i="6"/>
  <c r="F138" i="6"/>
  <c r="F137" i="6"/>
  <c r="AF137" i="6" s="1"/>
  <c r="F136" i="6"/>
  <c r="AG136" i="6" s="1"/>
  <c r="F135" i="6"/>
  <c r="AI135" i="6" s="1"/>
  <c r="F134" i="6"/>
  <c r="AI134" i="6" s="1"/>
  <c r="F133" i="6"/>
  <c r="AL133" i="6" s="1"/>
  <c r="F132" i="6"/>
  <c r="F131" i="6"/>
  <c r="F130" i="6"/>
  <c r="F129" i="6"/>
  <c r="F128" i="6"/>
  <c r="F127" i="6"/>
  <c r="AJ127" i="6" s="1"/>
  <c r="F126" i="6"/>
  <c r="F125" i="6"/>
  <c r="AL125" i="6" s="1"/>
  <c r="F124" i="6"/>
  <c r="F123" i="6"/>
  <c r="F122" i="6"/>
  <c r="F121" i="6"/>
  <c r="AJ121" i="6" s="1"/>
  <c r="F120" i="6"/>
  <c r="AI120" i="6" s="1"/>
  <c r="F119" i="6"/>
  <c r="AM119" i="6" s="1"/>
  <c r="F118" i="6"/>
  <c r="AK118" i="6" s="1"/>
  <c r="F117" i="6"/>
  <c r="Z117" i="6" s="1"/>
  <c r="F116" i="6"/>
  <c r="F115" i="6"/>
  <c r="F114" i="6"/>
  <c r="F113" i="6"/>
  <c r="F112" i="6"/>
  <c r="F111" i="6"/>
  <c r="AJ111" i="6" s="1"/>
  <c r="F110" i="6"/>
  <c r="F109" i="6"/>
  <c r="AL109" i="6" s="1"/>
  <c r="F108" i="6"/>
  <c r="F107" i="6"/>
  <c r="F106" i="6"/>
  <c r="F105" i="6"/>
  <c r="AM105" i="6" s="1"/>
  <c r="F104" i="6"/>
  <c r="AJ104" i="6" s="1"/>
  <c r="F103" i="6"/>
  <c r="Z103" i="6" s="1"/>
  <c r="F102" i="6"/>
  <c r="AL102" i="6" s="1"/>
  <c r="F101" i="6"/>
  <c r="AC101" i="6" s="1"/>
  <c r="F100" i="6"/>
  <c r="F99" i="6"/>
  <c r="F98" i="6"/>
  <c r="F97" i="6"/>
  <c r="F96" i="6"/>
  <c r="F95" i="6"/>
  <c r="AJ95" i="6" s="1"/>
  <c r="F94" i="6"/>
  <c r="F93" i="6"/>
  <c r="AL93" i="6" s="1"/>
  <c r="F92" i="6"/>
  <c r="F91" i="6"/>
  <c r="F90" i="6"/>
  <c r="F89" i="6"/>
  <c r="AA89" i="6" s="1"/>
  <c r="F88" i="6"/>
  <c r="AL88" i="6" s="1"/>
  <c r="F87" i="6"/>
  <c r="AD87" i="6" s="1"/>
  <c r="F86" i="6"/>
  <c r="X86" i="6" s="1"/>
  <c r="F85" i="6"/>
  <c r="AG85" i="6" s="1"/>
  <c r="F84" i="6"/>
  <c r="F83" i="6"/>
  <c r="F82" i="6"/>
  <c r="F81" i="6"/>
  <c r="F80" i="6"/>
  <c r="AL80" i="6" s="1"/>
  <c r="F79" i="6"/>
  <c r="AJ79" i="6" s="1"/>
  <c r="F78" i="6"/>
  <c r="F77" i="6"/>
  <c r="AL77" i="6" s="1"/>
  <c r="F76" i="6"/>
  <c r="F75" i="6"/>
  <c r="Z75" i="6" s="1"/>
  <c r="F74" i="6"/>
  <c r="F73" i="6"/>
  <c r="X73" i="6" s="1"/>
  <c r="F72" i="6"/>
  <c r="X72" i="6" s="1"/>
  <c r="F71" i="6"/>
  <c r="Y71" i="6" s="1"/>
  <c r="F70" i="6"/>
  <c r="Z70" i="6" s="1"/>
  <c r="F69" i="6"/>
  <c r="AA69" i="6" s="1"/>
  <c r="F68" i="6"/>
  <c r="F67" i="6"/>
  <c r="F66" i="6"/>
  <c r="AD66" i="6" s="1"/>
  <c r="F65" i="6"/>
  <c r="F64" i="6"/>
  <c r="AB64" i="6" s="1"/>
  <c r="F63" i="6"/>
  <c r="AJ63" i="6" s="1"/>
  <c r="F62" i="6"/>
  <c r="F61" i="6"/>
  <c r="AL61" i="6" s="1"/>
  <c r="F60" i="6"/>
  <c r="AK60" i="6" s="1"/>
  <c r="F59" i="6"/>
  <c r="AL59" i="6" s="1"/>
  <c r="F58" i="6"/>
  <c r="AM58" i="6" s="1"/>
  <c r="F57" i="6"/>
  <c r="X57" i="6" s="1"/>
  <c r="F56" i="6"/>
  <c r="Y56" i="6" s="1"/>
  <c r="F55" i="6"/>
  <c r="Z55" i="6" s="1"/>
  <c r="F54" i="6"/>
  <c r="AA54" i="6" s="1"/>
  <c r="F53" i="6"/>
  <c r="AG53" i="6" s="1"/>
  <c r="F52" i="6"/>
  <c r="F51" i="6"/>
  <c r="AD51" i="6" s="1"/>
  <c r="F50" i="6"/>
  <c r="AE50" i="6" s="1"/>
  <c r="F49" i="6"/>
  <c r="F48" i="6"/>
  <c r="AB48" i="6" s="1"/>
  <c r="F47" i="6"/>
  <c r="AJ47" i="6" s="1"/>
  <c r="F46" i="6"/>
  <c r="AK46" i="6" s="1"/>
  <c r="F45" i="6"/>
  <c r="AL45" i="6" s="1"/>
  <c r="F44" i="6"/>
  <c r="Z44" i="6" s="1"/>
  <c r="F43" i="6"/>
  <c r="AA43" i="6" s="1"/>
  <c r="F42" i="6"/>
  <c r="AB42" i="6" s="1"/>
  <c r="F41" i="6"/>
  <c r="AC41" i="6" s="1"/>
  <c r="F40" i="6"/>
  <c r="AD40" i="6" s="1"/>
  <c r="F39" i="6"/>
  <c r="AE39" i="6" s="1"/>
  <c r="F38" i="6"/>
  <c r="AF38" i="6" s="1"/>
  <c r="F37" i="6"/>
  <c r="AD37" i="6" s="1"/>
  <c r="F36" i="6"/>
  <c r="F35" i="6"/>
  <c r="AI35" i="6" s="1"/>
  <c r="F34" i="6"/>
  <c r="AJ34" i="6" s="1"/>
  <c r="F33" i="6"/>
  <c r="AH33" i="6" s="1"/>
  <c r="F32" i="6"/>
  <c r="AM32" i="6" s="1"/>
  <c r="F31" i="6"/>
  <c r="AJ31" i="6" s="1"/>
  <c r="F30" i="6"/>
  <c r="AK30" i="6" s="1"/>
  <c r="F29" i="6"/>
  <c r="AL29" i="6" s="1"/>
  <c r="F28" i="6"/>
  <c r="AF28" i="6" s="1"/>
  <c r="F27" i="6"/>
  <c r="AG27" i="6" s="1"/>
  <c r="F26" i="6"/>
  <c r="AH26" i="6" s="1"/>
  <c r="F25" i="6"/>
  <c r="AI25" i="6" s="1"/>
  <c r="F24" i="6"/>
  <c r="AJ24" i="6" s="1"/>
  <c r="F23" i="6"/>
  <c r="AK23" i="6" s="1"/>
  <c r="F22" i="6"/>
  <c r="AL22" i="6" s="1"/>
  <c r="F21" i="6"/>
  <c r="AF21" i="6" s="1"/>
  <c r="F20" i="6"/>
  <c r="F19" i="6"/>
  <c r="Y19" i="6" s="1"/>
  <c r="F18" i="6"/>
  <c r="AG18" i="6" s="1"/>
  <c r="F17" i="6"/>
  <c r="AH17" i="6" s="1"/>
  <c r="F16" i="6"/>
  <c r="AI16" i="6" s="1"/>
  <c r="F15" i="6"/>
  <c r="AJ15" i="6" s="1"/>
  <c r="F14" i="6"/>
  <c r="AK14" i="6" s="1"/>
  <c r="F13" i="6"/>
  <c r="AE13" i="6" s="1"/>
  <c r="F12" i="6"/>
  <c r="AF12" i="6" s="1"/>
  <c r="F11" i="6"/>
  <c r="AG11" i="6" s="1"/>
  <c r="F10" i="6"/>
  <c r="AH10" i="6" s="1"/>
  <c r="F9" i="6"/>
  <c r="AI9" i="6" s="1"/>
  <c r="F8" i="6"/>
  <c r="AJ8" i="6" s="1"/>
  <c r="F7" i="6"/>
  <c r="AK7" i="6" s="1"/>
  <c r="F6" i="6"/>
  <c r="AL6" i="6" s="1"/>
  <c r="F5" i="6"/>
  <c r="AC5" i="6" s="1"/>
  <c r="F4" i="6"/>
  <c r="X4" i="6" s="1"/>
  <c r="F3" i="6"/>
  <c r="AG3" i="6" s="1"/>
  <c r="F2" i="6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2" i="5"/>
  <c r="AN187" i="6"/>
  <c r="AC3" i="6"/>
  <c r="AE4" i="6"/>
  <c r="AF4" i="6"/>
  <c r="AG4" i="6"/>
  <c r="AH4" i="6"/>
  <c r="AI4" i="6"/>
  <c r="AJ4" i="6"/>
  <c r="AK4" i="6"/>
  <c r="AL4" i="6"/>
  <c r="AM4" i="6"/>
  <c r="AN4" i="6"/>
  <c r="Z5" i="6"/>
  <c r="AB5" i="6"/>
  <c r="AK6" i="6"/>
  <c r="AE7" i="6"/>
  <c r="AH9" i="6"/>
  <c r="AL9" i="6"/>
  <c r="AA10" i="6"/>
  <c r="AB10" i="6"/>
  <c r="AD10" i="6"/>
  <c r="AG10" i="6"/>
  <c r="AA11" i="6"/>
  <c r="AB11" i="6"/>
  <c r="AC11" i="6"/>
  <c r="AD11" i="6"/>
  <c r="AE11" i="6"/>
  <c r="AF11" i="6"/>
  <c r="AI11" i="6"/>
  <c r="AJ11" i="6"/>
  <c r="Z12" i="6"/>
  <c r="AC12" i="6"/>
  <c r="AI12" i="6"/>
  <c r="AD13" i="6"/>
  <c r="AF14" i="6"/>
  <c r="AH14" i="6"/>
  <c r="AI14" i="6"/>
  <c r="AJ14" i="6"/>
  <c r="AI15" i="6"/>
  <c r="AC16" i="6"/>
  <c r="AC17" i="6"/>
  <c r="AE17" i="6"/>
  <c r="AF17" i="6"/>
  <c r="AG17" i="6"/>
  <c r="AA18" i="6"/>
  <c r="AB18" i="6"/>
  <c r="AC18" i="6"/>
  <c r="AD18" i="6"/>
  <c r="AE18" i="6"/>
  <c r="AF18" i="6"/>
  <c r="X19" i="6"/>
  <c r="AA19" i="6"/>
  <c r="AB19" i="6"/>
  <c r="AI19" i="6"/>
  <c r="AL19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C21" i="6"/>
  <c r="AE21" i="6"/>
  <c r="AE23" i="6"/>
  <c r="AG23" i="6"/>
  <c r="AF25" i="6"/>
  <c r="AH25" i="6"/>
  <c r="AL25" i="6"/>
  <c r="AB26" i="6"/>
  <c r="AE26" i="6"/>
  <c r="AK26" i="6"/>
  <c r="Z27" i="6"/>
  <c r="AA27" i="6"/>
  <c r="AB27" i="6"/>
  <c r="AC27" i="6"/>
  <c r="AD27" i="6"/>
  <c r="AE27" i="6"/>
  <c r="AF27" i="6"/>
  <c r="AJ27" i="6"/>
  <c r="AA28" i="6"/>
  <c r="AB28" i="6"/>
  <c r="AC28" i="6"/>
  <c r="AD28" i="6"/>
  <c r="AE28" i="6"/>
  <c r="AH28" i="6"/>
  <c r="AI28" i="6"/>
  <c r="AK29" i="6"/>
  <c r="AF30" i="6"/>
  <c r="AH30" i="6"/>
  <c r="AI30" i="6"/>
  <c r="AJ30" i="6"/>
  <c r="AI31" i="6"/>
  <c r="AA32" i="6"/>
  <c r="AH32" i="6"/>
  <c r="AJ32" i="6"/>
  <c r="AK32" i="6"/>
  <c r="AL32" i="6"/>
  <c r="AC33" i="6"/>
  <c r="AE33" i="6"/>
  <c r="AF33" i="6"/>
  <c r="AG33" i="6"/>
  <c r="AC34" i="6"/>
  <c r="AD34" i="6"/>
  <c r="AE34" i="6"/>
  <c r="AF34" i="6"/>
  <c r="AG34" i="6"/>
  <c r="AH34" i="6"/>
  <c r="AI34" i="6"/>
  <c r="AL34" i="6"/>
  <c r="AM34" i="6"/>
  <c r="AA35" i="6"/>
  <c r="AC35" i="6"/>
  <c r="AF35" i="6"/>
  <c r="AG35" i="6"/>
  <c r="AH35" i="6"/>
  <c r="AK35" i="6"/>
  <c r="AL35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Y37" i="6"/>
  <c r="AA37" i="6"/>
  <c r="AC37" i="6"/>
  <c r="AC38" i="6"/>
  <c r="X39" i="6"/>
  <c r="Z39" i="6"/>
  <c r="Z41" i="6"/>
  <c r="AB41" i="6"/>
  <c r="AF41" i="6"/>
  <c r="Y42" i="6"/>
  <c r="Z42" i="6"/>
  <c r="AA42" i="6"/>
  <c r="AD42" i="6"/>
  <c r="AE42" i="6"/>
  <c r="AJ42" i="6"/>
  <c r="AK42" i="6"/>
  <c r="AL42" i="6"/>
  <c r="AM42" i="6"/>
  <c r="AN42" i="6"/>
  <c r="X43" i="6"/>
  <c r="Y43" i="6"/>
  <c r="AC43" i="6"/>
  <c r="AK43" i="6"/>
  <c r="AL43" i="6"/>
  <c r="AM43" i="6"/>
  <c r="AN43" i="6"/>
  <c r="X44" i="6"/>
  <c r="Y44" i="6"/>
  <c r="AB44" i="6"/>
  <c r="AC44" i="6"/>
  <c r="AF44" i="6"/>
  <c r="AH44" i="6"/>
  <c r="AI44" i="6"/>
  <c r="AJ44" i="6"/>
  <c r="AK44" i="6"/>
  <c r="AL44" i="6"/>
  <c r="AM44" i="6"/>
  <c r="AN44" i="6"/>
  <c r="AK45" i="6"/>
  <c r="AF46" i="6"/>
  <c r="AG46" i="6"/>
  <c r="AH46" i="6"/>
  <c r="AI46" i="6"/>
  <c r="AJ46" i="6"/>
  <c r="AG47" i="6"/>
  <c r="AI47" i="6"/>
  <c r="X48" i="6"/>
  <c r="Y48" i="6"/>
  <c r="Z48" i="6"/>
  <c r="AA48" i="6"/>
  <c r="AF48" i="6"/>
  <c r="AM48" i="6"/>
  <c r="AN48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X50" i="6"/>
  <c r="Y50" i="6"/>
  <c r="Z50" i="6"/>
  <c r="AA50" i="6"/>
  <c r="AB50" i="6"/>
  <c r="AC50" i="6"/>
  <c r="AD50" i="6"/>
  <c r="AG50" i="6"/>
  <c r="AH50" i="6"/>
  <c r="AM50" i="6"/>
  <c r="AN50" i="6"/>
  <c r="X51" i="6"/>
  <c r="Y51" i="6"/>
  <c r="Z51" i="6"/>
  <c r="AA51" i="6"/>
  <c r="AB51" i="6"/>
  <c r="AC51" i="6"/>
  <c r="AF51" i="6"/>
  <c r="AG51" i="6"/>
  <c r="AH51" i="6"/>
  <c r="AJ51" i="6"/>
  <c r="AL51" i="6"/>
  <c r="AM51" i="6"/>
  <c r="AN51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B53" i="6"/>
  <c r="AD53" i="6"/>
  <c r="AF53" i="6"/>
  <c r="X55" i="6"/>
  <c r="AB55" i="6"/>
  <c r="AI55" i="6"/>
  <c r="AF57" i="6"/>
  <c r="AH57" i="6"/>
  <c r="AJ57" i="6"/>
  <c r="Y58" i="6"/>
  <c r="Z58" i="6"/>
  <c r="AA58" i="6"/>
  <c r="AC58" i="6"/>
  <c r="AE58" i="6"/>
  <c r="AF58" i="6"/>
  <c r="AG58" i="6"/>
  <c r="AH58" i="6"/>
  <c r="AI58" i="6"/>
  <c r="AJ58" i="6"/>
  <c r="AK58" i="6"/>
  <c r="AL58" i="6"/>
  <c r="X59" i="6"/>
  <c r="Y59" i="6"/>
  <c r="AB59" i="6"/>
  <c r="AD59" i="6"/>
  <c r="AE59" i="6"/>
  <c r="AF59" i="6"/>
  <c r="AG59" i="6"/>
  <c r="AH59" i="6"/>
  <c r="AI59" i="6"/>
  <c r="AJ59" i="6"/>
  <c r="AK59" i="6"/>
  <c r="AN59" i="6"/>
  <c r="X60" i="6"/>
  <c r="Y60" i="6"/>
  <c r="AA60" i="6"/>
  <c r="AC60" i="6"/>
  <c r="AD60" i="6"/>
  <c r="AE60" i="6"/>
  <c r="AF60" i="6"/>
  <c r="AG60" i="6"/>
  <c r="AH60" i="6"/>
  <c r="AI60" i="6"/>
  <c r="AJ60" i="6"/>
  <c r="AM60" i="6"/>
  <c r="AN60" i="6"/>
  <c r="AK61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AL62" i="6"/>
  <c r="AM62" i="6"/>
  <c r="AN62" i="6"/>
  <c r="AG63" i="6"/>
  <c r="AI63" i="6"/>
  <c r="X64" i="6"/>
  <c r="Y64" i="6"/>
  <c r="Z64" i="6"/>
  <c r="AA64" i="6"/>
  <c r="AF64" i="6"/>
  <c r="AM64" i="6"/>
  <c r="AN64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AK65" i="6"/>
  <c r="AL65" i="6"/>
  <c r="AM65" i="6"/>
  <c r="AN65" i="6"/>
  <c r="X66" i="6"/>
  <c r="Y66" i="6"/>
  <c r="Z66" i="6"/>
  <c r="AA66" i="6"/>
  <c r="AB66" i="6"/>
  <c r="AC66" i="6"/>
  <c r="AF66" i="6"/>
  <c r="AG66" i="6"/>
  <c r="AH66" i="6"/>
  <c r="AJ66" i="6"/>
  <c r="AL66" i="6"/>
  <c r="AM66" i="6"/>
  <c r="AN66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AK67" i="6"/>
  <c r="AL67" i="6"/>
  <c r="AM67" i="6"/>
  <c r="AN67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AK68" i="6"/>
  <c r="AL68" i="6"/>
  <c r="AM68" i="6"/>
  <c r="AN68" i="6"/>
  <c r="X69" i="6"/>
  <c r="Z69" i="6"/>
  <c r="AL69" i="6"/>
  <c r="AN69" i="6"/>
  <c r="Y70" i="6"/>
  <c r="AM70" i="6"/>
  <c r="AM71" i="6"/>
  <c r="AK72" i="6"/>
  <c r="AM72" i="6"/>
  <c r="Y73" i="6"/>
  <c r="AM73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AL74" i="6"/>
  <c r="AM74" i="6"/>
  <c r="AN74" i="6"/>
  <c r="X75" i="6"/>
  <c r="Y75" i="6"/>
  <c r="AA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X76" i="6"/>
  <c r="Y76" i="6"/>
  <c r="Z76" i="6"/>
  <c r="AA76" i="6"/>
  <c r="AB76" i="6"/>
  <c r="AC76" i="6"/>
  <c r="AD76" i="6"/>
  <c r="AE76" i="6"/>
  <c r="AF76" i="6"/>
  <c r="AG76" i="6"/>
  <c r="AH76" i="6"/>
  <c r="AI76" i="6"/>
  <c r="AJ76" i="6"/>
  <c r="AK76" i="6"/>
  <c r="AL76" i="6"/>
  <c r="AM76" i="6"/>
  <c r="AN76" i="6"/>
  <c r="AI77" i="6"/>
  <c r="AK77" i="6"/>
  <c r="X78" i="6"/>
  <c r="Y78" i="6"/>
  <c r="Z78" i="6"/>
  <c r="AA78" i="6"/>
  <c r="AB78" i="6"/>
  <c r="AC78" i="6"/>
  <c r="AD78" i="6"/>
  <c r="AE78" i="6"/>
  <c r="AF78" i="6"/>
  <c r="AG78" i="6"/>
  <c r="AH78" i="6"/>
  <c r="AI78" i="6"/>
  <c r="AJ78" i="6"/>
  <c r="AK78" i="6"/>
  <c r="AL78" i="6"/>
  <c r="AM78" i="6"/>
  <c r="AN78" i="6"/>
  <c r="AG79" i="6"/>
  <c r="AI79" i="6"/>
  <c r="Z80" i="6"/>
  <c r="AD80" i="6"/>
  <c r="AE80" i="6"/>
  <c r="AF80" i="6"/>
  <c r="AG80" i="6"/>
  <c r="AH80" i="6"/>
  <c r="AI80" i="6"/>
  <c r="AJ80" i="6"/>
  <c r="AK80" i="6"/>
  <c r="AM80" i="6"/>
  <c r="X81" i="6"/>
  <c r="Y81" i="6"/>
  <c r="Z81" i="6"/>
  <c r="AA81" i="6"/>
  <c r="AB81" i="6"/>
  <c r="AC81" i="6"/>
  <c r="AD81" i="6"/>
  <c r="AE81" i="6"/>
  <c r="AF81" i="6"/>
  <c r="AG81" i="6"/>
  <c r="AH81" i="6"/>
  <c r="AI81" i="6"/>
  <c r="AJ81" i="6"/>
  <c r="AK81" i="6"/>
  <c r="AL81" i="6"/>
  <c r="AM81" i="6"/>
  <c r="AN81" i="6"/>
  <c r="X82" i="6"/>
  <c r="Y82" i="6"/>
  <c r="Z82" i="6"/>
  <c r="AA82" i="6"/>
  <c r="AB82" i="6"/>
  <c r="AC82" i="6"/>
  <c r="AD82" i="6"/>
  <c r="AE82" i="6"/>
  <c r="AF82" i="6"/>
  <c r="AG82" i="6"/>
  <c r="AH82" i="6"/>
  <c r="AI82" i="6"/>
  <c r="AJ82" i="6"/>
  <c r="AK82" i="6"/>
  <c r="AL82" i="6"/>
  <c r="AM82" i="6"/>
  <c r="AN82" i="6"/>
  <c r="X83" i="6"/>
  <c r="Y83" i="6"/>
  <c r="Z83" i="6"/>
  <c r="AA83" i="6"/>
  <c r="AB83" i="6"/>
  <c r="AC83" i="6"/>
  <c r="AD83" i="6"/>
  <c r="AE83" i="6"/>
  <c r="AF83" i="6"/>
  <c r="AG83" i="6"/>
  <c r="AH83" i="6"/>
  <c r="AI83" i="6"/>
  <c r="AJ83" i="6"/>
  <c r="AK83" i="6"/>
  <c r="AL83" i="6"/>
  <c r="AM83" i="6"/>
  <c r="AN83" i="6"/>
  <c r="X84" i="6"/>
  <c r="Y84" i="6"/>
  <c r="Z84" i="6"/>
  <c r="AA84" i="6"/>
  <c r="AB84" i="6"/>
  <c r="AC84" i="6"/>
  <c r="AD84" i="6"/>
  <c r="AE84" i="6"/>
  <c r="AF84" i="6"/>
  <c r="AG84" i="6"/>
  <c r="AH84" i="6"/>
  <c r="AI84" i="6"/>
  <c r="AJ84" i="6"/>
  <c r="AK84" i="6"/>
  <c r="AL84" i="6"/>
  <c r="AM84" i="6"/>
  <c r="AN84" i="6"/>
  <c r="AB85" i="6"/>
  <c r="AD85" i="6"/>
  <c r="AF85" i="6"/>
  <c r="AK86" i="6"/>
  <c r="AM86" i="6"/>
  <c r="Y87" i="6"/>
  <c r="AA87" i="6"/>
  <c r="AC87" i="6"/>
  <c r="AI88" i="6"/>
  <c r="AK88" i="6"/>
  <c r="X89" i="6"/>
  <c r="Z89" i="6"/>
  <c r="AL89" i="6"/>
  <c r="AN89" i="6"/>
  <c r="X90" i="6"/>
  <c r="Y90" i="6"/>
  <c r="Z90" i="6"/>
  <c r="AA90" i="6"/>
  <c r="AB90" i="6"/>
  <c r="AC90" i="6"/>
  <c r="AD90" i="6"/>
  <c r="AE90" i="6"/>
  <c r="AF90" i="6"/>
  <c r="AG90" i="6"/>
  <c r="AH90" i="6"/>
  <c r="AI90" i="6"/>
  <c r="AJ90" i="6"/>
  <c r="AK90" i="6"/>
  <c r="AL90" i="6"/>
  <c r="AM90" i="6"/>
  <c r="AN90" i="6"/>
  <c r="X91" i="6"/>
  <c r="Y91" i="6"/>
  <c r="Z91" i="6"/>
  <c r="AA91" i="6"/>
  <c r="AB91" i="6"/>
  <c r="AC91" i="6"/>
  <c r="AD91" i="6"/>
  <c r="AE91" i="6"/>
  <c r="AF91" i="6"/>
  <c r="AG91" i="6"/>
  <c r="AH91" i="6"/>
  <c r="AI91" i="6"/>
  <c r="AJ91" i="6"/>
  <c r="AK91" i="6"/>
  <c r="AL91" i="6"/>
  <c r="AM91" i="6"/>
  <c r="AN91" i="6"/>
  <c r="X92" i="6"/>
  <c r="Y92" i="6"/>
  <c r="Z92" i="6"/>
  <c r="AA92" i="6"/>
  <c r="AB92" i="6"/>
  <c r="AC92" i="6"/>
  <c r="AD92" i="6"/>
  <c r="AE92" i="6"/>
  <c r="AF92" i="6"/>
  <c r="AG92" i="6"/>
  <c r="AH92" i="6"/>
  <c r="AI92" i="6"/>
  <c r="AJ92" i="6"/>
  <c r="AK92" i="6"/>
  <c r="AL92" i="6"/>
  <c r="AM92" i="6"/>
  <c r="AN92" i="6"/>
  <c r="AI93" i="6"/>
  <c r="AK93" i="6"/>
  <c r="X94" i="6"/>
  <c r="Y94" i="6"/>
  <c r="Z94" i="6"/>
  <c r="AA94" i="6"/>
  <c r="AB94" i="6"/>
  <c r="AC94" i="6"/>
  <c r="AD94" i="6"/>
  <c r="AE94" i="6"/>
  <c r="AF94" i="6"/>
  <c r="AG94" i="6"/>
  <c r="AH94" i="6"/>
  <c r="AI94" i="6"/>
  <c r="AJ94" i="6"/>
  <c r="AK94" i="6"/>
  <c r="AL94" i="6"/>
  <c r="AM94" i="6"/>
  <c r="AN94" i="6"/>
  <c r="AG95" i="6"/>
  <c r="AI95" i="6"/>
  <c r="X96" i="6"/>
  <c r="Y96" i="6"/>
  <c r="Z96" i="6"/>
  <c r="AA96" i="6"/>
  <c r="AB96" i="6"/>
  <c r="AC96" i="6"/>
  <c r="AD96" i="6"/>
  <c r="AE96" i="6"/>
  <c r="AF96" i="6"/>
  <c r="AG96" i="6"/>
  <c r="AH96" i="6"/>
  <c r="AI96" i="6"/>
  <c r="AJ96" i="6"/>
  <c r="AK96" i="6"/>
  <c r="AL96" i="6"/>
  <c r="AM96" i="6"/>
  <c r="AN96" i="6"/>
  <c r="X97" i="6"/>
  <c r="Y97" i="6"/>
  <c r="Z97" i="6"/>
  <c r="AA97" i="6"/>
  <c r="AB97" i="6"/>
  <c r="AC97" i="6"/>
  <c r="AD97" i="6"/>
  <c r="AE97" i="6"/>
  <c r="AF97" i="6"/>
  <c r="AG97" i="6"/>
  <c r="AH97" i="6"/>
  <c r="AI97" i="6"/>
  <c r="AJ97" i="6"/>
  <c r="AK97" i="6"/>
  <c r="AL97" i="6"/>
  <c r="AM97" i="6"/>
  <c r="AN97" i="6"/>
  <c r="X98" i="6"/>
  <c r="Y98" i="6"/>
  <c r="Z98" i="6"/>
  <c r="AA98" i="6"/>
  <c r="AB98" i="6"/>
  <c r="AC98" i="6"/>
  <c r="AD98" i="6"/>
  <c r="AE98" i="6"/>
  <c r="AF98" i="6"/>
  <c r="AG98" i="6"/>
  <c r="AH98" i="6"/>
  <c r="AI98" i="6"/>
  <c r="AJ98" i="6"/>
  <c r="AK98" i="6"/>
  <c r="AL98" i="6"/>
  <c r="AM98" i="6"/>
  <c r="AN98" i="6"/>
  <c r="X99" i="6"/>
  <c r="Y99" i="6"/>
  <c r="Z99" i="6"/>
  <c r="AA99" i="6"/>
  <c r="AB99" i="6"/>
  <c r="AC99" i="6"/>
  <c r="AD99" i="6"/>
  <c r="AE99" i="6"/>
  <c r="AF99" i="6"/>
  <c r="AG99" i="6"/>
  <c r="AH99" i="6"/>
  <c r="AI99" i="6"/>
  <c r="AJ99" i="6"/>
  <c r="AK99" i="6"/>
  <c r="AL99" i="6"/>
  <c r="AM99" i="6"/>
  <c r="AN99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AJ100" i="6"/>
  <c r="AK100" i="6"/>
  <c r="AL100" i="6"/>
  <c r="AM100" i="6"/>
  <c r="AN100" i="6"/>
  <c r="X101" i="6"/>
  <c r="Z101" i="6"/>
  <c r="AB101" i="6"/>
  <c r="AN101" i="6"/>
  <c r="AI102" i="6"/>
  <c r="AK102" i="6"/>
  <c r="Y103" i="6"/>
  <c r="AK103" i="6"/>
  <c r="AM103" i="6"/>
  <c r="AG104" i="6"/>
  <c r="AI104" i="6"/>
  <c r="AH105" i="6"/>
  <c r="AJ105" i="6"/>
  <c r="AL105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AJ106" i="6"/>
  <c r="AK106" i="6"/>
  <c r="AL106" i="6"/>
  <c r="AM106" i="6"/>
  <c r="AN106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AJ107" i="6"/>
  <c r="AK107" i="6"/>
  <c r="AL107" i="6"/>
  <c r="AM107" i="6"/>
  <c r="AN107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AJ108" i="6"/>
  <c r="AK108" i="6"/>
  <c r="AL108" i="6"/>
  <c r="AM108" i="6"/>
  <c r="AN108" i="6"/>
  <c r="AI109" i="6"/>
  <c r="AK109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AJ110" i="6"/>
  <c r="AK110" i="6"/>
  <c r="AL110" i="6"/>
  <c r="AM110" i="6"/>
  <c r="AN110" i="6"/>
  <c r="AI111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AJ112" i="6"/>
  <c r="AK112" i="6"/>
  <c r="AL112" i="6"/>
  <c r="AM112" i="6"/>
  <c r="AN112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AJ113" i="6"/>
  <c r="AK113" i="6"/>
  <c r="AL113" i="6"/>
  <c r="AM113" i="6"/>
  <c r="AN113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AJ114" i="6"/>
  <c r="AK114" i="6"/>
  <c r="AL114" i="6"/>
  <c r="AM114" i="6"/>
  <c r="AN114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AJ115" i="6"/>
  <c r="AK115" i="6"/>
  <c r="AL115" i="6"/>
  <c r="AM115" i="6"/>
  <c r="AN115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AJ116" i="6"/>
  <c r="AK116" i="6"/>
  <c r="AL116" i="6"/>
  <c r="AM116" i="6"/>
  <c r="AN116" i="6"/>
  <c r="Y117" i="6"/>
  <c r="AK117" i="6"/>
  <c r="AM117" i="6"/>
  <c r="AH118" i="6"/>
  <c r="AJ118" i="6"/>
  <c r="AH119" i="6"/>
  <c r="AJ119" i="6"/>
  <c r="AL119" i="6"/>
  <c r="AF120" i="6"/>
  <c r="AH120" i="6"/>
  <c r="AE121" i="6"/>
  <c r="AG121" i="6"/>
  <c r="AI121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AJ122" i="6"/>
  <c r="AK122" i="6"/>
  <c r="AL122" i="6"/>
  <c r="AM122" i="6"/>
  <c r="AN122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AJ123" i="6"/>
  <c r="AK123" i="6"/>
  <c r="AL123" i="6"/>
  <c r="AM123" i="6"/>
  <c r="AN123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AJ124" i="6"/>
  <c r="AK124" i="6"/>
  <c r="AL124" i="6"/>
  <c r="AM124" i="6"/>
  <c r="AN124" i="6"/>
  <c r="AI125" i="6"/>
  <c r="AK125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AJ126" i="6"/>
  <c r="AK126" i="6"/>
  <c r="AL126" i="6"/>
  <c r="AM126" i="6"/>
  <c r="AN126" i="6"/>
  <c r="AG127" i="6"/>
  <c r="AI127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AJ128" i="6"/>
  <c r="AK128" i="6"/>
  <c r="AL128" i="6"/>
  <c r="AM128" i="6"/>
  <c r="AN128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AJ129" i="6"/>
  <c r="AK129" i="6"/>
  <c r="AL129" i="6"/>
  <c r="AM129" i="6"/>
  <c r="AN129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AJ130" i="6"/>
  <c r="AK130" i="6"/>
  <c r="AL130" i="6"/>
  <c r="AM130" i="6"/>
  <c r="AN130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AJ131" i="6"/>
  <c r="AK131" i="6"/>
  <c r="AL131" i="6"/>
  <c r="AM131" i="6"/>
  <c r="AN131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AJ132" i="6"/>
  <c r="AK132" i="6"/>
  <c r="AL132" i="6"/>
  <c r="AM132" i="6"/>
  <c r="AN132" i="6"/>
  <c r="AG133" i="6"/>
  <c r="AI133" i="6"/>
  <c r="AK133" i="6"/>
  <c r="AF134" i="6"/>
  <c r="AH134" i="6"/>
  <c r="AD135" i="6"/>
  <c r="AF135" i="6"/>
  <c r="AH135" i="6"/>
  <c r="AD136" i="6"/>
  <c r="AF136" i="6"/>
  <c r="AA137" i="6"/>
  <c r="AC137" i="6"/>
  <c r="AE137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AJ138" i="6"/>
  <c r="AK138" i="6"/>
  <c r="AL138" i="6"/>
  <c r="AM138" i="6"/>
  <c r="AN138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AJ139" i="6"/>
  <c r="AK139" i="6"/>
  <c r="AL139" i="6"/>
  <c r="AM139" i="6"/>
  <c r="AN139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AJ140" i="6"/>
  <c r="AK140" i="6"/>
  <c r="AL140" i="6"/>
  <c r="AM140" i="6"/>
  <c r="AN140" i="6"/>
  <c r="AI141" i="6"/>
  <c r="AK141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AJ142" i="6"/>
  <c r="AK142" i="6"/>
  <c r="AL142" i="6"/>
  <c r="AM142" i="6"/>
  <c r="AN142" i="6"/>
  <c r="AG143" i="6"/>
  <c r="AI143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AJ144" i="6"/>
  <c r="AK144" i="6"/>
  <c r="AL144" i="6"/>
  <c r="AM144" i="6"/>
  <c r="AN144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AJ145" i="6"/>
  <c r="AK145" i="6"/>
  <c r="AL145" i="6"/>
  <c r="AM145" i="6"/>
  <c r="AN145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AJ146" i="6"/>
  <c r="AK146" i="6"/>
  <c r="AL146" i="6"/>
  <c r="AM146" i="6"/>
  <c r="AN146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AJ147" i="6"/>
  <c r="AK147" i="6"/>
  <c r="AL147" i="6"/>
  <c r="AM147" i="6"/>
  <c r="AN147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AJ148" i="6"/>
  <c r="AK148" i="6"/>
  <c r="AL148" i="6"/>
  <c r="AM148" i="6"/>
  <c r="AN148" i="6"/>
  <c r="AC149" i="6"/>
  <c r="AE149" i="6"/>
  <c r="AG149" i="6"/>
  <c r="AD150" i="6"/>
  <c r="AF150" i="6"/>
  <c r="Z151" i="6"/>
  <c r="AB151" i="6"/>
  <c r="AD151" i="6"/>
  <c r="AB152" i="6"/>
  <c r="AD152" i="6"/>
  <c r="Y153" i="6"/>
  <c r="AA153" i="6"/>
  <c r="AM153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AJ154" i="6"/>
  <c r="AK154" i="6"/>
  <c r="AL154" i="6"/>
  <c r="AM154" i="6"/>
  <c r="AN154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AJ155" i="6"/>
  <c r="AK155" i="6"/>
  <c r="AL155" i="6"/>
  <c r="AM155" i="6"/>
  <c r="AN155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AJ156" i="6"/>
  <c r="AK156" i="6"/>
  <c r="AL156" i="6"/>
  <c r="AM156" i="6"/>
  <c r="AN156" i="6"/>
  <c r="AI157" i="6"/>
  <c r="AK157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AJ158" i="6"/>
  <c r="AK158" i="6"/>
  <c r="AL158" i="6"/>
  <c r="AM158" i="6"/>
  <c r="AN158" i="6"/>
  <c r="AG159" i="6"/>
  <c r="AI159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AJ160" i="6"/>
  <c r="AK160" i="6"/>
  <c r="AL160" i="6"/>
  <c r="AM160" i="6"/>
  <c r="AN160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AJ161" i="6"/>
  <c r="AK161" i="6"/>
  <c r="AL161" i="6"/>
  <c r="AM161" i="6"/>
  <c r="AN161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AJ162" i="6"/>
  <c r="AK162" i="6"/>
  <c r="AL162" i="6"/>
  <c r="AM162" i="6"/>
  <c r="AN162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AJ163" i="6"/>
  <c r="AK163" i="6"/>
  <c r="AL163" i="6"/>
  <c r="AM163" i="6"/>
  <c r="AN163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AJ164" i="6"/>
  <c r="AK164" i="6"/>
  <c r="AL164" i="6"/>
  <c r="AM164" i="6"/>
  <c r="AN164" i="6"/>
  <c r="Y165" i="6"/>
  <c r="AA165" i="6"/>
  <c r="AC165" i="6"/>
  <c r="AB166" i="6"/>
  <c r="AD166" i="6"/>
  <c r="X167" i="6"/>
  <c r="Z167" i="6"/>
  <c r="AL167" i="6"/>
  <c r="AN167" i="6"/>
  <c r="Z168" i="6"/>
  <c r="AB168" i="6"/>
  <c r="AF168" i="6"/>
  <c r="AH169" i="6"/>
  <c r="AJ169" i="6"/>
  <c r="AL169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AJ170" i="6"/>
  <c r="AK170" i="6"/>
  <c r="AL170" i="6"/>
  <c r="AM170" i="6"/>
  <c r="AN170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AJ171" i="6"/>
  <c r="AK171" i="6"/>
  <c r="AL171" i="6"/>
  <c r="AM171" i="6"/>
  <c r="AN171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AJ172" i="6"/>
  <c r="AK172" i="6"/>
  <c r="AL172" i="6"/>
  <c r="AM172" i="6"/>
  <c r="AN172" i="6"/>
  <c r="AI173" i="6"/>
  <c r="AK173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AJ174" i="6"/>
  <c r="AK174" i="6"/>
  <c r="AL174" i="6"/>
  <c r="AM174" i="6"/>
  <c r="AN174" i="6"/>
  <c r="AG175" i="6"/>
  <c r="AI175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AJ176" i="6"/>
  <c r="AK176" i="6"/>
  <c r="AL176" i="6"/>
  <c r="AM176" i="6"/>
  <c r="AN176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AJ177" i="6"/>
  <c r="AK177" i="6"/>
  <c r="AL177" i="6"/>
  <c r="AM177" i="6"/>
  <c r="AN177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AJ178" i="6"/>
  <c r="AK178" i="6"/>
  <c r="AL178" i="6"/>
  <c r="AM178" i="6"/>
  <c r="AN178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AJ179" i="6"/>
  <c r="AK179" i="6"/>
  <c r="AL179" i="6"/>
  <c r="AM179" i="6"/>
  <c r="AN179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AJ180" i="6"/>
  <c r="AK180" i="6"/>
  <c r="AL180" i="6"/>
  <c r="AM180" i="6"/>
  <c r="AN180" i="6"/>
  <c r="X181" i="6"/>
  <c r="AJ181" i="6"/>
  <c r="AL181" i="6"/>
  <c r="AN181" i="6"/>
  <c r="Z182" i="6"/>
  <c r="AB182" i="6"/>
  <c r="AF182" i="6"/>
  <c r="AM182" i="6"/>
  <c r="AE183" i="6"/>
  <c r="AG183" i="6"/>
  <c r="AI183" i="6"/>
  <c r="X184" i="6"/>
  <c r="Z184" i="6"/>
  <c r="AD184" i="6"/>
  <c r="AK184" i="6"/>
  <c r="AL184" i="6"/>
  <c r="AN184" i="6"/>
  <c r="X185" i="6"/>
  <c r="Z185" i="6"/>
  <c r="AB185" i="6"/>
  <c r="AN185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AJ186" i="6"/>
  <c r="AK186" i="6"/>
  <c r="AL186" i="6"/>
  <c r="AM186" i="6"/>
  <c r="AN186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AJ187" i="6"/>
  <c r="AK187" i="6"/>
  <c r="AL187" i="6"/>
  <c r="AM187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AJ188" i="6"/>
  <c r="AK188" i="6"/>
  <c r="AL188" i="6"/>
  <c r="AM188" i="6"/>
  <c r="AN188" i="6"/>
  <c r="Z2" i="6"/>
  <c r="Y2" i="6"/>
  <c r="AA2" i="6"/>
  <c r="AB2" i="6"/>
  <c r="AC2" i="6"/>
  <c r="AD2" i="6"/>
  <c r="AE2" i="6"/>
  <c r="AF2" i="6"/>
  <c r="AG2" i="6"/>
  <c r="AH2" i="6"/>
  <c r="AI2" i="6"/>
  <c r="AJ2" i="6"/>
  <c r="AK2" i="6"/>
  <c r="AL2" i="6"/>
  <c r="AM2" i="6"/>
  <c r="AN2" i="6"/>
  <c r="X2" i="6"/>
  <c r="AA185" i="6" l="1"/>
  <c r="AH183" i="6"/>
  <c r="AM181" i="6"/>
  <c r="AK169" i="6"/>
  <c r="Y167" i="6"/>
  <c r="AB165" i="6"/>
  <c r="Z153" i="6"/>
  <c r="AC151" i="6"/>
  <c r="AF149" i="6"/>
  <c r="AD137" i="6"/>
  <c r="AG135" i="6"/>
  <c r="AJ133" i="6"/>
  <c r="AH121" i="6"/>
  <c r="AK119" i="6"/>
  <c r="AN117" i="6"/>
  <c r="X117" i="6"/>
  <c r="AK105" i="6"/>
  <c r="AN103" i="6"/>
  <c r="X103" i="6"/>
  <c r="AA101" i="6"/>
  <c r="Y89" i="6"/>
  <c r="AB87" i="6"/>
  <c r="AE85" i="6"/>
  <c r="Y69" i="6"/>
  <c r="AI57" i="6"/>
  <c r="AC55" i="6"/>
  <c r="AE53" i="6"/>
  <c r="AE41" i="6"/>
  <c r="Y39" i="6"/>
  <c r="AB37" i="6"/>
  <c r="AK25" i="6"/>
  <c r="AF23" i="6"/>
  <c r="AD21" i="6"/>
  <c r="X7" i="6"/>
  <c r="AA5" i="6"/>
  <c r="Y185" i="6"/>
  <c r="AF183" i="6"/>
  <c r="AK181" i="6"/>
  <c r="AI169" i="6"/>
  <c r="AM167" i="6"/>
  <c r="Z165" i="6"/>
  <c r="AN153" i="6"/>
  <c r="X153" i="6"/>
  <c r="AA151" i="6"/>
  <c r="AD149" i="6"/>
  <c r="AB137" i="6"/>
  <c r="AE135" i="6"/>
  <c r="AH133" i="6"/>
  <c r="AF121" i="6"/>
  <c r="AI119" i="6"/>
  <c r="AL117" i="6"/>
  <c r="AI105" i="6"/>
  <c r="AL103" i="6"/>
  <c r="Y101" i="6"/>
  <c r="AM89" i="6"/>
  <c r="Z87" i="6"/>
  <c r="AC85" i="6"/>
  <c r="AN71" i="6"/>
  <c r="AM69" i="6"/>
  <c r="AG57" i="6"/>
  <c r="Y55" i="6"/>
  <c r="AC53" i="6"/>
  <c r="AA41" i="6"/>
  <c r="AE38" i="6"/>
  <c r="Z37" i="6"/>
  <c r="AI32" i="6"/>
  <c r="AG25" i="6"/>
  <c r="AD23" i="6"/>
  <c r="AB21" i="6"/>
  <c r="AK9" i="6"/>
  <c r="AI6" i="6"/>
  <c r="Y5" i="6"/>
  <c r="AM185" i="6"/>
  <c r="AD183" i="6"/>
  <c r="AI181" i="6"/>
  <c r="AG169" i="6"/>
  <c r="AK167" i="6"/>
  <c r="AN165" i="6"/>
  <c r="X165" i="6"/>
  <c r="AL153" i="6"/>
  <c r="Y151" i="6"/>
  <c r="AB149" i="6"/>
  <c r="Z137" i="6"/>
  <c r="AC135" i="6"/>
  <c r="AF133" i="6"/>
  <c r="AD121" i="6"/>
  <c r="AG119" i="6"/>
  <c r="AJ117" i="6"/>
  <c r="AG105" i="6"/>
  <c r="AJ103" i="6"/>
  <c r="AM101" i="6"/>
  <c r="AK89" i="6"/>
  <c r="AN87" i="6"/>
  <c r="X87" i="6"/>
  <c r="AA85" i="6"/>
  <c r="AL73" i="6"/>
  <c r="AL71" i="6"/>
  <c r="AK69" i="6"/>
  <c r="AL64" i="6"/>
  <c r="AD57" i="6"/>
  <c r="AN54" i="6"/>
  <c r="AA53" i="6"/>
  <c r="AL48" i="6"/>
  <c r="Y41" i="6"/>
  <c r="AN37" i="6"/>
  <c r="X37" i="6"/>
  <c r="AG32" i="6"/>
  <c r="AE25" i="6"/>
  <c r="AK22" i="6"/>
  <c r="Z21" i="6"/>
  <c r="AG9" i="6"/>
  <c r="AM5" i="6"/>
  <c r="AN5" i="6"/>
  <c r="AL185" i="6"/>
  <c r="AC183" i="6"/>
  <c r="AH181" i="6"/>
  <c r="AF169" i="6"/>
  <c r="AJ167" i="6"/>
  <c r="AM165" i="6"/>
  <c r="AK153" i="6"/>
  <c r="AN151" i="6"/>
  <c r="X151" i="6"/>
  <c r="AA149" i="6"/>
  <c r="Y137" i="6"/>
  <c r="AB135" i="6"/>
  <c r="AE133" i="6"/>
  <c r="AC121" i="6"/>
  <c r="AF119" i="6"/>
  <c r="AI117" i="6"/>
  <c r="AF105" i="6"/>
  <c r="AI103" i="6"/>
  <c r="AL101" i="6"/>
  <c r="AJ89" i="6"/>
  <c r="AM87" i="6"/>
  <c r="Z85" i="6"/>
  <c r="AK73" i="6"/>
  <c r="AK71" i="6"/>
  <c r="AJ69" i="6"/>
  <c r="AK64" i="6"/>
  <c r="AA57" i="6"/>
  <c r="Z54" i="6"/>
  <c r="Z53" i="6"/>
  <c r="AK48" i="6"/>
  <c r="X41" i="6"/>
  <c r="AM37" i="6"/>
  <c r="AF32" i="6"/>
  <c r="AD25" i="6"/>
  <c r="AI22" i="6"/>
  <c r="Y21" i="6"/>
  <c r="AF9" i="6"/>
  <c r="AL5" i="6"/>
  <c r="AK185" i="6"/>
  <c r="AB183" i="6"/>
  <c r="AG181" i="6"/>
  <c r="AE169" i="6"/>
  <c r="AI167" i="6"/>
  <c r="AL165" i="6"/>
  <c r="AJ153" i="6"/>
  <c r="AM151" i="6"/>
  <c r="Z149" i="6"/>
  <c r="AN137" i="6"/>
  <c r="X137" i="6"/>
  <c r="AA135" i="6"/>
  <c r="AD133" i="6"/>
  <c r="AB121" i="6"/>
  <c r="AE119" i="6"/>
  <c r="AH117" i="6"/>
  <c r="AE105" i="6"/>
  <c r="AH103" i="6"/>
  <c r="AK101" i="6"/>
  <c r="AI89" i="6"/>
  <c r="AL87" i="6"/>
  <c r="Y85" i="6"/>
  <c r="AJ73" i="6"/>
  <c r="AJ71" i="6"/>
  <c r="AI69" i="6"/>
  <c r="AJ64" i="6"/>
  <c r="Z57" i="6"/>
  <c r="X54" i="6"/>
  <c r="Y53" i="6"/>
  <c r="AJ48" i="6"/>
  <c r="AC40" i="6"/>
  <c r="AL37" i="6"/>
  <c r="AE32" i="6"/>
  <c r="AC25" i="6"/>
  <c r="AN21" i="6"/>
  <c r="X21" i="6"/>
  <c r="AE9" i="6"/>
  <c r="AK5" i="6"/>
  <c r="AJ185" i="6"/>
  <c r="AA183" i="6"/>
  <c r="AF181" i="6"/>
  <c r="AD169" i="6"/>
  <c r="AH167" i="6"/>
  <c r="AK165" i="6"/>
  <c r="AI153" i="6"/>
  <c r="AL151" i="6"/>
  <c r="Y149" i="6"/>
  <c r="AM137" i="6"/>
  <c r="Z135" i="6"/>
  <c r="AC133" i="6"/>
  <c r="AA121" i="6"/>
  <c r="AD119" i="6"/>
  <c r="AG117" i="6"/>
  <c r="AD105" i="6"/>
  <c r="AG103" i="6"/>
  <c r="AJ101" i="6"/>
  <c r="AH89" i="6"/>
  <c r="AK87" i="6"/>
  <c r="AN85" i="6"/>
  <c r="X85" i="6"/>
  <c r="AC80" i="6"/>
  <c r="AI73" i="6"/>
  <c r="AI71" i="6"/>
  <c r="AH69" i="6"/>
  <c r="AI64" i="6"/>
  <c r="AN56" i="6"/>
  <c r="AN53" i="6"/>
  <c r="X53" i="6"/>
  <c r="AI48" i="6"/>
  <c r="AA40" i="6"/>
  <c r="AK37" i="6"/>
  <c r="AD32" i="6"/>
  <c r="AJ26" i="6"/>
  <c r="AB25" i="6"/>
  <c r="AM21" i="6"/>
  <c r="AH12" i="6"/>
  <c r="Z11" i="6"/>
  <c r="AD9" i="6"/>
  <c r="AJ5" i="6"/>
  <c r="X23" i="6"/>
  <c r="AI185" i="6"/>
  <c r="Z183" i="6"/>
  <c r="AE181" i="6"/>
  <c r="AC169" i="6"/>
  <c r="AG167" i="6"/>
  <c r="AJ165" i="6"/>
  <c r="AH153" i="6"/>
  <c r="AK151" i="6"/>
  <c r="AN149" i="6"/>
  <c r="X149" i="6"/>
  <c r="AL137" i="6"/>
  <c r="Y135" i="6"/>
  <c r="AB133" i="6"/>
  <c r="Z121" i="6"/>
  <c r="AC119" i="6"/>
  <c r="AF117" i="6"/>
  <c r="AC105" i="6"/>
  <c r="AF103" i="6"/>
  <c r="AI101" i="6"/>
  <c r="AG89" i="6"/>
  <c r="AJ87" i="6"/>
  <c r="AM85" i="6"/>
  <c r="AB80" i="6"/>
  <c r="AH73" i="6"/>
  <c r="AH71" i="6"/>
  <c r="AG69" i="6"/>
  <c r="AH64" i="6"/>
  <c r="AL56" i="6"/>
  <c r="AM53" i="6"/>
  <c r="AH48" i="6"/>
  <c r="AN39" i="6"/>
  <c r="AJ37" i="6"/>
  <c r="AC32" i="6"/>
  <c r="AG26" i="6"/>
  <c r="AI24" i="6"/>
  <c r="AL21" i="6"/>
  <c r="AN19" i="6"/>
  <c r="AE12" i="6"/>
  <c r="AK10" i="6"/>
  <c r="AC9" i="6"/>
  <c r="AI5" i="6"/>
  <c r="AA21" i="6"/>
  <c r="X5" i="6"/>
  <c r="AH185" i="6"/>
  <c r="Y183" i="6"/>
  <c r="AD181" i="6"/>
  <c r="AB169" i="6"/>
  <c r="AF167" i="6"/>
  <c r="AI165" i="6"/>
  <c r="AG153" i="6"/>
  <c r="AJ151" i="6"/>
  <c r="AM149" i="6"/>
  <c r="AK137" i="6"/>
  <c r="AN135" i="6"/>
  <c r="X135" i="6"/>
  <c r="AA133" i="6"/>
  <c r="Y121" i="6"/>
  <c r="AB119" i="6"/>
  <c r="AE117" i="6"/>
  <c r="AB105" i="6"/>
  <c r="AE103" i="6"/>
  <c r="AH101" i="6"/>
  <c r="AF89" i="6"/>
  <c r="AI87" i="6"/>
  <c r="AL85" i="6"/>
  <c r="AA80" i="6"/>
  <c r="AG73" i="6"/>
  <c r="AG71" i="6"/>
  <c r="AF69" i="6"/>
  <c r="AG64" i="6"/>
  <c r="X56" i="6"/>
  <c r="AL53" i="6"/>
  <c r="AG48" i="6"/>
  <c r="AH39" i="6"/>
  <c r="AI37" i="6"/>
  <c r="AB32" i="6"/>
  <c r="AF26" i="6"/>
  <c r="AG24" i="6"/>
  <c r="AK21" i="6"/>
  <c r="AM19" i="6"/>
  <c r="AD12" i="6"/>
  <c r="AJ10" i="6"/>
  <c r="AB9" i="6"/>
  <c r="AH5" i="6"/>
  <c r="AC181" i="6"/>
  <c r="AF153" i="6"/>
  <c r="AI151" i="6"/>
  <c r="AL149" i="6"/>
  <c r="AJ137" i="6"/>
  <c r="AM135" i="6"/>
  <c r="Z133" i="6"/>
  <c r="AN121" i="6"/>
  <c r="X121" i="6"/>
  <c r="AA119" i="6"/>
  <c r="AD117" i="6"/>
  <c r="AA105" i="6"/>
  <c r="AD103" i="6"/>
  <c r="AG101" i="6"/>
  <c r="AE89" i="6"/>
  <c r="AH87" i="6"/>
  <c r="AK85" i="6"/>
  <c r="AF73" i="6"/>
  <c r="AE71" i="6"/>
  <c r="AE69" i="6"/>
  <c r="AN55" i="6"/>
  <c r="AK53" i="6"/>
  <c r="AG39" i="6"/>
  <c r="AH37" i="6"/>
  <c r="AN23" i="6"/>
  <c r="AJ21" i="6"/>
  <c r="AN7" i="6"/>
  <c r="AG5" i="6"/>
  <c r="AN183" i="6"/>
  <c r="AF185" i="6"/>
  <c r="AM183" i="6"/>
  <c r="AB181" i="6"/>
  <c r="Z169" i="6"/>
  <c r="AD167" i="6"/>
  <c r="AG165" i="6"/>
  <c r="AE153" i="6"/>
  <c r="AH151" i="6"/>
  <c r="AK149" i="6"/>
  <c r="AI137" i="6"/>
  <c r="AL135" i="6"/>
  <c r="Y133" i="6"/>
  <c r="AM121" i="6"/>
  <c r="Z119" i="6"/>
  <c r="AC117" i="6"/>
  <c r="Z105" i="6"/>
  <c r="AC103" i="6"/>
  <c r="AF101" i="6"/>
  <c r="AD89" i="6"/>
  <c r="AG87" i="6"/>
  <c r="AJ85" i="6"/>
  <c r="Y80" i="6"/>
  <c r="AE73" i="6"/>
  <c r="AC71" i="6"/>
  <c r="AD69" i="6"/>
  <c r="AE64" i="6"/>
  <c r="AM55" i="6"/>
  <c r="AJ53" i="6"/>
  <c r="AE48" i="6"/>
  <c r="AJ43" i="6"/>
  <c r="X42" i="6"/>
  <c r="AD39" i="6"/>
  <c r="AG37" i="6"/>
  <c r="AE35" i="6"/>
  <c r="Z32" i="6"/>
  <c r="Z28" i="6"/>
  <c r="AD26" i="6"/>
  <c r="AM23" i="6"/>
  <c r="AI21" i="6"/>
  <c r="AK19" i="6"/>
  <c r="AB12" i="6"/>
  <c r="AF10" i="6"/>
  <c r="AJ7" i="6"/>
  <c r="AF5" i="6"/>
  <c r="AA169" i="6"/>
  <c r="AE185" i="6"/>
  <c r="AL183" i="6"/>
  <c r="AA181" i="6"/>
  <c r="Y169" i="6"/>
  <c r="AC167" i="6"/>
  <c r="AF165" i="6"/>
  <c r="AD153" i="6"/>
  <c r="AG151" i="6"/>
  <c r="AJ149" i="6"/>
  <c r="AH137" i="6"/>
  <c r="AK135" i="6"/>
  <c r="AN133" i="6"/>
  <c r="X133" i="6"/>
  <c r="AL121" i="6"/>
  <c r="Y119" i="6"/>
  <c r="AB117" i="6"/>
  <c r="Y105" i="6"/>
  <c r="AB103" i="6"/>
  <c r="AE101" i="6"/>
  <c r="AC89" i="6"/>
  <c r="AF87" i="6"/>
  <c r="AI85" i="6"/>
  <c r="AN80" i="6"/>
  <c r="X80" i="6"/>
  <c r="AC73" i="6"/>
  <c r="AB71" i="6"/>
  <c r="AC69" i="6"/>
  <c r="AD64" i="6"/>
  <c r="AM57" i="6"/>
  <c r="AL55" i="6"/>
  <c r="AI53" i="6"/>
  <c r="AD48" i="6"/>
  <c r="AD43" i="6"/>
  <c r="AN41" i="6"/>
  <c r="AC39" i="6"/>
  <c r="AF37" i="6"/>
  <c r="AD35" i="6"/>
  <c r="Y32" i="6"/>
  <c r="Y28" i="6"/>
  <c r="AC26" i="6"/>
  <c r="AJ23" i="6"/>
  <c r="AH21" i="6"/>
  <c r="AJ19" i="6"/>
  <c r="AH16" i="6"/>
  <c r="AA12" i="6"/>
  <c r="AE10" i="6"/>
  <c r="AI7" i="6"/>
  <c r="AE5" i="6"/>
  <c r="AG185" i="6"/>
  <c r="AE167" i="6"/>
  <c r="AD185" i="6"/>
  <c r="AK183" i="6"/>
  <c r="Z181" i="6"/>
  <c r="AN169" i="6"/>
  <c r="X169" i="6"/>
  <c r="AB167" i="6"/>
  <c r="AE165" i="6"/>
  <c r="AC153" i="6"/>
  <c r="AF151" i="6"/>
  <c r="AI149" i="6"/>
  <c r="AG137" i="6"/>
  <c r="AJ135" i="6"/>
  <c r="AM133" i="6"/>
  <c r="AK121" i="6"/>
  <c r="AN119" i="6"/>
  <c r="X119" i="6"/>
  <c r="AA117" i="6"/>
  <c r="AN105" i="6"/>
  <c r="X105" i="6"/>
  <c r="AA103" i="6"/>
  <c r="AD101" i="6"/>
  <c r="AB89" i="6"/>
  <c r="AE87" i="6"/>
  <c r="AH85" i="6"/>
  <c r="AA73" i="6"/>
  <c r="AA71" i="6"/>
  <c r="AB69" i="6"/>
  <c r="AC64" i="6"/>
  <c r="AL57" i="6"/>
  <c r="AK55" i="6"/>
  <c r="AH53" i="6"/>
  <c r="AC48" i="6"/>
  <c r="AM41" i="6"/>
  <c r="AB39" i="6"/>
  <c r="AE37" i="6"/>
  <c r="AN32" i="6"/>
  <c r="X32" i="6"/>
  <c r="AI23" i="6"/>
  <c r="AG21" i="6"/>
  <c r="AG16" i="6"/>
  <c r="AH7" i="6"/>
  <c r="AD5" i="6"/>
  <c r="X183" i="6"/>
  <c r="AH165" i="6"/>
  <c r="Z73" i="6"/>
  <c r="X71" i="6"/>
  <c r="AK57" i="6"/>
  <c r="AJ55" i="6"/>
  <c r="Z43" i="6"/>
  <c r="AL41" i="6"/>
  <c r="AA39" i="6"/>
  <c r="AB35" i="6"/>
  <c r="AI27" i="6"/>
  <c r="AA26" i="6"/>
  <c r="AH23" i="6"/>
  <c r="AH19" i="6"/>
  <c r="AF16" i="6"/>
  <c r="Y12" i="6"/>
  <c r="AC10" i="6"/>
  <c r="AG7" i="6"/>
  <c r="AD3" i="6"/>
  <c r="AI8" i="6"/>
  <c r="Y184" i="6"/>
  <c r="AA182" i="6"/>
  <c r="AA168" i="6"/>
  <c r="AC166" i="6"/>
  <c r="AC152" i="6"/>
  <c r="AE150" i="6"/>
  <c r="AE136" i="6"/>
  <c r="AG134" i="6"/>
  <c r="AG120" i="6"/>
  <c r="AI118" i="6"/>
  <c r="AH104" i="6"/>
  <c r="AJ102" i="6"/>
  <c r="AJ88" i="6"/>
  <c r="AL86" i="6"/>
  <c r="AL72" i="6"/>
  <c r="AN70" i="6"/>
  <c r="X70" i="6"/>
  <c r="AM56" i="6"/>
  <c r="Y54" i="6"/>
  <c r="AB40" i="6"/>
  <c r="AD38" i="6"/>
  <c r="AH24" i="6"/>
  <c r="AJ22" i="6"/>
  <c r="AH8" i="6"/>
  <c r="AJ6" i="6"/>
  <c r="AG8" i="6"/>
  <c r="AM184" i="6"/>
  <c r="Y182" i="6"/>
  <c r="Y168" i="6"/>
  <c r="AA166" i="6"/>
  <c r="AA152" i="6"/>
  <c r="AC150" i="6"/>
  <c r="AC136" i="6"/>
  <c r="AE134" i="6"/>
  <c r="AE120" i="6"/>
  <c r="AG118" i="6"/>
  <c r="AF104" i="6"/>
  <c r="AH102" i="6"/>
  <c r="AH88" i="6"/>
  <c r="AJ86" i="6"/>
  <c r="AJ72" i="6"/>
  <c r="AL70" i="6"/>
  <c r="AK56" i="6"/>
  <c r="AM54" i="6"/>
  <c r="Z40" i="6"/>
  <c r="AB38" i="6"/>
  <c r="AF24" i="6"/>
  <c r="AH22" i="6"/>
  <c r="AF8" i="6"/>
  <c r="AH6" i="6"/>
  <c r="AN182" i="6"/>
  <c r="X182" i="6"/>
  <c r="AN168" i="6"/>
  <c r="X168" i="6"/>
  <c r="Z166" i="6"/>
  <c r="Z152" i="6"/>
  <c r="AB150" i="6"/>
  <c r="AB136" i="6"/>
  <c r="AD134" i="6"/>
  <c r="AD120" i="6"/>
  <c r="AF118" i="6"/>
  <c r="AE104" i="6"/>
  <c r="AG102" i="6"/>
  <c r="AG88" i="6"/>
  <c r="AI86" i="6"/>
  <c r="AI72" i="6"/>
  <c r="AK70" i="6"/>
  <c r="AJ56" i="6"/>
  <c r="AL54" i="6"/>
  <c r="Y40" i="6"/>
  <c r="AA38" i="6"/>
  <c r="AE24" i="6"/>
  <c r="AG22" i="6"/>
  <c r="AE8" i="6"/>
  <c r="AF7" i="6"/>
  <c r="AG6" i="6"/>
  <c r="AM168" i="6"/>
  <c r="Y166" i="6"/>
  <c r="Y152" i="6"/>
  <c r="AA150" i="6"/>
  <c r="AA136" i="6"/>
  <c r="AC134" i="6"/>
  <c r="AC120" i="6"/>
  <c r="AE118" i="6"/>
  <c r="AD104" i="6"/>
  <c r="AF102" i="6"/>
  <c r="AF88" i="6"/>
  <c r="AH86" i="6"/>
  <c r="AH72" i="6"/>
  <c r="AJ70" i="6"/>
  <c r="AI56" i="6"/>
  <c r="AK54" i="6"/>
  <c r="AN40" i="6"/>
  <c r="X40" i="6"/>
  <c r="Z38" i="6"/>
  <c r="AD24" i="6"/>
  <c r="AF22" i="6"/>
  <c r="AD8" i="6"/>
  <c r="AF6" i="6"/>
  <c r="X166" i="6"/>
  <c r="AN152" i="6"/>
  <c r="Z150" i="6"/>
  <c r="Z136" i="6"/>
  <c r="AB134" i="6"/>
  <c r="AB120" i="6"/>
  <c r="AD118" i="6"/>
  <c r="AC104" i="6"/>
  <c r="AE102" i="6"/>
  <c r="AE88" i="6"/>
  <c r="AG86" i="6"/>
  <c r="AG72" i="6"/>
  <c r="AI70" i="6"/>
  <c r="AH56" i="6"/>
  <c r="AJ54" i="6"/>
  <c r="AM40" i="6"/>
  <c r="Y38" i="6"/>
  <c r="AC24" i="6"/>
  <c r="AE22" i="6"/>
  <c r="AC8" i="6"/>
  <c r="AD7" i="6"/>
  <c r="AE6" i="6"/>
  <c r="AJ184" i="6"/>
  <c r="X152" i="6"/>
  <c r="AI184" i="6"/>
  <c r="AK182" i="6"/>
  <c r="AK168" i="6"/>
  <c r="AM166" i="6"/>
  <c r="AM152" i="6"/>
  <c r="Y150" i="6"/>
  <c r="Y136" i="6"/>
  <c r="AA134" i="6"/>
  <c r="AA120" i="6"/>
  <c r="AC118" i="6"/>
  <c r="AB104" i="6"/>
  <c r="AD102" i="6"/>
  <c r="AD88" i="6"/>
  <c r="AF86" i="6"/>
  <c r="AF72" i="6"/>
  <c r="AH70" i="6"/>
  <c r="AG56" i="6"/>
  <c r="AH55" i="6"/>
  <c r="AI54" i="6"/>
  <c r="AI43" i="6"/>
  <c r="AK41" i="6"/>
  <c r="AL40" i="6"/>
  <c r="AM39" i="6"/>
  <c r="AN38" i="6"/>
  <c r="X38" i="6"/>
  <c r="AB34" i="6"/>
  <c r="AN28" i="6"/>
  <c r="X28" i="6"/>
  <c r="Y27" i="6"/>
  <c r="Z26" i="6"/>
  <c r="AA25" i="6"/>
  <c r="AB24" i="6"/>
  <c r="AC23" i="6"/>
  <c r="AD22" i="6"/>
  <c r="AG19" i="6"/>
  <c r="AN12" i="6"/>
  <c r="X12" i="6"/>
  <c r="Y11" i="6"/>
  <c r="Z10" i="6"/>
  <c r="AA9" i="6"/>
  <c r="AB8" i="6"/>
  <c r="AC7" i="6"/>
  <c r="AD6" i="6"/>
  <c r="AL168" i="6"/>
  <c r="AN166" i="6"/>
  <c r="AH184" i="6"/>
  <c r="AJ182" i="6"/>
  <c r="AJ168" i="6"/>
  <c r="AL166" i="6"/>
  <c r="AL152" i="6"/>
  <c r="AN150" i="6"/>
  <c r="X150" i="6"/>
  <c r="AN136" i="6"/>
  <c r="X136" i="6"/>
  <c r="Z134" i="6"/>
  <c r="Z120" i="6"/>
  <c r="AB118" i="6"/>
  <c r="AA104" i="6"/>
  <c r="AC102" i="6"/>
  <c r="AC88" i="6"/>
  <c r="AE86" i="6"/>
  <c r="AB75" i="6"/>
  <c r="AD73" i="6"/>
  <c r="AE72" i="6"/>
  <c r="AF71" i="6"/>
  <c r="AG70" i="6"/>
  <c r="AK66" i="6"/>
  <c r="AB60" i="6"/>
  <c r="AC59" i="6"/>
  <c r="AD58" i="6"/>
  <c r="AE57" i="6"/>
  <c r="AF56" i="6"/>
  <c r="AG55" i="6"/>
  <c r="AH54" i="6"/>
  <c r="AK51" i="6"/>
  <c r="AL50" i="6"/>
  <c r="AG44" i="6"/>
  <c r="AH43" i="6"/>
  <c r="AI42" i="6"/>
  <c r="AJ41" i="6"/>
  <c r="AK40" i="6"/>
  <c r="AL39" i="6"/>
  <c r="AM38" i="6"/>
  <c r="Z35" i="6"/>
  <c r="AA34" i="6"/>
  <c r="AM28" i="6"/>
  <c r="AN27" i="6"/>
  <c r="X27" i="6"/>
  <c r="Y26" i="6"/>
  <c r="Z25" i="6"/>
  <c r="AA24" i="6"/>
  <c r="AB23" i="6"/>
  <c r="AC22" i="6"/>
  <c r="AF19" i="6"/>
  <c r="AM12" i="6"/>
  <c r="AN11" i="6"/>
  <c r="X11" i="6"/>
  <c r="Y10" i="6"/>
  <c r="Z9" i="6"/>
  <c r="AA8" i="6"/>
  <c r="AB7" i="6"/>
  <c r="AC6" i="6"/>
  <c r="AK152" i="6"/>
  <c r="AM150" i="6"/>
  <c r="AM136" i="6"/>
  <c r="Y134" i="6"/>
  <c r="Y120" i="6"/>
  <c r="AA118" i="6"/>
  <c r="Z104" i="6"/>
  <c r="AB102" i="6"/>
  <c r="AB88" i="6"/>
  <c r="AD86" i="6"/>
  <c r="AD72" i="6"/>
  <c r="AF70" i="6"/>
  <c r="AE56" i="6"/>
  <c r="AF55" i="6"/>
  <c r="AG54" i="6"/>
  <c r="AK50" i="6"/>
  <c r="AG43" i="6"/>
  <c r="AH42" i="6"/>
  <c r="AI41" i="6"/>
  <c r="AJ40" i="6"/>
  <c r="AK39" i="6"/>
  <c r="AL38" i="6"/>
  <c r="Y35" i="6"/>
  <c r="Z34" i="6"/>
  <c r="AL28" i="6"/>
  <c r="AM27" i="6"/>
  <c r="AN26" i="6"/>
  <c r="X26" i="6"/>
  <c r="Y25" i="6"/>
  <c r="Z24" i="6"/>
  <c r="AA23" i="6"/>
  <c r="AB22" i="6"/>
  <c r="AE19" i="6"/>
  <c r="AL12" i="6"/>
  <c r="AM11" i="6"/>
  <c r="AN10" i="6"/>
  <c r="X10" i="6"/>
  <c r="Y9" i="6"/>
  <c r="Z8" i="6"/>
  <c r="AA7" i="6"/>
  <c r="AB6" i="6"/>
  <c r="AN3" i="6"/>
  <c r="AL182" i="6"/>
  <c r="AG184" i="6"/>
  <c r="AI182" i="6"/>
  <c r="AI168" i="6"/>
  <c r="AK166" i="6"/>
  <c r="AF184" i="6"/>
  <c r="AH182" i="6"/>
  <c r="AH168" i="6"/>
  <c r="AJ166" i="6"/>
  <c r="AJ152" i="6"/>
  <c r="AL150" i="6"/>
  <c r="AL136" i="6"/>
  <c r="AN134" i="6"/>
  <c r="X134" i="6"/>
  <c r="AN120" i="6"/>
  <c r="X120" i="6"/>
  <c r="Z118" i="6"/>
  <c r="Y104" i="6"/>
  <c r="AA102" i="6"/>
  <c r="AA88" i="6"/>
  <c r="AC86" i="6"/>
  <c r="AB73" i="6"/>
  <c r="AC72" i="6"/>
  <c r="AD71" i="6"/>
  <c r="AE70" i="6"/>
  <c r="AI66" i="6"/>
  <c r="Z60" i="6"/>
  <c r="AA59" i="6"/>
  <c r="AB58" i="6"/>
  <c r="AC57" i="6"/>
  <c r="AD56" i="6"/>
  <c r="AE55" i="6"/>
  <c r="AF54" i="6"/>
  <c r="AI51" i="6"/>
  <c r="AJ50" i="6"/>
  <c r="AE44" i="6"/>
  <c r="AF43" i="6"/>
  <c r="AG42" i="6"/>
  <c r="AH41" i="6"/>
  <c r="AI40" i="6"/>
  <c r="AJ39" i="6"/>
  <c r="AK38" i="6"/>
  <c r="AN35" i="6"/>
  <c r="X35" i="6"/>
  <c r="Y34" i="6"/>
  <c r="AK28" i="6"/>
  <c r="AL27" i="6"/>
  <c r="AM26" i="6"/>
  <c r="AN25" i="6"/>
  <c r="X25" i="6"/>
  <c r="Y24" i="6"/>
  <c r="Z23" i="6"/>
  <c r="AA22" i="6"/>
  <c r="AD19" i="6"/>
  <c r="AK12" i="6"/>
  <c r="AL11" i="6"/>
  <c r="AM10" i="6"/>
  <c r="AN9" i="6"/>
  <c r="X9" i="6"/>
  <c r="Y8" i="6"/>
  <c r="Z7" i="6"/>
  <c r="AA6" i="6"/>
  <c r="AF3" i="6"/>
  <c r="AE184" i="6"/>
  <c r="AG182" i="6"/>
  <c r="AG168" i="6"/>
  <c r="AI166" i="6"/>
  <c r="AI152" i="6"/>
  <c r="AK150" i="6"/>
  <c r="AK136" i="6"/>
  <c r="AM134" i="6"/>
  <c r="AM120" i="6"/>
  <c r="Y118" i="6"/>
  <c r="AN104" i="6"/>
  <c r="X104" i="6"/>
  <c r="Z102" i="6"/>
  <c r="Z88" i="6"/>
  <c r="AB86" i="6"/>
  <c r="AB72" i="6"/>
  <c r="AD70" i="6"/>
  <c r="Z59" i="6"/>
  <c r="AB57" i="6"/>
  <c r="AC56" i="6"/>
  <c r="AD55" i="6"/>
  <c r="AE54" i="6"/>
  <c r="AI50" i="6"/>
  <c r="AD44" i="6"/>
  <c r="AE43" i="6"/>
  <c r="AF42" i="6"/>
  <c r="AG41" i="6"/>
  <c r="AH40" i="6"/>
  <c r="AI39" i="6"/>
  <c r="AJ38" i="6"/>
  <c r="AM35" i="6"/>
  <c r="AN34" i="6"/>
  <c r="X34" i="6"/>
  <c r="AJ28" i="6"/>
  <c r="AK27" i="6"/>
  <c r="AL26" i="6"/>
  <c r="AM25" i="6"/>
  <c r="AN24" i="6"/>
  <c r="X24" i="6"/>
  <c r="Y23" i="6"/>
  <c r="Z22" i="6"/>
  <c r="AC19" i="6"/>
  <c r="AJ12" i="6"/>
  <c r="AK11" i="6"/>
  <c r="AL10" i="6"/>
  <c r="AM9" i="6"/>
  <c r="AN8" i="6"/>
  <c r="X8" i="6"/>
  <c r="Y7" i="6"/>
  <c r="Z6" i="6"/>
  <c r="AE3" i="6"/>
  <c r="AH152" i="6"/>
  <c r="AJ150" i="6"/>
  <c r="AJ136" i="6"/>
  <c r="AL134" i="6"/>
  <c r="AL120" i="6"/>
  <c r="AN118" i="6"/>
  <c r="X118" i="6"/>
  <c r="AM104" i="6"/>
  <c r="Y102" i="6"/>
  <c r="Y88" i="6"/>
  <c r="AA86" i="6"/>
  <c r="AA72" i="6"/>
  <c r="AC70" i="6"/>
  <c r="AB56" i="6"/>
  <c r="AD54" i="6"/>
  <c r="AG40" i="6"/>
  <c r="AI38" i="6"/>
  <c r="AM24" i="6"/>
  <c r="Y22" i="6"/>
  <c r="AM8" i="6"/>
  <c r="Y6" i="6"/>
  <c r="AG152" i="6"/>
  <c r="AI150" i="6"/>
  <c r="AI136" i="6"/>
  <c r="AK134" i="6"/>
  <c r="AK120" i="6"/>
  <c r="AM118" i="6"/>
  <c r="AL104" i="6"/>
  <c r="AN102" i="6"/>
  <c r="X102" i="6"/>
  <c r="AN88" i="6"/>
  <c r="X88" i="6"/>
  <c r="Z86" i="6"/>
  <c r="Z72" i="6"/>
  <c r="AB70" i="6"/>
  <c r="AA56" i="6"/>
  <c r="AC54" i="6"/>
  <c r="AF40" i="6"/>
  <c r="AH38" i="6"/>
  <c r="AL24" i="6"/>
  <c r="AN22" i="6"/>
  <c r="X22" i="6"/>
  <c r="AL8" i="6"/>
  <c r="AM7" i="6"/>
  <c r="AN6" i="6"/>
  <c r="X6" i="6"/>
  <c r="AH166" i="6"/>
  <c r="AC184" i="6"/>
  <c r="AE182" i="6"/>
  <c r="AE168" i="6"/>
  <c r="AG166" i="6"/>
  <c r="AB184" i="6"/>
  <c r="AD182" i="6"/>
  <c r="AD168" i="6"/>
  <c r="AF166" i="6"/>
  <c r="AF152" i="6"/>
  <c r="AH150" i="6"/>
  <c r="AH136" i="6"/>
  <c r="AJ134" i="6"/>
  <c r="AJ120" i="6"/>
  <c r="AL118" i="6"/>
  <c r="AK104" i="6"/>
  <c r="AM102" i="6"/>
  <c r="AM88" i="6"/>
  <c r="Y86" i="6"/>
  <c r="AN73" i="6"/>
  <c r="Y72" i="6"/>
  <c r="Z71" i="6"/>
  <c r="AA70" i="6"/>
  <c r="AE66" i="6"/>
  <c r="AL60" i="6"/>
  <c r="AM59" i="6"/>
  <c r="AN58" i="6"/>
  <c r="X58" i="6"/>
  <c r="Y57" i="6"/>
  <c r="Z56" i="6"/>
  <c r="AA55" i="6"/>
  <c r="AB54" i="6"/>
  <c r="AE51" i="6"/>
  <c r="AF50" i="6"/>
  <c r="AA44" i="6"/>
  <c r="AB43" i="6"/>
  <c r="AC42" i="6"/>
  <c r="AD41" i="6"/>
  <c r="AE40" i="6"/>
  <c r="AF39" i="6"/>
  <c r="AG38" i="6"/>
  <c r="AJ35" i="6"/>
  <c r="AK34" i="6"/>
  <c r="AG28" i="6"/>
  <c r="AH27" i="6"/>
  <c r="AI26" i="6"/>
  <c r="AJ25" i="6"/>
  <c r="AK24" i="6"/>
  <c r="AL23" i="6"/>
  <c r="AM22" i="6"/>
  <c r="Z19" i="6"/>
  <c r="AE16" i="6"/>
  <c r="AG12" i="6"/>
  <c r="AH11" i="6"/>
  <c r="AI10" i="6"/>
  <c r="AJ9" i="6"/>
  <c r="AK8" i="6"/>
  <c r="AL7" i="6"/>
  <c r="AM6" i="6"/>
  <c r="AB3" i="6"/>
  <c r="AN86" i="6"/>
  <c r="AN72" i="6"/>
  <c r="AN57" i="6"/>
  <c r="AD16" i="6"/>
  <c r="AA3" i="6"/>
  <c r="AH175" i="6"/>
  <c r="AJ173" i="6"/>
  <c r="AH159" i="6"/>
  <c r="AJ157" i="6"/>
  <c r="AH143" i="6"/>
  <c r="AJ141" i="6"/>
  <c r="AH127" i="6"/>
  <c r="AJ125" i="6"/>
  <c r="AH111" i="6"/>
  <c r="AJ109" i="6"/>
  <c r="AH95" i="6"/>
  <c r="AJ93" i="6"/>
  <c r="AH79" i="6"/>
  <c r="AJ77" i="6"/>
  <c r="AH63" i="6"/>
  <c r="AJ61" i="6"/>
  <c r="AH47" i="6"/>
  <c r="AJ45" i="6"/>
  <c r="AH31" i="6"/>
  <c r="AJ29" i="6"/>
  <c r="AH15" i="6"/>
  <c r="AC13" i="6"/>
  <c r="AF175" i="6"/>
  <c r="AH173" i="6"/>
  <c r="AF159" i="6"/>
  <c r="AH157" i="6"/>
  <c r="AF143" i="6"/>
  <c r="AH141" i="6"/>
  <c r="AF127" i="6"/>
  <c r="AH125" i="6"/>
  <c r="AF111" i="6"/>
  <c r="AH109" i="6"/>
  <c r="AF95" i="6"/>
  <c r="AH93" i="6"/>
  <c r="AF79" i="6"/>
  <c r="AH77" i="6"/>
  <c r="AF63" i="6"/>
  <c r="AH61" i="6"/>
  <c r="AF47" i="6"/>
  <c r="AH45" i="6"/>
  <c r="AD33" i="6"/>
  <c r="AF31" i="6"/>
  <c r="AG30" i="6"/>
  <c r="AH29" i="6"/>
  <c r="AD17" i="6"/>
  <c r="AF15" i="6"/>
  <c r="AG14" i="6"/>
  <c r="AA13" i="6"/>
  <c r="AE175" i="6"/>
  <c r="AG173" i="6"/>
  <c r="AE159" i="6"/>
  <c r="AG157" i="6"/>
  <c r="AE143" i="6"/>
  <c r="AG141" i="6"/>
  <c r="AE127" i="6"/>
  <c r="AG125" i="6"/>
  <c r="AE111" i="6"/>
  <c r="AG109" i="6"/>
  <c r="AE95" i="6"/>
  <c r="AG93" i="6"/>
  <c r="AE79" i="6"/>
  <c r="AG77" i="6"/>
  <c r="AE63" i="6"/>
  <c r="AG61" i="6"/>
  <c r="AE47" i="6"/>
  <c r="AG45" i="6"/>
  <c r="AE31" i="6"/>
  <c r="AG29" i="6"/>
  <c r="AE15" i="6"/>
  <c r="Z13" i="6"/>
  <c r="AD175" i="6"/>
  <c r="AF173" i="6"/>
  <c r="AD159" i="6"/>
  <c r="AF157" i="6"/>
  <c r="AD143" i="6"/>
  <c r="AF141" i="6"/>
  <c r="AD127" i="6"/>
  <c r="AF125" i="6"/>
  <c r="AD111" i="6"/>
  <c r="AF109" i="6"/>
  <c r="AD95" i="6"/>
  <c r="AF93" i="6"/>
  <c r="AD79" i="6"/>
  <c r="AF77" i="6"/>
  <c r="AD63" i="6"/>
  <c r="AF61" i="6"/>
  <c r="AD47" i="6"/>
  <c r="AE46" i="6"/>
  <c r="AF45" i="6"/>
  <c r="AB33" i="6"/>
  <c r="AD31" i="6"/>
  <c r="AE30" i="6"/>
  <c r="AF29" i="6"/>
  <c r="AB17" i="6"/>
  <c r="AD15" i="6"/>
  <c r="AE14" i="6"/>
  <c r="Y13" i="6"/>
  <c r="AC175" i="6"/>
  <c r="AE173" i="6"/>
  <c r="AC159" i="6"/>
  <c r="AE157" i="6"/>
  <c r="AC143" i="6"/>
  <c r="AE141" i="6"/>
  <c r="AC127" i="6"/>
  <c r="AE125" i="6"/>
  <c r="AC111" i="6"/>
  <c r="AE109" i="6"/>
  <c r="AC95" i="6"/>
  <c r="AE93" i="6"/>
  <c r="AC79" i="6"/>
  <c r="AE77" i="6"/>
  <c r="AC63" i="6"/>
  <c r="AE61" i="6"/>
  <c r="AC47" i="6"/>
  <c r="AD46" i="6"/>
  <c r="AE45" i="6"/>
  <c r="AA33" i="6"/>
  <c r="AC31" i="6"/>
  <c r="AD30" i="6"/>
  <c r="AE29" i="6"/>
  <c r="Z18" i="6"/>
  <c r="AA17" i="6"/>
  <c r="AB16" i="6"/>
  <c r="AC15" i="6"/>
  <c r="AD14" i="6"/>
  <c r="X13" i="6"/>
  <c r="AG31" i="6"/>
  <c r="AB175" i="6"/>
  <c r="AD173" i="6"/>
  <c r="AB159" i="6"/>
  <c r="AD157" i="6"/>
  <c r="AB143" i="6"/>
  <c r="AD141" i="6"/>
  <c r="AB127" i="6"/>
  <c r="AD125" i="6"/>
  <c r="AB111" i="6"/>
  <c r="AD109" i="6"/>
  <c r="AB95" i="6"/>
  <c r="AD93" i="6"/>
  <c r="AB79" i="6"/>
  <c r="AD77" i="6"/>
  <c r="AB63" i="6"/>
  <c r="AD61" i="6"/>
  <c r="AB47" i="6"/>
  <c r="AC46" i="6"/>
  <c r="AD45" i="6"/>
  <c r="Z33" i="6"/>
  <c r="AB31" i="6"/>
  <c r="AC30" i="6"/>
  <c r="AD29" i="6"/>
  <c r="Y18" i="6"/>
  <c r="Z17" i="6"/>
  <c r="AA16" i="6"/>
  <c r="AB15" i="6"/>
  <c r="AC14" i="6"/>
  <c r="Z3" i="6"/>
  <c r="AA175" i="6"/>
  <c r="AC173" i="6"/>
  <c r="AA159" i="6"/>
  <c r="AC157" i="6"/>
  <c r="AA143" i="6"/>
  <c r="AC141" i="6"/>
  <c r="AA127" i="6"/>
  <c r="AC125" i="6"/>
  <c r="AA111" i="6"/>
  <c r="AC109" i="6"/>
  <c r="AA95" i="6"/>
  <c r="AC93" i="6"/>
  <c r="AA79" i="6"/>
  <c r="AC77" i="6"/>
  <c r="AA63" i="6"/>
  <c r="AC61" i="6"/>
  <c r="AA47" i="6"/>
  <c r="AB46" i="6"/>
  <c r="AC45" i="6"/>
  <c r="Y33" i="6"/>
  <c r="AA31" i="6"/>
  <c r="AB30" i="6"/>
  <c r="AC29" i="6"/>
  <c r="AN18" i="6"/>
  <c r="X18" i="6"/>
  <c r="Y17" i="6"/>
  <c r="Z16" i="6"/>
  <c r="AA15" i="6"/>
  <c r="AB14" i="6"/>
  <c r="Y3" i="6"/>
  <c r="AI61" i="6"/>
  <c r="AB13" i="6"/>
  <c r="Z175" i="6"/>
  <c r="AB173" i="6"/>
  <c r="Z159" i="6"/>
  <c r="AB157" i="6"/>
  <c r="Z143" i="6"/>
  <c r="AB141" i="6"/>
  <c r="Z127" i="6"/>
  <c r="AB125" i="6"/>
  <c r="Z111" i="6"/>
  <c r="AB109" i="6"/>
  <c r="Z95" i="6"/>
  <c r="AB93" i="6"/>
  <c r="Z79" i="6"/>
  <c r="AB77" i="6"/>
  <c r="Z63" i="6"/>
  <c r="AB61" i="6"/>
  <c r="Z47" i="6"/>
  <c r="AA46" i="6"/>
  <c r="AB45" i="6"/>
  <c r="AN33" i="6"/>
  <c r="X33" i="6"/>
  <c r="Z31" i="6"/>
  <c r="AA30" i="6"/>
  <c r="AB29" i="6"/>
  <c r="AM18" i="6"/>
  <c r="AN17" i="6"/>
  <c r="X17" i="6"/>
  <c r="Y16" i="6"/>
  <c r="Z15" i="6"/>
  <c r="AA14" i="6"/>
  <c r="AD4" i="6"/>
  <c r="Y175" i="6"/>
  <c r="AA173" i="6"/>
  <c r="Y159" i="6"/>
  <c r="AA157" i="6"/>
  <c r="Y143" i="6"/>
  <c r="AA141" i="6"/>
  <c r="Y127" i="6"/>
  <c r="AA125" i="6"/>
  <c r="Y111" i="6"/>
  <c r="AA109" i="6"/>
  <c r="Y95" i="6"/>
  <c r="AA93" i="6"/>
  <c r="Y79" i="6"/>
  <c r="AA77" i="6"/>
  <c r="Y63" i="6"/>
  <c r="AA61" i="6"/>
  <c r="Y47" i="6"/>
  <c r="Z46" i="6"/>
  <c r="AA45" i="6"/>
  <c r="AM33" i="6"/>
  <c r="Y31" i="6"/>
  <c r="Z30" i="6"/>
  <c r="AA29" i="6"/>
  <c r="AL18" i="6"/>
  <c r="AM17" i="6"/>
  <c r="AN16" i="6"/>
  <c r="X16" i="6"/>
  <c r="Y15" i="6"/>
  <c r="Z14" i="6"/>
  <c r="AC4" i="6"/>
  <c r="AN175" i="6"/>
  <c r="X175" i="6"/>
  <c r="Z173" i="6"/>
  <c r="AN159" i="6"/>
  <c r="X159" i="6"/>
  <c r="Z157" i="6"/>
  <c r="AN143" i="6"/>
  <c r="X143" i="6"/>
  <c r="Z141" i="6"/>
  <c r="AN127" i="6"/>
  <c r="X127" i="6"/>
  <c r="Z125" i="6"/>
  <c r="AN111" i="6"/>
  <c r="X111" i="6"/>
  <c r="Z109" i="6"/>
  <c r="AN95" i="6"/>
  <c r="X95" i="6"/>
  <c r="Z93" i="6"/>
  <c r="AN79" i="6"/>
  <c r="X79" i="6"/>
  <c r="Z77" i="6"/>
  <c r="AN63" i="6"/>
  <c r="X63" i="6"/>
  <c r="Z61" i="6"/>
  <c r="AN47" i="6"/>
  <c r="X47" i="6"/>
  <c r="Y46" i="6"/>
  <c r="Z45" i="6"/>
  <c r="AL33" i="6"/>
  <c r="AN31" i="6"/>
  <c r="X31" i="6"/>
  <c r="Y30" i="6"/>
  <c r="Z29" i="6"/>
  <c r="AK18" i="6"/>
  <c r="AL17" i="6"/>
  <c r="AM16" i="6"/>
  <c r="AN15" i="6"/>
  <c r="X15" i="6"/>
  <c r="Y14" i="6"/>
  <c r="AB4" i="6"/>
  <c r="AG111" i="6"/>
  <c r="AI45" i="6"/>
  <c r="AI29" i="6"/>
  <c r="AM175" i="6"/>
  <c r="Y173" i="6"/>
  <c r="AM159" i="6"/>
  <c r="Y157" i="6"/>
  <c r="AM143" i="6"/>
  <c r="Y141" i="6"/>
  <c r="AM127" i="6"/>
  <c r="Y125" i="6"/>
  <c r="AM111" i="6"/>
  <c r="Y109" i="6"/>
  <c r="AM95" i="6"/>
  <c r="Y93" i="6"/>
  <c r="AM79" i="6"/>
  <c r="Y77" i="6"/>
  <c r="AM63" i="6"/>
  <c r="Y61" i="6"/>
  <c r="AM47" i="6"/>
  <c r="AN46" i="6"/>
  <c r="X46" i="6"/>
  <c r="Y45" i="6"/>
  <c r="AK33" i="6"/>
  <c r="AM31" i="6"/>
  <c r="AN30" i="6"/>
  <c r="X30" i="6"/>
  <c r="Y29" i="6"/>
  <c r="AJ18" i="6"/>
  <c r="AK17" i="6"/>
  <c r="AL16" i="6"/>
  <c r="AM15" i="6"/>
  <c r="AN14" i="6"/>
  <c r="X14" i="6"/>
  <c r="AA4" i="6"/>
  <c r="AL175" i="6"/>
  <c r="AN173" i="6"/>
  <c r="X173" i="6"/>
  <c r="AL159" i="6"/>
  <c r="AN157" i="6"/>
  <c r="X157" i="6"/>
  <c r="AL143" i="6"/>
  <c r="AN141" i="6"/>
  <c r="X141" i="6"/>
  <c r="AL127" i="6"/>
  <c r="AN125" i="6"/>
  <c r="X125" i="6"/>
  <c r="AL111" i="6"/>
  <c r="AN109" i="6"/>
  <c r="X109" i="6"/>
  <c r="AL95" i="6"/>
  <c r="AN93" i="6"/>
  <c r="X93" i="6"/>
  <c r="AL79" i="6"/>
  <c r="AN77" i="6"/>
  <c r="X77" i="6"/>
  <c r="AL63" i="6"/>
  <c r="AN61" i="6"/>
  <c r="X61" i="6"/>
  <c r="AL47" i="6"/>
  <c r="AM46" i="6"/>
  <c r="AN45" i="6"/>
  <c r="X45" i="6"/>
  <c r="AJ33" i="6"/>
  <c r="AL31" i="6"/>
  <c r="AM30" i="6"/>
  <c r="AN29" i="6"/>
  <c r="X29" i="6"/>
  <c r="AI18" i="6"/>
  <c r="AJ17" i="6"/>
  <c r="AK16" i="6"/>
  <c r="AL15" i="6"/>
  <c r="AM14" i="6"/>
  <c r="AN13" i="6"/>
  <c r="Z4" i="6"/>
  <c r="AG15" i="6"/>
  <c r="AK175" i="6"/>
  <c r="AM173" i="6"/>
  <c r="AK159" i="6"/>
  <c r="AM157" i="6"/>
  <c r="AK143" i="6"/>
  <c r="AM141" i="6"/>
  <c r="AK127" i="6"/>
  <c r="AM125" i="6"/>
  <c r="AK111" i="6"/>
  <c r="AM109" i="6"/>
  <c r="AK95" i="6"/>
  <c r="AM93" i="6"/>
  <c r="AK79" i="6"/>
  <c r="AM77" i="6"/>
  <c r="AK63" i="6"/>
  <c r="AM61" i="6"/>
  <c r="AK47" i="6"/>
  <c r="AL46" i="6"/>
  <c r="AM45" i="6"/>
  <c r="AI33" i="6"/>
  <c r="AK31" i="6"/>
  <c r="AL30" i="6"/>
  <c r="AM29" i="6"/>
  <c r="AH18" i="6"/>
  <c r="AI17" i="6"/>
  <c r="AJ16" i="6"/>
  <c r="AK15" i="6"/>
  <c r="AL14" i="6"/>
  <c r="AM13" i="6"/>
  <c r="Y4" i="6"/>
  <c r="AL13" i="6"/>
  <c r="AK13" i="6"/>
  <c r="AJ13" i="6"/>
  <c r="AI13" i="6"/>
  <c r="AH13" i="6"/>
  <c r="AG13" i="6"/>
  <c r="AF13" i="6"/>
  <c r="X3" i="6"/>
  <c r="AM3" i="6"/>
  <c r="AL3" i="6"/>
  <c r="AK3" i="6"/>
  <c r="AJ3" i="6"/>
  <c r="AI3" i="6"/>
  <c r="AH3" i="6"/>
</calcChain>
</file>

<file path=xl/sharedStrings.xml><?xml version="1.0" encoding="utf-8"?>
<sst xmlns="http://schemas.openxmlformats.org/spreadsheetml/2006/main" count="1595" uniqueCount="244">
  <si>
    <t>Policy ID</t>
  </si>
  <si>
    <t>Cost</t>
  </si>
  <si>
    <t>Effectiveness</t>
  </si>
  <si>
    <t>Acceptance of the tech.</t>
  </si>
  <si>
    <t>Acceptance of the policy instrument</t>
  </si>
  <si>
    <t>Administrative burden</t>
  </si>
  <si>
    <t>I_01_1</t>
  </si>
  <si>
    <t>I_01_2</t>
  </si>
  <si>
    <t>I_01_3</t>
  </si>
  <si>
    <t>I_01_4</t>
  </si>
  <si>
    <t>I_01_5</t>
  </si>
  <si>
    <t>N_02_4</t>
  </si>
  <si>
    <t>N_02_5</t>
  </si>
  <si>
    <t>I_03_1</t>
  </si>
  <si>
    <t>I_03_2</t>
  </si>
  <si>
    <t>I_03_3</t>
  </si>
  <si>
    <t>I_04_3</t>
  </si>
  <si>
    <t>I_04_4</t>
  </si>
  <si>
    <t>I_04_5</t>
  </si>
  <si>
    <t>I_05_1</t>
  </si>
  <si>
    <t>I_05_2</t>
  </si>
  <si>
    <t>I_05_3</t>
  </si>
  <si>
    <t>I_05_4</t>
  </si>
  <si>
    <t>I_05_5</t>
  </si>
  <si>
    <t>I_06_1</t>
  </si>
  <si>
    <t>I_06_2</t>
  </si>
  <si>
    <t>I_06_3</t>
  </si>
  <si>
    <t>I_06_4</t>
  </si>
  <si>
    <t>I_06_5</t>
  </si>
  <si>
    <t>N_07_4</t>
  </si>
  <si>
    <t>N_07_5</t>
  </si>
  <si>
    <t>N_08_4</t>
  </si>
  <si>
    <t>N_08_5</t>
  </si>
  <si>
    <t>I_09_1</t>
  </si>
  <si>
    <t>I_09_2</t>
  </si>
  <si>
    <t>I_09_3</t>
  </si>
  <si>
    <t>I_09_4</t>
  </si>
  <si>
    <t>I_09_5</t>
  </si>
  <si>
    <t>I_10_1</t>
  </si>
  <si>
    <t>I_10_2</t>
  </si>
  <si>
    <t>I_10_3</t>
  </si>
  <si>
    <t>I_10_4</t>
  </si>
  <si>
    <t>I_10_5</t>
  </si>
  <si>
    <t>I_11_1</t>
  </si>
  <si>
    <t>I_11_2</t>
  </si>
  <si>
    <t>I_11_3</t>
  </si>
  <si>
    <t>I_11_4</t>
  </si>
  <si>
    <t>I_11_5</t>
  </si>
  <si>
    <t>I_12_1</t>
  </si>
  <si>
    <t>I_12_2</t>
  </si>
  <si>
    <t>I_12_3</t>
  </si>
  <si>
    <t>I_12_4</t>
  </si>
  <si>
    <t>I_12_5</t>
  </si>
  <si>
    <t>I_13_3</t>
  </si>
  <si>
    <t>I_13_4</t>
  </si>
  <si>
    <t>I_13_5</t>
  </si>
  <si>
    <t>I_14_3</t>
  </si>
  <si>
    <t>I_14_4</t>
  </si>
  <si>
    <t>I_14_5</t>
  </si>
  <si>
    <t>I_15_1</t>
  </si>
  <si>
    <t>I_15_2</t>
  </si>
  <si>
    <t>I_15_3</t>
  </si>
  <si>
    <t>I_15_4</t>
  </si>
  <si>
    <t>I_15_5</t>
  </si>
  <si>
    <t>I_16_1</t>
  </si>
  <si>
    <t>I_16_2</t>
  </si>
  <si>
    <t>I_16_3</t>
  </si>
  <si>
    <t>I_16_4</t>
  </si>
  <si>
    <t>I_16_5</t>
  </si>
  <si>
    <t>I_17_1</t>
  </si>
  <si>
    <t>I_17_2</t>
  </si>
  <si>
    <t>I_17_3</t>
  </si>
  <si>
    <t>I_17_4</t>
  </si>
  <si>
    <t>I_17_5</t>
  </si>
  <si>
    <t>I_18_1</t>
  </si>
  <si>
    <t>I_18_2</t>
  </si>
  <si>
    <t>I_18_3</t>
  </si>
  <si>
    <t>I_18_4</t>
  </si>
  <si>
    <t>I_18_5</t>
  </si>
  <si>
    <t>I_19_1</t>
  </si>
  <si>
    <t>I_19_2</t>
  </si>
  <si>
    <t>I_19_3</t>
  </si>
  <si>
    <t>I_19_4</t>
  </si>
  <si>
    <t>I_19_5</t>
  </si>
  <si>
    <t>I_20_1</t>
  </si>
  <si>
    <t>I_20_2</t>
  </si>
  <si>
    <t>I_20_3</t>
  </si>
  <si>
    <t>I_20_4</t>
  </si>
  <si>
    <t>I_20_5</t>
  </si>
  <si>
    <t>N_21_4</t>
  </si>
  <si>
    <t>N_21_5</t>
  </si>
  <si>
    <t>I_22_1</t>
  </si>
  <si>
    <t>I_22_2</t>
  </si>
  <si>
    <t>I_22_3</t>
  </si>
  <si>
    <t>I_22_4</t>
  </si>
  <si>
    <t>I_22_5</t>
  </si>
  <si>
    <t>I_23_1</t>
  </si>
  <si>
    <t>I_23_2</t>
  </si>
  <si>
    <t>I_23_3</t>
  </si>
  <si>
    <t>I_23_4</t>
  </si>
  <si>
    <t>I_23_5</t>
  </si>
  <si>
    <t>I_24_1</t>
  </si>
  <si>
    <t>I_24_2</t>
  </si>
  <si>
    <t>I_24_3</t>
  </si>
  <si>
    <t>I_24_4</t>
  </si>
  <si>
    <t>I_24_5</t>
  </si>
  <si>
    <t>I_25_1</t>
  </si>
  <si>
    <t>I_25_2</t>
  </si>
  <si>
    <t>I_25_3</t>
  </si>
  <si>
    <t>I_25_4</t>
  </si>
  <si>
    <t>I_25_5</t>
  </si>
  <si>
    <t>I_26_1</t>
  </si>
  <si>
    <t>I_26_2</t>
  </si>
  <si>
    <t>I_26_3</t>
  </si>
  <si>
    <t>I_26_4</t>
  </si>
  <si>
    <t>I_26_5</t>
  </si>
  <si>
    <t>I_27_1</t>
  </si>
  <si>
    <t>I_27_2</t>
  </si>
  <si>
    <t>I_27_3</t>
  </si>
  <si>
    <t>I_27_4</t>
  </si>
  <si>
    <t>I_27_5</t>
  </si>
  <si>
    <t>I_28_1</t>
  </si>
  <si>
    <t>I_28_2</t>
  </si>
  <si>
    <t>I_28_3</t>
  </si>
  <si>
    <t>I_28_4</t>
  </si>
  <si>
    <t>I_28_5</t>
  </si>
  <si>
    <t>I_29_1</t>
  </si>
  <si>
    <t>I_29_2</t>
  </si>
  <si>
    <t>I_29_3</t>
  </si>
  <si>
    <t>I_29_4</t>
  </si>
  <si>
    <t>I_29_5</t>
  </si>
  <si>
    <t>I_30_1</t>
  </si>
  <si>
    <t>I_30_2</t>
  </si>
  <si>
    <t>I_30_3</t>
  </si>
  <si>
    <t>I_30_4</t>
  </si>
  <si>
    <t>I_30_5</t>
  </si>
  <si>
    <t>N_31_4</t>
  </si>
  <si>
    <t>N_31_5</t>
  </si>
  <si>
    <t>N_32_4</t>
  </si>
  <si>
    <t>N_32_5</t>
  </si>
  <si>
    <t>I_33_3</t>
  </si>
  <si>
    <t>I_33_4</t>
  </si>
  <si>
    <t>I_33_5</t>
  </si>
  <si>
    <t>I_34_1</t>
  </si>
  <si>
    <t>I_34_2</t>
  </si>
  <si>
    <t>I_34_3</t>
  </si>
  <si>
    <t>I_34_4</t>
  </si>
  <si>
    <t>I_34_5</t>
  </si>
  <si>
    <t>I_35_1</t>
  </si>
  <si>
    <t>I_35_2</t>
  </si>
  <si>
    <t>I_35_3</t>
  </si>
  <si>
    <t>I_35_4</t>
  </si>
  <si>
    <t>I_35_5</t>
  </si>
  <si>
    <t>I_36_1</t>
  </si>
  <si>
    <t>I_36_2</t>
  </si>
  <si>
    <t>I_36_3</t>
  </si>
  <si>
    <t>I_36_4</t>
  </si>
  <si>
    <t>I_36_5</t>
  </si>
  <si>
    <t>I_37_1</t>
  </si>
  <si>
    <t>I_37_2</t>
  </si>
  <si>
    <t>I_37_3</t>
  </si>
  <si>
    <t>I_37_4</t>
  </si>
  <si>
    <t>I_37_5</t>
  </si>
  <si>
    <t>I_38_1</t>
  </si>
  <si>
    <t>I_38_2</t>
  </si>
  <si>
    <t>I_38_3</t>
  </si>
  <si>
    <t>I_38_4</t>
  </si>
  <si>
    <t>I_38_5</t>
  </si>
  <si>
    <t>I_39_1</t>
  </si>
  <si>
    <t>I_39_2</t>
  </si>
  <si>
    <t>I_39_3</t>
  </si>
  <si>
    <t>I_39_4</t>
  </si>
  <si>
    <t>I_39_5</t>
  </si>
  <si>
    <t>N_40_4</t>
  </si>
  <si>
    <t>N_40_5</t>
  </si>
  <si>
    <t>N_41_4</t>
  </si>
  <si>
    <t>N_41_5</t>
  </si>
  <si>
    <t>I_42_1</t>
  </si>
  <si>
    <t>I_42_2</t>
  </si>
  <si>
    <t>I_42_3</t>
  </si>
  <si>
    <t>I_42_4</t>
  </si>
  <si>
    <t>I_42_5</t>
  </si>
  <si>
    <t>I_43_1</t>
  </si>
  <si>
    <t>I_43_2</t>
  </si>
  <si>
    <t>I_43_3</t>
  </si>
  <si>
    <t>I_43_4</t>
  </si>
  <si>
    <t>I_43_5</t>
  </si>
  <si>
    <t>N_44_4</t>
  </si>
  <si>
    <t>N_44_5</t>
  </si>
  <si>
    <t>N_45_4</t>
  </si>
  <si>
    <t>N_45_5</t>
  </si>
  <si>
    <t>N_46_4</t>
  </si>
  <si>
    <t>N_46_5</t>
  </si>
  <si>
    <t>Effectiveness: 1 = Minimal technological deployment impact; 5 = Transformative, massive deployment driver.</t>
  </si>
  <si>
    <t>Acceptance of Technology: 1 = High public/political resistance; 5 = Broad, uncontroversial public support.</t>
  </si>
  <si>
    <t>Acceptance of Policy Instrument: 1 = Highly unpopular (e.g., steep new taxes/bans); 5 = Highly popular (e.g., voluntary subsidies).</t>
  </si>
  <si>
    <t>Cost (to Government): 1 = Extremely high fiscal burden/expense; 5 = Revenue generating or zero government cost.</t>
  </si>
  <si>
    <t>Administrative Burden: 1 = Highly complex, costly to manage; 5 = Simple, streamlined, or already seamlessly operational.</t>
  </si>
  <si>
    <t>Criterion</t>
  </si>
  <si>
    <t>Polarity</t>
  </si>
  <si>
    <t>Preference Function</t>
  </si>
  <si>
    <t>q</t>
  </si>
  <si>
    <t>p</t>
  </si>
  <si>
    <t>s</t>
  </si>
  <si>
    <t>Weight</t>
  </si>
  <si>
    <t>Positive</t>
  </si>
  <si>
    <t>Type1</t>
  </si>
  <si>
    <t/>
  </si>
  <si>
    <t>Aggregated Score</t>
  </si>
  <si>
    <t>Alternative Name</t>
  </si>
  <si>
    <t>Positive Flow</t>
  </si>
  <si>
    <t>Negative Flow</t>
  </si>
  <si>
    <t>Net Flow</t>
  </si>
  <si>
    <t>Adjusted Net Flow</t>
  </si>
  <si>
    <t>I</t>
  </si>
  <si>
    <t>N</t>
  </si>
  <si>
    <t>Biomass Boiler</t>
  </si>
  <si>
    <t>Heat Pump</t>
  </si>
  <si>
    <t>Methane Boiler</t>
  </si>
  <si>
    <t>CCGT (Ren. Methane)</t>
  </si>
  <si>
    <t>CHP (waste)</t>
  </si>
  <si>
    <t>CHP (Ren. Methane)</t>
  </si>
  <si>
    <t>Hydro (reservoir)</t>
  </si>
  <si>
    <t>Hydro (run of)</t>
  </si>
  <si>
    <t>PV (Roof)</t>
  </si>
  <si>
    <t>Pumped Hydro</t>
  </si>
  <si>
    <t>Wind</t>
  </si>
  <si>
    <t>CCGT (Nat Gas) with DACCS</t>
  </si>
  <si>
    <t>Alpine PV</t>
  </si>
  <si>
    <t>Heavy EV</t>
  </si>
  <si>
    <t>Heavy FCEV</t>
  </si>
  <si>
    <t>Light EV</t>
  </si>
  <si>
    <t>Light FCEV</t>
  </si>
  <si>
    <t>Tech. Support level EP2050+</t>
  </si>
  <si>
    <t>CCGT (Nat Gas)</t>
  </si>
  <si>
    <t>EP2050+</t>
  </si>
  <si>
    <t>NA</t>
  </si>
  <si>
    <t>MIX</t>
  </si>
  <si>
    <t>REMIX</t>
  </si>
  <si>
    <t>H2</t>
  </si>
  <si>
    <t>Unit: TWh</t>
  </si>
  <si>
    <t>Power and heating</t>
  </si>
  <si>
    <t>Unit: Bil. Km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</si>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</sst>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right" wrapText="1"/>
    </xf>
    <xf numFmtId="0" fontId="0" fillId="0" borderId="0" xfId="0" applyAlignment="1"/>
    <xf numFmtId="0" fontId="3" fillId="0" borderId="0" xfId="2"/>
    <xf numFmtId="0" fontId="0" fillId="0" borderId="2" xfId="0" applyBorder="1" applyAlignment="1">
      <alignment horizontal="center" vertical="center"/>
    </xf>
    <xf numFmtId="0" fontId="0" fillId="2" borderId="2" xfId="0" applyFill="1" applyBorder="1"/>
    <xf numFmtId="0" fontId="0" fillId="0" borderId="2" xfId="0" applyBorder="1"/>
    <xf numFmtId="0" fontId="3" fillId="2" borderId="2" xfId="2" applyFill="1" applyBorder="1"/>
    <xf numFmtId="0" fontId="4" fillId="0" borderId="0" xfId="2" applyFont="1" applyFill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10" fontId="0" fillId="3" borderId="0" xfId="1" applyNumberFormat="1" applyFont="1" applyFill="1"/>
    <xf numFmtId="10" fontId="0" fillId="4" borderId="0" xfId="1" applyNumberFormat="1" applyFont="1" applyFill="1"/>
    <xf numFmtId="169" fontId="0" fillId="3" borderId="0" xfId="0" applyNumberFormat="1" applyFill="1"/>
    <xf numFmtId="169" fontId="0" fillId="3" borderId="0" xfId="1" applyNumberFormat="1" applyFont="1" applyFill="1"/>
    <xf numFmtId="169" fontId="0" fillId="4" borderId="0" xfId="1" applyNumberFormat="1" applyFont="1" applyFill="1"/>
    <xf numFmtId="169" fontId="0" fillId="4" borderId="0" xfId="0" applyNumberFormat="1" applyFill="1"/>
  </cellXfs>
  <cellStyles count="3">
    <cellStyle name="Normal" xfId="0" builtinId="0"/>
    <cellStyle name="Normal 2" xfId="2" xr:uid="{780CB2D4-0E07-4709-927A-EEA2BA3F9D6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ansy\Master%20thesis\MCDA\Policy_Analysis_Table.xlsx" TargetMode="External"/><Relationship Id="rId1" Type="http://schemas.openxmlformats.org/officeDocument/2006/relationships/externalLinkPath" Target="Policy_Analysis_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enario background"/>
      <sheetName val="Relative tech support level"/>
      <sheetName val="Policy Evaluation List"/>
      <sheetName val="2030-2040"/>
      <sheetName val="2040-2050"/>
    </sheetNames>
    <sheetDataSet>
      <sheetData sheetId="0">
        <row r="21">
          <cell r="M21">
            <v>32.72</v>
          </cell>
          <cell r="N21">
            <v>24.279</v>
          </cell>
          <cell r="O21">
            <v>8.1020000000000003</v>
          </cell>
          <cell r="P21">
            <v>0</v>
          </cell>
          <cell r="Q21">
            <v>8.7389987440115799</v>
          </cell>
          <cell r="R21">
            <v>2.45180310776911</v>
          </cell>
          <cell r="S21">
            <v>16.05</v>
          </cell>
          <cell r="T21">
            <v>15.49</v>
          </cell>
          <cell r="U21">
            <v>33.61</v>
          </cell>
          <cell r="V21">
            <v>5.67</v>
          </cell>
          <cell r="W21">
            <v>4.04</v>
          </cell>
          <cell r="X21">
            <v>0</v>
          </cell>
          <cell r="Y21">
            <v>0</v>
          </cell>
          <cell r="Z21">
            <v>3.2</v>
          </cell>
          <cell r="AA21">
            <v>0</v>
          </cell>
          <cell r="AB21">
            <v>74.790000000000006</v>
          </cell>
          <cell r="AC21">
            <v>0</v>
          </cell>
        </row>
        <row r="22">
          <cell r="M22">
            <v>0</v>
          </cell>
          <cell r="N22">
            <v>63.82</v>
          </cell>
          <cell r="O22">
            <v>5.702</v>
          </cell>
          <cell r="P22">
            <v>0</v>
          </cell>
          <cell r="Q22">
            <v>8.7390001466848695</v>
          </cell>
          <cell r="R22">
            <v>2.037654E-6</v>
          </cell>
          <cell r="S22">
            <v>17.37</v>
          </cell>
          <cell r="T22">
            <v>15.49</v>
          </cell>
          <cell r="U22">
            <v>30.22</v>
          </cell>
          <cell r="V22">
            <v>7.92</v>
          </cell>
          <cell r="W22">
            <v>7.32</v>
          </cell>
          <cell r="X22">
            <v>12.65</v>
          </cell>
          <cell r="Y22">
            <v>0</v>
          </cell>
          <cell r="Z22">
            <v>3.2</v>
          </cell>
          <cell r="AA22">
            <v>0</v>
          </cell>
          <cell r="AB22">
            <v>74.790000000000006</v>
          </cell>
          <cell r="AC22">
            <v>0</v>
          </cell>
        </row>
        <row r="23">
          <cell r="M23">
            <v>18.239999999999998</v>
          </cell>
          <cell r="N23">
            <v>41.269999999999996</v>
          </cell>
          <cell r="O23">
            <v>5.702</v>
          </cell>
          <cell r="P23">
            <v>4.28</v>
          </cell>
          <cell r="Q23">
            <v>8.7390004371219092</v>
          </cell>
          <cell r="R23">
            <v>1.612777E-5</v>
          </cell>
          <cell r="S23">
            <v>16.05</v>
          </cell>
          <cell r="T23">
            <v>15.49</v>
          </cell>
          <cell r="U23">
            <v>30.25</v>
          </cell>
          <cell r="V23">
            <v>6.72</v>
          </cell>
          <cell r="W23">
            <v>8.0399999999999991</v>
          </cell>
          <cell r="X23">
            <v>0</v>
          </cell>
          <cell r="Y23">
            <v>7.06</v>
          </cell>
          <cell r="Z23">
            <v>3.2</v>
          </cell>
          <cell r="AA23">
            <v>0</v>
          </cell>
          <cell r="AB23">
            <v>74.790000000000006</v>
          </cell>
          <cell r="AC23">
            <v>0</v>
          </cell>
        </row>
        <row r="24">
          <cell r="M24">
            <v>34.85</v>
          </cell>
          <cell r="N24">
            <v>9.5599999999999987</v>
          </cell>
          <cell r="O24">
            <v>24.33</v>
          </cell>
          <cell r="P24">
            <v>0</v>
          </cell>
          <cell r="Q24">
            <v>8.7389930322347436</v>
          </cell>
          <cell r="R24">
            <v>2.4518200087331268</v>
          </cell>
          <cell r="S24">
            <v>18.260000000000002</v>
          </cell>
          <cell r="T24">
            <v>15.49</v>
          </cell>
          <cell r="U24">
            <v>33.61</v>
          </cell>
          <cell r="V24">
            <v>6.09</v>
          </cell>
          <cell r="W24">
            <v>4.12</v>
          </cell>
          <cell r="X24">
            <v>0</v>
          </cell>
          <cell r="Y24">
            <v>0</v>
          </cell>
          <cell r="Z24">
            <v>0</v>
          </cell>
          <cell r="AA24">
            <v>3.2</v>
          </cell>
          <cell r="AB24">
            <v>69.22</v>
          </cell>
          <cell r="AC24">
            <v>5.57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830C-7C8E-4CDA-A4F1-A296092FDD31}">
  <dimension ref="A1:F188"/>
  <sheetViews>
    <sheetView workbookViewId="0">
      <pane xSplit="1" topLeftCell="B1" activePane="topRight" state="frozen"/>
      <selection pane="topRight" activeCell="F6" sqref="F6"/>
    </sheetView>
  </sheetViews>
  <sheetFormatPr defaultRowHeight="14.5" x14ac:dyDescent="0.35"/>
  <cols>
    <col min="1" max="1" width="8.7265625" style="1"/>
    <col min="3" max="3" width="12.26953125" bestFit="1" customWidth="1"/>
    <col min="4" max="4" width="21.08984375" bestFit="1" customWidth="1"/>
    <col min="5" max="5" width="32" bestFit="1" customWidth="1"/>
    <col min="6" max="6" width="20.453125" bestFit="1" customWidth="1"/>
  </cols>
  <sheetData>
    <row r="1" spans="1:6" ht="15" thickBot="1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 thickBot="1" x14ac:dyDescent="0.4">
      <c r="A2" s="1" t="s">
        <v>6</v>
      </c>
      <c r="B2" s="2">
        <v>5</v>
      </c>
      <c r="C2" s="2">
        <v>2</v>
      </c>
      <c r="D2" s="2">
        <v>4</v>
      </c>
      <c r="E2" s="2">
        <v>4</v>
      </c>
      <c r="F2" s="2">
        <v>4</v>
      </c>
    </row>
    <row r="3" spans="1:6" ht="15" thickBot="1" x14ac:dyDescent="0.4">
      <c r="A3" s="1" t="s">
        <v>7</v>
      </c>
      <c r="B3" s="2">
        <v>5</v>
      </c>
      <c r="C3" s="2">
        <v>3</v>
      </c>
      <c r="D3" s="2">
        <v>4</v>
      </c>
      <c r="E3" s="2">
        <v>3</v>
      </c>
      <c r="F3" s="2">
        <v>4</v>
      </c>
    </row>
    <row r="4" spans="1:6" ht="15" thickBot="1" x14ac:dyDescent="0.4">
      <c r="A4" s="1" t="s">
        <v>8</v>
      </c>
      <c r="B4" s="2">
        <v>5</v>
      </c>
      <c r="C4" s="2">
        <v>4</v>
      </c>
      <c r="D4" s="2">
        <v>4</v>
      </c>
      <c r="E4" s="2">
        <v>2</v>
      </c>
      <c r="F4" s="2">
        <v>4</v>
      </c>
    </row>
    <row r="5" spans="1:6" ht="15" thickBot="1" x14ac:dyDescent="0.4">
      <c r="A5" s="1" t="s">
        <v>9</v>
      </c>
      <c r="B5" s="2">
        <v>5</v>
      </c>
      <c r="C5" s="2">
        <v>5</v>
      </c>
      <c r="D5" s="2">
        <v>4</v>
      </c>
      <c r="E5" s="2">
        <v>1</v>
      </c>
      <c r="F5" s="2">
        <v>4</v>
      </c>
    </row>
    <row r="6" spans="1:6" ht="15" thickBot="1" x14ac:dyDescent="0.4">
      <c r="A6" s="1" t="s">
        <v>10</v>
      </c>
      <c r="B6" s="2">
        <v>5</v>
      </c>
      <c r="C6" s="2">
        <v>5</v>
      </c>
      <c r="D6" s="2">
        <v>4</v>
      </c>
      <c r="E6" s="2">
        <v>1</v>
      </c>
      <c r="F6" s="2">
        <v>4</v>
      </c>
    </row>
    <row r="7" spans="1:6" ht="15" thickBot="1" x14ac:dyDescent="0.4">
      <c r="A7" s="1" t="s">
        <v>11</v>
      </c>
      <c r="B7" s="2">
        <v>5</v>
      </c>
      <c r="C7" s="2">
        <v>2</v>
      </c>
      <c r="D7" s="2">
        <v>4</v>
      </c>
      <c r="E7" s="2">
        <v>2</v>
      </c>
      <c r="F7" s="2">
        <v>3</v>
      </c>
    </row>
    <row r="8" spans="1:6" ht="15" thickBot="1" x14ac:dyDescent="0.4">
      <c r="A8" s="1" t="s">
        <v>12</v>
      </c>
      <c r="B8" s="2">
        <v>5</v>
      </c>
      <c r="C8" s="2">
        <v>3</v>
      </c>
      <c r="D8" s="2">
        <v>4</v>
      </c>
      <c r="E8" s="2">
        <v>1</v>
      </c>
      <c r="F8" s="2">
        <v>3</v>
      </c>
    </row>
    <row r="9" spans="1:6" ht="15" thickBot="1" x14ac:dyDescent="0.4">
      <c r="A9" s="1" t="s">
        <v>13</v>
      </c>
      <c r="B9" s="2">
        <v>4</v>
      </c>
      <c r="C9" s="2">
        <v>2</v>
      </c>
      <c r="D9" s="2">
        <v>4</v>
      </c>
      <c r="E9" s="2">
        <v>4</v>
      </c>
      <c r="F9" s="2">
        <v>3</v>
      </c>
    </row>
    <row r="10" spans="1:6" ht="15" thickBot="1" x14ac:dyDescent="0.4">
      <c r="A10" s="1" t="s">
        <v>14</v>
      </c>
      <c r="B10" s="2">
        <v>3</v>
      </c>
      <c r="C10" s="2">
        <v>3</v>
      </c>
      <c r="D10" s="2">
        <v>4</v>
      </c>
      <c r="E10" s="2">
        <v>4</v>
      </c>
      <c r="F10" s="2">
        <v>3</v>
      </c>
    </row>
    <row r="11" spans="1:6" ht="15" thickBot="1" x14ac:dyDescent="0.4">
      <c r="A11" s="1" t="s">
        <v>15</v>
      </c>
      <c r="B11" s="2">
        <v>2</v>
      </c>
      <c r="C11" s="2">
        <v>4</v>
      </c>
      <c r="D11" s="2">
        <v>4</v>
      </c>
      <c r="E11" s="2">
        <v>4</v>
      </c>
      <c r="F11" s="2">
        <v>3</v>
      </c>
    </row>
    <row r="12" spans="1:6" ht="15" thickBot="1" x14ac:dyDescent="0.4">
      <c r="A12" s="1" t="s">
        <v>16</v>
      </c>
      <c r="B12" s="2">
        <v>5</v>
      </c>
      <c r="C12" s="2">
        <v>1</v>
      </c>
      <c r="D12" s="2">
        <v>4</v>
      </c>
      <c r="E12" s="2">
        <v>4</v>
      </c>
      <c r="F12" s="2">
        <v>4</v>
      </c>
    </row>
    <row r="13" spans="1:6" ht="15" thickBot="1" x14ac:dyDescent="0.4">
      <c r="A13" s="1" t="s">
        <v>17</v>
      </c>
      <c r="B13" s="2">
        <v>5</v>
      </c>
      <c r="C13" s="2">
        <v>3</v>
      </c>
      <c r="D13" s="2">
        <v>4</v>
      </c>
      <c r="E13" s="2">
        <v>3</v>
      </c>
      <c r="F13" s="2">
        <v>4</v>
      </c>
    </row>
    <row r="14" spans="1:6" ht="15" thickBot="1" x14ac:dyDescent="0.4">
      <c r="A14" s="1" t="s">
        <v>18</v>
      </c>
      <c r="B14" s="2">
        <v>5</v>
      </c>
      <c r="C14" s="2">
        <v>4</v>
      </c>
      <c r="D14" s="2">
        <v>4</v>
      </c>
      <c r="E14" s="2">
        <v>2</v>
      </c>
      <c r="F14" s="2">
        <v>4</v>
      </c>
    </row>
    <row r="15" spans="1:6" ht="15" thickBot="1" x14ac:dyDescent="0.4">
      <c r="A15" s="1" t="s">
        <v>19</v>
      </c>
      <c r="B15" s="2">
        <v>5</v>
      </c>
      <c r="C15" s="2">
        <v>2</v>
      </c>
      <c r="D15" s="2">
        <v>4</v>
      </c>
      <c r="E15" s="2">
        <v>3</v>
      </c>
      <c r="F15" s="2">
        <v>4</v>
      </c>
    </row>
    <row r="16" spans="1:6" ht="15" thickBot="1" x14ac:dyDescent="0.4">
      <c r="A16" s="1" t="s">
        <v>20</v>
      </c>
      <c r="B16" s="2">
        <v>5</v>
      </c>
      <c r="C16" s="2">
        <v>3</v>
      </c>
      <c r="D16" s="2">
        <v>4</v>
      </c>
      <c r="E16" s="2">
        <v>2</v>
      </c>
      <c r="F16" s="2">
        <v>4</v>
      </c>
    </row>
    <row r="17" spans="1:6" ht="15" thickBot="1" x14ac:dyDescent="0.4">
      <c r="A17" s="1" t="s">
        <v>21</v>
      </c>
      <c r="B17" s="2">
        <v>5</v>
      </c>
      <c r="C17" s="2">
        <v>3</v>
      </c>
      <c r="D17" s="2">
        <v>4</v>
      </c>
      <c r="E17" s="2">
        <v>2</v>
      </c>
      <c r="F17" s="2">
        <v>4</v>
      </c>
    </row>
    <row r="18" spans="1:6" ht="15" thickBot="1" x14ac:dyDescent="0.4">
      <c r="A18" s="1" t="s">
        <v>22</v>
      </c>
      <c r="B18" s="2">
        <v>5</v>
      </c>
      <c r="C18" s="2">
        <v>4</v>
      </c>
      <c r="D18" s="2">
        <v>4</v>
      </c>
      <c r="E18" s="2">
        <v>1</v>
      </c>
      <c r="F18" s="2">
        <v>4</v>
      </c>
    </row>
    <row r="19" spans="1:6" ht="15" thickBot="1" x14ac:dyDescent="0.4">
      <c r="A19" s="1" t="s">
        <v>23</v>
      </c>
      <c r="B19" s="2">
        <v>5</v>
      </c>
      <c r="C19" s="2">
        <v>5</v>
      </c>
      <c r="D19" s="2">
        <v>4</v>
      </c>
      <c r="E19" s="2">
        <v>1</v>
      </c>
      <c r="F19" s="2">
        <v>4</v>
      </c>
    </row>
    <row r="20" spans="1:6" ht="15" thickBot="1" x14ac:dyDescent="0.4">
      <c r="A20" s="1" t="s">
        <v>24</v>
      </c>
      <c r="B20" s="2">
        <v>5</v>
      </c>
      <c r="C20" s="2">
        <v>3</v>
      </c>
      <c r="D20" s="2">
        <v>4</v>
      </c>
      <c r="E20" s="2">
        <v>4</v>
      </c>
      <c r="F20" s="2">
        <v>4</v>
      </c>
    </row>
    <row r="21" spans="1:6" ht="15" thickBot="1" x14ac:dyDescent="0.4">
      <c r="A21" s="1" t="s">
        <v>25</v>
      </c>
      <c r="B21" s="2">
        <v>5</v>
      </c>
      <c r="C21" s="2">
        <v>4</v>
      </c>
      <c r="D21" s="2">
        <v>4</v>
      </c>
      <c r="E21" s="2">
        <v>3</v>
      </c>
      <c r="F21" s="2">
        <v>4</v>
      </c>
    </row>
    <row r="22" spans="1:6" ht="15" thickBot="1" x14ac:dyDescent="0.4">
      <c r="A22" s="1" t="s">
        <v>26</v>
      </c>
      <c r="B22" s="2">
        <v>5</v>
      </c>
      <c r="C22" s="2">
        <v>4</v>
      </c>
      <c r="D22" s="2">
        <v>4</v>
      </c>
      <c r="E22" s="2">
        <v>3</v>
      </c>
      <c r="F22" s="2">
        <v>4</v>
      </c>
    </row>
    <row r="23" spans="1:6" ht="15" thickBot="1" x14ac:dyDescent="0.4">
      <c r="A23" s="1" t="s">
        <v>27</v>
      </c>
      <c r="B23" s="2">
        <v>5</v>
      </c>
      <c r="C23" s="2">
        <v>5</v>
      </c>
      <c r="D23" s="2">
        <v>4</v>
      </c>
      <c r="E23" s="2">
        <v>2</v>
      </c>
      <c r="F23" s="2">
        <v>4</v>
      </c>
    </row>
    <row r="24" spans="1:6" ht="15" thickBot="1" x14ac:dyDescent="0.4">
      <c r="A24" s="1" t="s">
        <v>28</v>
      </c>
      <c r="B24" s="2">
        <v>5</v>
      </c>
      <c r="C24" s="2">
        <v>5</v>
      </c>
      <c r="D24" s="2">
        <v>4</v>
      </c>
      <c r="E24" s="2">
        <v>2</v>
      </c>
      <c r="F24" s="2">
        <v>4</v>
      </c>
    </row>
    <row r="25" spans="1:6" ht="15" thickBot="1" x14ac:dyDescent="0.4">
      <c r="A25" s="1" t="s">
        <v>29</v>
      </c>
      <c r="B25" s="2">
        <v>4</v>
      </c>
      <c r="C25" s="2">
        <v>3</v>
      </c>
      <c r="D25" s="2">
        <v>3</v>
      </c>
      <c r="E25" s="2">
        <v>3</v>
      </c>
      <c r="F25" s="2">
        <v>1</v>
      </c>
    </row>
    <row r="26" spans="1:6" ht="15" thickBot="1" x14ac:dyDescent="0.4">
      <c r="A26" s="1" t="s">
        <v>30</v>
      </c>
      <c r="B26" s="2">
        <v>3</v>
      </c>
      <c r="C26" s="2">
        <v>5</v>
      </c>
      <c r="D26" s="2">
        <v>3</v>
      </c>
      <c r="E26" s="2">
        <v>2</v>
      </c>
      <c r="F26" s="2">
        <v>1</v>
      </c>
    </row>
    <row r="27" spans="1:6" ht="15" thickBot="1" x14ac:dyDescent="0.4">
      <c r="A27" s="1" t="s">
        <v>31</v>
      </c>
      <c r="B27" s="2">
        <v>3</v>
      </c>
      <c r="C27" s="2">
        <v>3</v>
      </c>
      <c r="D27" s="2">
        <v>3</v>
      </c>
      <c r="E27" s="2">
        <v>4</v>
      </c>
      <c r="F27" s="2">
        <v>1</v>
      </c>
    </row>
    <row r="28" spans="1:6" ht="15" thickBot="1" x14ac:dyDescent="0.4">
      <c r="A28" s="1" t="s">
        <v>32</v>
      </c>
      <c r="B28" s="2">
        <v>1</v>
      </c>
      <c r="C28" s="2">
        <v>4</v>
      </c>
      <c r="D28" s="2">
        <v>3</v>
      </c>
      <c r="E28" s="2">
        <v>4</v>
      </c>
      <c r="F28" s="2">
        <v>1</v>
      </c>
    </row>
    <row r="29" spans="1:6" ht="15" thickBot="1" x14ac:dyDescent="0.4">
      <c r="A29" s="1" t="s">
        <v>33</v>
      </c>
      <c r="B29" s="2">
        <v>4</v>
      </c>
      <c r="C29" s="2">
        <v>2</v>
      </c>
      <c r="D29" s="2">
        <v>5</v>
      </c>
      <c r="E29" s="2">
        <v>5</v>
      </c>
      <c r="F29" s="2">
        <v>4</v>
      </c>
    </row>
    <row r="30" spans="1:6" ht="15" thickBot="1" x14ac:dyDescent="0.4">
      <c r="A30" s="1" t="s">
        <v>34</v>
      </c>
      <c r="B30" s="2">
        <v>4</v>
      </c>
      <c r="C30" s="2">
        <v>2</v>
      </c>
      <c r="D30" s="2">
        <v>5</v>
      </c>
      <c r="E30" s="2">
        <v>5</v>
      </c>
      <c r="F30" s="2">
        <v>4</v>
      </c>
    </row>
    <row r="31" spans="1:6" ht="15" thickBot="1" x14ac:dyDescent="0.4">
      <c r="A31" s="1" t="s">
        <v>35</v>
      </c>
      <c r="B31" s="2">
        <v>3</v>
      </c>
      <c r="C31" s="2">
        <v>3</v>
      </c>
      <c r="D31" s="2">
        <v>5</v>
      </c>
      <c r="E31" s="2">
        <v>5</v>
      </c>
      <c r="F31" s="2">
        <v>4</v>
      </c>
    </row>
    <row r="32" spans="1:6" ht="15" thickBot="1" x14ac:dyDescent="0.4">
      <c r="A32" s="1" t="s">
        <v>36</v>
      </c>
      <c r="B32" s="2">
        <v>2</v>
      </c>
      <c r="C32" s="2">
        <v>4</v>
      </c>
      <c r="D32" s="2">
        <v>5</v>
      </c>
      <c r="E32" s="2">
        <v>5</v>
      </c>
      <c r="F32" s="2">
        <v>4</v>
      </c>
    </row>
    <row r="33" spans="1:6" ht="15" thickBot="1" x14ac:dyDescent="0.4">
      <c r="A33" s="1" t="s">
        <v>37</v>
      </c>
      <c r="B33" s="2">
        <v>1</v>
      </c>
      <c r="C33" s="2">
        <v>5</v>
      </c>
      <c r="D33" s="2">
        <v>5</v>
      </c>
      <c r="E33" s="2">
        <v>5</v>
      </c>
      <c r="F33" s="2">
        <v>4</v>
      </c>
    </row>
    <row r="34" spans="1:6" ht="15" thickBot="1" x14ac:dyDescent="0.4">
      <c r="A34" s="1" t="s">
        <v>38</v>
      </c>
      <c r="B34" s="2">
        <v>4</v>
      </c>
      <c r="C34" s="2">
        <v>2</v>
      </c>
      <c r="D34" s="2">
        <v>5</v>
      </c>
      <c r="E34" s="2">
        <v>5</v>
      </c>
      <c r="F34" s="2">
        <v>4</v>
      </c>
    </row>
    <row r="35" spans="1:6" ht="15" thickBot="1" x14ac:dyDescent="0.4">
      <c r="A35" s="1" t="s">
        <v>39</v>
      </c>
      <c r="B35" s="2">
        <v>4</v>
      </c>
      <c r="C35" s="2">
        <v>2</v>
      </c>
      <c r="D35" s="2">
        <v>5</v>
      </c>
      <c r="E35" s="2">
        <v>5</v>
      </c>
      <c r="F35" s="2">
        <v>4</v>
      </c>
    </row>
    <row r="36" spans="1:6" ht="15" thickBot="1" x14ac:dyDescent="0.4">
      <c r="A36" s="1" t="s">
        <v>40</v>
      </c>
      <c r="B36" s="2">
        <v>3</v>
      </c>
      <c r="C36" s="2">
        <v>3</v>
      </c>
      <c r="D36" s="2">
        <v>5</v>
      </c>
      <c r="E36" s="2">
        <v>5</v>
      </c>
      <c r="F36" s="2">
        <v>4</v>
      </c>
    </row>
    <row r="37" spans="1:6" ht="15" thickBot="1" x14ac:dyDescent="0.4">
      <c r="A37" s="1" t="s">
        <v>41</v>
      </c>
      <c r="B37" s="2">
        <v>2</v>
      </c>
      <c r="C37" s="2">
        <v>4</v>
      </c>
      <c r="D37" s="2">
        <v>5</v>
      </c>
      <c r="E37" s="2">
        <v>5</v>
      </c>
      <c r="F37" s="2">
        <v>4</v>
      </c>
    </row>
    <row r="38" spans="1:6" ht="15" thickBot="1" x14ac:dyDescent="0.4">
      <c r="A38" s="1" t="s">
        <v>42</v>
      </c>
      <c r="B38" s="2">
        <v>1</v>
      </c>
      <c r="C38" s="2">
        <v>5</v>
      </c>
      <c r="D38" s="2">
        <v>5</v>
      </c>
      <c r="E38" s="2">
        <v>5</v>
      </c>
      <c r="F38" s="2">
        <v>4</v>
      </c>
    </row>
    <row r="39" spans="1:6" ht="15" thickBot="1" x14ac:dyDescent="0.4">
      <c r="A39" s="1" t="s">
        <v>43</v>
      </c>
      <c r="B39" s="2">
        <v>4</v>
      </c>
      <c r="C39" s="2">
        <v>2</v>
      </c>
      <c r="D39" s="2">
        <v>5</v>
      </c>
      <c r="E39" s="2">
        <v>5</v>
      </c>
      <c r="F39" s="2">
        <v>4</v>
      </c>
    </row>
    <row r="40" spans="1:6" ht="15" thickBot="1" x14ac:dyDescent="0.4">
      <c r="A40" s="1" t="s">
        <v>44</v>
      </c>
      <c r="B40" s="2">
        <v>4</v>
      </c>
      <c r="C40" s="2">
        <v>2</v>
      </c>
      <c r="D40" s="2">
        <v>5</v>
      </c>
      <c r="E40" s="2">
        <v>5</v>
      </c>
      <c r="F40" s="2">
        <v>4</v>
      </c>
    </row>
    <row r="41" spans="1:6" ht="15" thickBot="1" x14ac:dyDescent="0.4">
      <c r="A41" s="1" t="s">
        <v>45</v>
      </c>
      <c r="B41" s="2">
        <v>3</v>
      </c>
      <c r="C41" s="2">
        <v>4</v>
      </c>
      <c r="D41" s="2">
        <v>5</v>
      </c>
      <c r="E41" s="2">
        <v>5</v>
      </c>
      <c r="F41" s="2">
        <v>4</v>
      </c>
    </row>
    <row r="42" spans="1:6" ht="15" thickBot="1" x14ac:dyDescent="0.4">
      <c r="A42" s="1" t="s">
        <v>46</v>
      </c>
      <c r="B42" s="2">
        <v>2</v>
      </c>
      <c r="C42" s="2">
        <v>4</v>
      </c>
      <c r="D42" s="2">
        <v>5</v>
      </c>
      <c r="E42" s="2">
        <v>5</v>
      </c>
      <c r="F42" s="2">
        <v>4</v>
      </c>
    </row>
    <row r="43" spans="1:6" ht="15" thickBot="1" x14ac:dyDescent="0.4">
      <c r="A43" s="1" t="s">
        <v>47</v>
      </c>
      <c r="B43" s="2">
        <v>1</v>
      </c>
      <c r="C43" s="2">
        <v>5</v>
      </c>
      <c r="D43" s="2">
        <v>5</v>
      </c>
      <c r="E43" s="2">
        <v>5</v>
      </c>
      <c r="F43" s="2">
        <v>4</v>
      </c>
    </row>
    <row r="44" spans="1:6" ht="15" thickBot="1" x14ac:dyDescent="0.4">
      <c r="A44" s="1" t="s">
        <v>48</v>
      </c>
      <c r="B44" s="2">
        <v>4</v>
      </c>
      <c r="C44" s="2">
        <v>2</v>
      </c>
      <c r="D44" s="2">
        <v>4</v>
      </c>
      <c r="E44" s="2">
        <v>5</v>
      </c>
      <c r="F44" s="2">
        <v>4</v>
      </c>
    </row>
    <row r="45" spans="1:6" ht="15" thickBot="1" x14ac:dyDescent="0.4">
      <c r="A45" s="1" t="s">
        <v>49</v>
      </c>
      <c r="B45" s="2">
        <v>4</v>
      </c>
      <c r="C45" s="2">
        <v>2</v>
      </c>
      <c r="D45" s="2">
        <v>4</v>
      </c>
      <c r="E45" s="2">
        <v>5</v>
      </c>
      <c r="F45" s="2">
        <v>4</v>
      </c>
    </row>
    <row r="46" spans="1:6" ht="15" thickBot="1" x14ac:dyDescent="0.4">
      <c r="A46" s="1" t="s">
        <v>50</v>
      </c>
      <c r="B46" s="2">
        <v>3</v>
      </c>
      <c r="C46" s="2">
        <v>3</v>
      </c>
      <c r="D46" s="2">
        <v>4</v>
      </c>
      <c r="E46" s="2">
        <v>5</v>
      </c>
      <c r="F46" s="2">
        <v>4</v>
      </c>
    </row>
    <row r="47" spans="1:6" ht="15" thickBot="1" x14ac:dyDescent="0.4">
      <c r="A47" s="1" t="s">
        <v>51</v>
      </c>
      <c r="B47" s="2">
        <v>2</v>
      </c>
      <c r="C47" s="2">
        <v>4</v>
      </c>
      <c r="D47" s="2">
        <v>4</v>
      </c>
      <c r="E47" s="2">
        <v>5</v>
      </c>
      <c r="F47" s="2">
        <v>4</v>
      </c>
    </row>
    <row r="48" spans="1:6" ht="15" thickBot="1" x14ac:dyDescent="0.4">
      <c r="A48" s="1" t="s">
        <v>52</v>
      </c>
      <c r="B48" s="2">
        <v>1</v>
      </c>
      <c r="C48" s="2">
        <v>4</v>
      </c>
      <c r="D48" s="2">
        <v>4</v>
      </c>
      <c r="E48" s="2">
        <v>5</v>
      </c>
      <c r="F48" s="2">
        <v>4</v>
      </c>
    </row>
    <row r="49" spans="1:6" ht="15" thickBot="1" x14ac:dyDescent="0.4">
      <c r="A49" s="1" t="s">
        <v>53</v>
      </c>
      <c r="B49" s="2">
        <v>5</v>
      </c>
      <c r="C49" s="2">
        <v>3</v>
      </c>
      <c r="D49" s="2">
        <v>4</v>
      </c>
      <c r="E49" s="2">
        <v>3</v>
      </c>
      <c r="F49" s="2">
        <v>3</v>
      </c>
    </row>
    <row r="50" spans="1:6" ht="15" thickBot="1" x14ac:dyDescent="0.4">
      <c r="A50" s="1" t="s">
        <v>54</v>
      </c>
      <c r="B50" s="2">
        <v>5</v>
      </c>
      <c r="C50" s="2">
        <v>4</v>
      </c>
      <c r="D50" s="2">
        <v>4</v>
      </c>
      <c r="E50" s="2">
        <v>2</v>
      </c>
      <c r="F50" s="2">
        <v>3</v>
      </c>
    </row>
    <row r="51" spans="1:6" ht="15" thickBot="1" x14ac:dyDescent="0.4">
      <c r="A51" s="1" t="s">
        <v>55</v>
      </c>
      <c r="B51" s="2">
        <v>5</v>
      </c>
      <c r="C51" s="2">
        <v>5</v>
      </c>
      <c r="D51" s="2">
        <v>4</v>
      </c>
      <c r="E51" s="2">
        <v>1</v>
      </c>
      <c r="F51" s="2">
        <v>3</v>
      </c>
    </row>
    <row r="52" spans="1:6" ht="15" thickBot="1" x14ac:dyDescent="0.4">
      <c r="A52" s="1" t="s">
        <v>56</v>
      </c>
      <c r="B52" s="2">
        <v>5</v>
      </c>
      <c r="C52" s="2">
        <v>2</v>
      </c>
      <c r="D52" s="2">
        <v>3</v>
      </c>
      <c r="E52" s="2">
        <v>4</v>
      </c>
      <c r="F52" s="2">
        <v>4</v>
      </c>
    </row>
    <row r="53" spans="1:6" ht="15" thickBot="1" x14ac:dyDescent="0.4">
      <c r="A53" s="1" t="s">
        <v>57</v>
      </c>
      <c r="B53" s="2">
        <v>5</v>
      </c>
      <c r="C53" s="2">
        <v>3</v>
      </c>
      <c r="D53" s="2">
        <v>3</v>
      </c>
      <c r="E53" s="2">
        <v>3</v>
      </c>
      <c r="F53" s="2">
        <v>4</v>
      </c>
    </row>
    <row r="54" spans="1:6" ht="15" thickBot="1" x14ac:dyDescent="0.4">
      <c r="A54" s="1" t="s">
        <v>58</v>
      </c>
      <c r="B54" s="2">
        <v>5</v>
      </c>
      <c r="C54" s="2">
        <v>4</v>
      </c>
      <c r="D54" s="2">
        <v>3</v>
      </c>
      <c r="E54" s="2">
        <v>2</v>
      </c>
      <c r="F54" s="2">
        <v>4</v>
      </c>
    </row>
    <row r="55" spans="1:6" ht="15" thickBot="1" x14ac:dyDescent="0.4">
      <c r="A55" s="1" t="s">
        <v>59</v>
      </c>
      <c r="B55" s="2">
        <v>4</v>
      </c>
      <c r="C55" s="2">
        <v>2</v>
      </c>
      <c r="D55" s="2">
        <v>4</v>
      </c>
      <c r="E55" s="2">
        <v>5</v>
      </c>
      <c r="F55" s="2">
        <v>4</v>
      </c>
    </row>
    <row r="56" spans="1:6" ht="15" thickBot="1" x14ac:dyDescent="0.4">
      <c r="A56" s="1" t="s">
        <v>60</v>
      </c>
      <c r="B56" s="2">
        <v>4</v>
      </c>
      <c r="C56" s="2">
        <v>2</v>
      </c>
      <c r="D56" s="2">
        <v>4</v>
      </c>
      <c r="E56" s="2">
        <v>5</v>
      </c>
      <c r="F56" s="2">
        <v>4</v>
      </c>
    </row>
    <row r="57" spans="1:6" ht="15" thickBot="1" x14ac:dyDescent="0.4">
      <c r="A57" s="1" t="s">
        <v>61</v>
      </c>
      <c r="B57" s="2">
        <v>3</v>
      </c>
      <c r="C57" s="2">
        <v>3</v>
      </c>
      <c r="D57" s="2">
        <v>4</v>
      </c>
      <c r="E57" s="2">
        <v>5</v>
      </c>
      <c r="F57" s="2">
        <v>4</v>
      </c>
    </row>
    <row r="58" spans="1:6" ht="15" thickBot="1" x14ac:dyDescent="0.4">
      <c r="A58" s="1" t="s">
        <v>62</v>
      </c>
      <c r="B58" s="2">
        <v>2</v>
      </c>
      <c r="C58" s="2">
        <v>4</v>
      </c>
      <c r="D58" s="2">
        <v>4</v>
      </c>
      <c r="E58" s="2">
        <v>5</v>
      </c>
      <c r="F58" s="2">
        <v>4</v>
      </c>
    </row>
    <row r="59" spans="1:6" ht="15" thickBot="1" x14ac:dyDescent="0.4">
      <c r="A59" s="1" t="s">
        <v>63</v>
      </c>
      <c r="B59" s="2">
        <v>1</v>
      </c>
      <c r="C59" s="2">
        <v>4</v>
      </c>
      <c r="D59" s="2">
        <v>4</v>
      </c>
      <c r="E59" s="2">
        <v>5</v>
      </c>
      <c r="F59" s="2">
        <v>4</v>
      </c>
    </row>
    <row r="60" spans="1:6" ht="15" thickBot="1" x14ac:dyDescent="0.4">
      <c r="A60" s="1" t="s">
        <v>64</v>
      </c>
      <c r="B60" s="2">
        <v>4</v>
      </c>
      <c r="C60" s="2">
        <v>2</v>
      </c>
      <c r="D60" s="2">
        <v>5</v>
      </c>
      <c r="E60" s="2">
        <v>5</v>
      </c>
      <c r="F60" s="2">
        <v>4</v>
      </c>
    </row>
    <row r="61" spans="1:6" ht="15" thickBot="1" x14ac:dyDescent="0.4">
      <c r="A61" s="1" t="s">
        <v>65</v>
      </c>
      <c r="B61" s="2">
        <v>4</v>
      </c>
      <c r="C61" s="2">
        <v>3</v>
      </c>
      <c r="D61" s="2">
        <v>5</v>
      </c>
      <c r="E61" s="2">
        <v>5</v>
      </c>
      <c r="F61" s="2">
        <v>4</v>
      </c>
    </row>
    <row r="62" spans="1:6" ht="15" thickBot="1" x14ac:dyDescent="0.4">
      <c r="A62" s="1" t="s">
        <v>66</v>
      </c>
      <c r="B62" s="2">
        <v>3</v>
      </c>
      <c r="C62" s="2">
        <v>4</v>
      </c>
      <c r="D62" s="2">
        <v>5</v>
      </c>
      <c r="E62" s="2">
        <v>5</v>
      </c>
      <c r="F62" s="2">
        <v>4</v>
      </c>
    </row>
    <row r="63" spans="1:6" ht="15" thickBot="1" x14ac:dyDescent="0.4">
      <c r="A63" s="1" t="s">
        <v>67</v>
      </c>
      <c r="B63" s="2">
        <v>2</v>
      </c>
      <c r="C63" s="2">
        <v>4</v>
      </c>
      <c r="D63" s="2">
        <v>5</v>
      </c>
      <c r="E63" s="2">
        <v>5</v>
      </c>
      <c r="F63" s="2">
        <v>4</v>
      </c>
    </row>
    <row r="64" spans="1:6" ht="15" thickBot="1" x14ac:dyDescent="0.4">
      <c r="A64" s="1" t="s">
        <v>68</v>
      </c>
      <c r="B64" s="2">
        <v>1</v>
      </c>
      <c r="C64" s="2">
        <v>5</v>
      </c>
      <c r="D64" s="2">
        <v>5</v>
      </c>
      <c r="E64" s="2">
        <v>5</v>
      </c>
      <c r="F64" s="2">
        <v>4</v>
      </c>
    </row>
    <row r="65" spans="1:6" ht="15" thickBot="1" x14ac:dyDescent="0.4">
      <c r="A65" s="1" t="s">
        <v>69</v>
      </c>
      <c r="B65" s="2">
        <v>4</v>
      </c>
      <c r="C65" s="2">
        <v>3</v>
      </c>
      <c r="D65" s="2">
        <v>5</v>
      </c>
      <c r="E65" s="2">
        <v>4</v>
      </c>
      <c r="F65" s="2">
        <v>3</v>
      </c>
    </row>
    <row r="66" spans="1:6" ht="15" thickBot="1" x14ac:dyDescent="0.4">
      <c r="A66" s="1" t="s">
        <v>70</v>
      </c>
      <c r="B66" s="2">
        <v>3</v>
      </c>
      <c r="C66" s="2">
        <v>4</v>
      </c>
      <c r="D66" s="2">
        <v>5</v>
      </c>
      <c r="E66" s="2">
        <v>4</v>
      </c>
      <c r="F66" s="2">
        <v>3</v>
      </c>
    </row>
    <row r="67" spans="1:6" ht="15" thickBot="1" x14ac:dyDescent="0.4">
      <c r="A67" s="1" t="s">
        <v>71</v>
      </c>
      <c r="B67" s="2">
        <v>2</v>
      </c>
      <c r="C67" s="2">
        <v>4</v>
      </c>
      <c r="D67" s="2">
        <v>5</v>
      </c>
      <c r="E67" s="2">
        <v>4</v>
      </c>
      <c r="F67" s="2">
        <v>3</v>
      </c>
    </row>
    <row r="68" spans="1:6" ht="15" thickBot="1" x14ac:dyDescent="0.4">
      <c r="A68" s="1" t="s">
        <v>72</v>
      </c>
      <c r="B68" s="2">
        <v>2</v>
      </c>
      <c r="C68" s="2">
        <v>5</v>
      </c>
      <c r="D68" s="2">
        <v>5</v>
      </c>
      <c r="E68" s="2">
        <v>4</v>
      </c>
      <c r="F68" s="2">
        <v>3</v>
      </c>
    </row>
    <row r="69" spans="1:6" ht="15" thickBot="1" x14ac:dyDescent="0.4">
      <c r="A69" s="1" t="s">
        <v>73</v>
      </c>
      <c r="B69" s="2">
        <v>1</v>
      </c>
      <c r="C69" s="2">
        <v>5</v>
      </c>
      <c r="D69" s="2">
        <v>5</v>
      </c>
      <c r="E69" s="2">
        <v>4</v>
      </c>
      <c r="F69" s="2">
        <v>3</v>
      </c>
    </row>
    <row r="70" spans="1:6" ht="15" thickBot="1" x14ac:dyDescent="0.4">
      <c r="A70" s="1" t="s">
        <v>74</v>
      </c>
      <c r="B70" s="2">
        <v>4</v>
      </c>
      <c r="C70" s="2">
        <v>2</v>
      </c>
      <c r="D70" s="2">
        <v>5</v>
      </c>
      <c r="E70" s="2">
        <v>4</v>
      </c>
      <c r="F70" s="2">
        <v>3</v>
      </c>
    </row>
    <row r="71" spans="1:6" ht="15" thickBot="1" x14ac:dyDescent="0.4">
      <c r="A71" s="1" t="s">
        <v>75</v>
      </c>
      <c r="B71" s="2">
        <v>4</v>
      </c>
      <c r="C71" s="2">
        <v>3</v>
      </c>
      <c r="D71" s="2">
        <v>5</v>
      </c>
      <c r="E71" s="2">
        <v>4</v>
      </c>
      <c r="F71" s="2">
        <v>3</v>
      </c>
    </row>
    <row r="72" spans="1:6" ht="15" thickBot="1" x14ac:dyDescent="0.4">
      <c r="A72" s="1" t="s">
        <v>76</v>
      </c>
      <c r="B72" s="2">
        <v>3</v>
      </c>
      <c r="C72" s="2">
        <v>4</v>
      </c>
      <c r="D72" s="2">
        <v>5</v>
      </c>
      <c r="E72" s="2">
        <v>4</v>
      </c>
      <c r="F72" s="2">
        <v>3</v>
      </c>
    </row>
    <row r="73" spans="1:6" ht="15" thickBot="1" x14ac:dyDescent="0.4">
      <c r="A73" s="1" t="s">
        <v>77</v>
      </c>
      <c r="B73" s="2">
        <v>2</v>
      </c>
      <c r="C73" s="2">
        <v>4</v>
      </c>
      <c r="D73" s="2">
        <v>5</v>
      </c>
      <c r="E73" s="2">
        <v>4</v>
      </c>
      <c r="F73" s="2">
        <v>3</v>
      </c>
    </row>
    <row r="74" spans="1:6" ht="15" thickBot="1" x14ac:dyDescent="0.4">
      <c r="A74" s="1" t="s">
        <v>78</v>
      </c>
      <c r="B74" s="2">
        <v>1</v>
      </c>
      <c r="C74" s="2">
        <v>5</v>
      </c>
      <c r="D74" s="2">
        <v>5</v>
      </c>
      <c r="E74" s="2">
        <v>4</v>
      </c>
      <c r="F74" s="2">
        <v>3</v>
      </c>
    </row>
    <row r="75" spans="1:6" ht="15" thickBot="1" x14ac:dyDescent="0.4">
      <c r="A75" s="1" t="s">
        <v>79</v>
      </c>
      <c r="B75" s="2">
        <v>4</v>
      </c>
      <c r="C75" s="2">
        <v>2</v>
      </c>
      <c r="D75" s="2">
        <v>5</v>
      </c>
      <c r="E75" s="2">
        <v>4</v>
      </c>
      <c r="F75" s="2">
        <v>3</v>
      </c>
    </row>
    <row r="76" spans="1:6" ht="15" thickBot="1" x14ac:dyDescent="0.4">
      <c r="A76" s="1" t="s">
        <v>80</v>
      </c>
      <c r="B76" s="2">
        <v>4</v>
      </c>
      <c r="C76" s="2">
        <v>3</v>
      </c>
      <c r="D76" s="2">
        <v>5</v>
      </c>
      <c r="E76" s="2">
        <v>4</v>
      </c>
      <c r="F76" s="2">
        <v>3</v>
      </c>
    </row>
    <row r="77" spans="1:6" ht="15" thickBot="1" x14ac:dyDescent="0.4">
      <c r="A77" s="1" t="s">
        <v>81</v>
      </c>
      <c r="B77" s="2">
        <v>3</v>
      </c>
      <c r="C77" s="2">
        <v>4</v>
      </c>
      <c r="D77" s="2">
        <v>5</v>
      </c>
      <c r="E77" s="2">
        <v>4</v>
      </c>
      <c r="F77" s="2">
        <v>3</v>
      </c>
    </row>
    <row r="78" spans="1:6" ht="15" thickBot="1" x14ac:dyDescent="0.4">
      <c r="A78" s="1" t="s">
        <v>82</v>
      </c>
      <c r="B78" s="2">
        <v>2</v>
      </c>
      <c r="C78" s="2">
        <v>4</v>
      </c>
      <c r="D78" s="2">
        <v>5</v>
      </c>
      <c r="E78" s="2">
        <v>4</v>
      </c>
      <c r="F78" s="2">
        <v>3</v>
      </c>
    </row>
    <row r="79" spans="1:6" ht="15" thickBot="1" x14ac:dyDescent="0.4">
      <c r="A79" s="1" t="s">
        <v>83</v>
      </c>
      <c r="B79" s="2">
        <v>1</v>
      </c>
      <c r="C79" s="2">
        <v>5</v>
      </c>
      <c r="D79" s="2">
        <v>5</v>
      </c>
      <c r="E79" s="2">
        <v>4</v>
      </c>
      <c r="F79" s="2">
        <v>3</v>
      </c>
    </row>
    <row r="80" spans="1:6" ht="15" thickBot="1" x14ac:dyDescent="0.4">
      <c r="A80" s="1" t="s">
        <v>84</v>
      </c>
      <c r="B80" s="2">
        <v>4</v>
      </c>
      <c r="C80" s="2">
        <v>2</v>
      </c>
      <c r="D80" s="2">
        <v>5</v>
      </c>
      <c r="E80" s="2">
        <v>4</v>
      </c>
      <c r="F80" s="2">
        <v>4</v>
      </c>
    </row>
    <row r="81" spans="1:6" ht="15" thickBot="1" x14ac:dyDescent="0.4">
      <c r="A81" s="1" t="s">
        <v>85</v>
      </c>
      <c r="B81" s="2">
        <v>4</v>
      </c>
      <c r="C81" s="2">
        <v>2</v>
      </c>
      <c r="D81" s="2">
        <v>5</v>
      </c>
      <c r="E81" s="2">
        <v>4</v>
      </c>
      <c r="F81" s="2">
        <v>4</v>
      </c>
    </row>
    <row r="82" spans="1:6" ht="15" thickBot="1" x14ac:dyDescent="0.4">
      <c r="A82" s="1" t="s">
        <v>86</v>
      </c>
      <c r="B82" s="2">
        <v>3</v>
      </c>
      <c r="C82" s="2">
        <v>3</v>
      </c>
      <c r="D82" s="2">
        <v>5</v>
      </c>
      <c r="E82" s="2">
        <v>4</v>
      </c>
      <c r="F82" s="2">
        <v>4</v>
      </c>
    </row>
    <row r="83" spans="1:6" ht="15" thickBot="1" x14ac:dyDescent="0.4">
      <c r="A83" s="1" t="s">
        <v>87</v>
      </c>
      <c r="B83" s="2">
        <v>2</v>
      </c>
      <c r="C83" s="2">
        <v>4</v>
      </c>
      <c r="D83" s="2">
        <v>5</v>
      </c>
      <c r="E83" s="2">
        <v>4</v>
      </c>
      <c r="F83" s="2">
        <v>4</v>
      </c>
    </row>
    <row r="84" spans="1:6" ht="15" thickBot="1" x14ac:dyDescent="0.4">
      <c r="A84" s="1" t="s">
        <v>88</v>
      </c>
      <c r="B84" s="2">
        <v>1</v>
      </c>
      <c r="C84" s="2">
        <v>5</v>
      </c>
      <c r="D84" s="2">
        <v>5</v>
      </c>
      <c r="E84" s="2">
        <v>4</v>
      </c>
      <c r="F84" s="2">
        <v>4</v>
      </c>
    </row>
    <row r="85" spans="1:6" ht="15" thickBot="1" x14ac:dyDescent="0.4">
      <c r="A85" s="1" t="s">
        <v>89</v>
      </c>
      <c r="B85" s="2">
        <v>3</v>
      </c>
      <c r="C85" s="2">
        <v>4</v>
      </c>
      <c r="D85" s="2">
        <v>3</v>
      </c>
      <c r="E85" s="2">
        <v>4</v>
      </c>
      <c r="F85" s="2">
        <v>2</v>
      </c>
    </row>
    <row r="86" spans="1:6" ht="15" thickBot="1" x14ac:dyDescent="0.4">
      <c r="A86" s="1" t="s">
        <v>90</v>
      </c>
      <c r="B86" s="2">
        <v>1</v>
      </c>
      <c r="C86" s="2">
        <v>5</v>
      </c>
      <c r="D86" s="2">
        <v>3</v>
      </c>
      <c r="E86" s="2">
        <v>4</v>
      </c>
      <c r="F86" s="2">
        <v>2</v>
      </c>
    </row>
    <row r="87" spans="1:6" ht="15" thickBot="1" x14ac:dyDescent="0.4">
      <c r="A87" s="1" t="s">
        <v>91</v>
      </c>
      <c r="B87" s="2">
        <v>4</v>
      </c>
      <c r="C87" s="2">
        <v>2</v>
      </c>
      <c r="D87" s="2">
        <v>4</v>
      </c>
      <c r="E87" s="2">
        <v>4</v>
      </c>
      <c r="F87" s="2">
        <v>3</v>
      </c>
    </row>
    <row r="88" spans="1:6" ht="15" thickBot="1" x14ac:dyDescent="0.4">
      <c r="A88" s="1" t="s">
        <v>92</v>
      </c>
      <c r="B88" s="2">
        <v>4</v>
      </c>
      <c r="C88" s="2">
        <v>2</v>
      </c>
      <c r="D88" s="2">
        <v>4</v>
      </c>
      <c r="E88" s="2">
        <v>4</v>
      </c>
      <c r="F88" s="2">
        <v>3</v>
      </c>
    </row>
    <row r="89" spans="1:6" ht="15" thickBot="1" x14ac:dyDescent="0.4">
      <c r="A89" s="1" t="s">
        <v>93</v>
      </c>
      <c r="B89" s="2">
        <v>3</v>
      </c>
      <c r="C89" s="2">
        <v>3</v>
      </c>
      <c r="D89" s="2">
        <v>4</v>
      </c>
      <c r="E89" s="2">
        <v>4</v>
      </c>
      <c r="F89" s="2">
        <v>3</v>
      </c>
    </row>
    <row r="90" spans="1:6" ht="15" thickBot="1" x14ac:dyDescent="0.4">
      <c r="A90" s="1" t="s">
        <v>94</v>
      </c>
      <c r="B90" s="2">
        <v>2</v>
      </c>
      <c r="C90" s="2">
        <v>4</v>
      </c>
      <c r="D90" s="2">
        <v>4</v>
      </c>
      <c r="E90" s="2">
        <v>4</v>
      </c>
      <c r="F90" s="2">
        <v>3</v>
      </c>
    </row>
    <row r="91" spans="1:6" ht="15" thickBot="1" x14ac:dyDescent="0.4">
      <c r="A91" s="1" t="s">
        <v>95</v>
      </c>
      <c r="B91" s="2">
        <v>1</v>
      </c>
      <c r="C91" s="2">
        <v>4</v>
      </c>
      <c r="D91" s="2">
        <v>4</v>
      </c>
      <c r="E91" s="2">
        <v>4</v>
      </c>
      <c r="F91" s="2">
        <v>3</v>
      </c>
    </row>
    <row r="92" spans="1:6" ht="15" thickBot="1" x14ac:dyDescent="0.4">
      <c r="A92" s="1" t="s">
        <v>96</v>
      </c>
      <c r="B92" s="2">
        <v>4</v>
      </c>
      <c r="C92" s="2">
        <v>2</v>
      </c>
      <c r="D92" s="2">
        <v>4</v>
      </c>
      <c r="E92" s="2">
        <v>4</v>
      </c>
      <c r="F92" s="2">
        <v>4</v>
      </c>
    </row>
    <row r="93" spans="1:6" ht="15" thickBot="1" x14ac:dyDescent="0.4">
      <c r="A93" s="1" t="s">
        <v>97</v>
      </c>
      <c r="B93" s="2">
        <v>4</v>
      </c>
      <c r="C93" s="2">
        <v>2</v>
      </c>
      <c r="D93" s="2">
        <v>4</v>
      </c>
      <c r="E93" s="2">
        <v>4</v>
      </c>
      <c r="F93" s="2">
        <v>4</v>
      </c>
    </row>
    <row r="94" spans="1:6" ht="15" thickBot="1" x14ac:dyDescent="0.4">
      <c r="A94" s="1" t="s">
        <v>98</v>
      </c>
      <c r="B94" s="2">
        <v>3</v>
      </c>
      <c r="C94" s="2">
        <v>3</v>
      </c>
      <c r="D94" s="2">
        <v>4</v>
      </c>
      <c r="E94" s="2">
        <v>4</v>
      </c>
      <c r="F94" s="2">
        <v>4</v>
      </c>
    </row>
    <row r="95" spans="1:6" ht="15" thickBot="1" x14ac:dyDescent="0.4">
      <c r="A95" s="1" t="s">
        <v>99</v>
      </c>
      <c r="B95" s="2">
        <v>2</v>
      </c>
      <c r="C95" s="2">
        <v>4</v>
      </c>
      <c r="D95" s="2">
        <v>4</v>
      </c>
      <c r="E95" s="2">
        <v>4</v>
      </c>
      <c r="F95" s="2">
        <v>4</v>
      </c>
    </row>
    <row r="96" spans="1:6" ht="15" thickBot="1" x14ac:dyDescent="0.4">
      <c r="A96" s="1" t="s">
        <v>100</v>
      </c>
      <c r="B96" s="2">
        <v>1</v>
      </c>
      <c r="C96" s="2">
        <v>4</v>
      </c>
      <c r="D96" s="2">
        <v>4</v>
      </c>
      <c r="E96" s="2">
        <v>4</v>
      </c>
      <c r="F96" s="2">
        <v>4</v>
      </c>
    </row>
    <row r="97" spans="1:6" ht="15" thickBot="1" x14ac:dyDescent="0.4">
      <c r="A97" s="1" t="s">
        <v>101</v>
      </c>
      <c r="B97" s="2">
        <v>4</v>
      </c>
      <c r="C97" s="2">
        <v>2</v>
      </c>
      <c r="D97" s="2">
        <v>4</v>
      </c>
      <c r="E97" s="2">
        <v>5</v>
      </c>
      <c r="F97" s="2">
        <v>4</v>
      </c>
    </row>
    <row r="98" spans="1:6" ht="15" thickBot="1" x14ac:dyDescent="0.4">
      <c r="A98" s="1" t="s">
        <v>102</v>
      </c>
      <c r="B98" s="2">
        <v>3</v>
      </c>
      <c r="C98" s="2">
        <v>3</v>
      </c>
      <c r="D98" s="2">
        <v>4</v>
      </c>
      <c r="E98" s="2">
        <v>5</v>
      </c>
      <c r="F98" s="2">
        <v>4</v>
      </c>
    </row>
    <row r="99" spans="1:6" ht="15" thickBot="1" x14ac:dyDescent="0.4">
      <c r="A99" s="1" t="s">
        <v>103</v>
      </c>
      <c r="B99" s="2">
        <v>2</v>
      </c>
      <c r="C99" s="2">
        <v>4</v>
      </c>
      <c r="D99" s="2">
        <v>4</v>
      </c>
      <c r="E99" s="2">
        <v>5</v>
      </c>
      <c r="F99" s="2">
        <v>4</v>
      </c>
    </row>
    <row r="100" spans="1:6" ht="15" thickBot="1" x14ac:dyDescent="0.4">
      <c r="A100" s="1" t="s">
        <v>104</v>
      </c>
      <c r="B100" s="2">
        <v>2</v>
      </c>
      <c r="C100" s="2">
        <v>4</v>
      </c>
      <c r="D100" s="2">
        <v>4</v>
      </c>
      <c r="E100" s="2">
        <v>5</v>
      </c>
      <c r="F100" s="2">
        <v>4</v>
      </c>
    </row>
    <row r="101" spans="1:6" ht="15" thickBot="1" x14ac:dyDescent="0.4">
      <c r="A101" s="1" t="s">
        <v>105</v>
      </c>
      <c r="B101" s="2">
        <v>1</v>
      </c>
      <c r="C101" s="2">
        <v>5</v>
      </c>
      <c r="D101" s="2">
        <v>4</v>
      </c>
      <c r="E101" s="2">
        <v>5</v>
      </c>
      <c r="F101" s="2">
        <v>4</v>
      </c>
    </row>
    <row r="102" spans="1:6" ht="15" thickBot="1" x14ac:dyDescent="0.4">
      <c r="A102" s="1" t="s">
        <v>106</v>
      </c>
      <c r="B102" s="2">
        <v>4</v>
      </c>
      <c r="C102" s="2">
        <v>2</v>
      </c>
      <c r="D102" s="2">
        <v>5</v>
      </c>
      <c r="E102" s="2">
        <v>4</v>
      </c>
      <c r="F102" s="2">
        <v>3</v>
      </c>
    </row>
    <row r="103" spans="1:6" ht="15" thickBot="1" x14ac:dyDescent="0.4">
      <c r="A103" s="1" t="s">
        <v>107</v>
      </c>
      <c r="B103" s="2">
        <v>4</v>
      </c>
      <c r="C103" s="2">
        <v>2</v>
      </c>
      <c r="D103" s="2">
        <v>5</v>
      </c>
      <c r="E103" s="2">
        <v>4</v>
      </c>
      <c r="F103" s="2">
        <v>3</v>
      </c>
    </row>
    <row r="104" spans="1:6" ht="15" thickBot="1" x14ac:dyDescent="0.4">
      <c r="A104" s="1" t="s">
        <v>108</v>
      </c>
      <c r="B104" s="2">
        <v>3</v>
      </c>
      <c r="C104" s="2">
        <v>3</v>
      </c>
      <c r="D104" s="2">
        <v>5</v>
      </c>
      <c r="E104" s="2">
        <v>4</v>
      </c>
      <c r="F104" s="2">
        <v>3</v>
      </c>
    </row>
    <row r="105" spans="1:6" ht="15" thickBot="1" x14ac:dyDescent="0.4">
      <c r="A105" s="1" t="s">
        <v>109</v>
      </c>
      <c r="B105" s="2">
        <v>2</v>
      </c>
      <c r="C105" s="2">
        <v>4</v>
      </c>
      <c r="D105" s="2">
        <v>5</v>
      </c>
      <c r="E105" s="2">
        <v>4</v>
      </c>
      <c r="F105" s="2">
        <v>3</v>
      </c>
    </row>
    <row r="106" spans="1:6" ht="15" thickBot="1" x14ac:dyDescent="0.4">
      <c r="A106" s="1" t="s">
        <v>110</v>
      </c>
      <c r="B106" s="2">
        <v>1</v>
      </c>
      <c r="C106" s="2">
        <v>4</v>
      </c>
      <c r="D106" s="2">
        <v>5</v>
      </c>
      <c r="E106" s="2">
        <v>4</v>
      </c>
      <c r="F106" s="2">
        <v>3</v>
      </c>
    </row>
    <row r="107" spans="1:6" ht="15" thickBot="1" x14ac:dyDescent="0.4">
      <c r="A107" s="1" t="s">
        <v>111</v>
      </c>
      <c r="B107" s="2">
        <v>4</v>
      </c>
      <c r="C107" s="2">
        <v>2</v>
      </c>
      <c r="D107" s="2">
        <v>5</v>
      </c>
      <c r="E107" s="2">
        <v>5</v>
      </c>
      <c r="F107" s="2">
        <v>4</v>
      </c>
    </row>
    <row r="108" spans="1:6" ht="15" thickBot="1" x14ac:dyDescent="0.4">
      <c r="A108" s="1" t="s">
        <v>112</v>
      </c>
      <c r="B108" s="2">
        <v>3</v>
      </c>
      <c r="C108" s="2">
        <v>3</v>
      </c>
      <c r="D108" s="2">
        <v>5</v>
      </c>
      <c r="E108" s="2">
        <v>5</v>
      </c>
      <c r="F108" s="2">
        <v>4</v>
      </c>
    </row>
    <row r="109" spans="1:6" ht="15" thickBot="1" x14ac:dyDescent="0.4">
      <c r="A109" s="1" t="s">
        <v>113</v>
      </c>
      <c r="B109" s="2">
        <v>3</v>
      </c>
      <c r="C109" s="2">
        <v>4</v>
      </c>
      <c r="D109" s="2">
        <v>5</v>
      </c>
      <c r="E109" s="2">
        <v>5</v>
      </c>
      <c r="F109" s="2">
        <v>4</v>
      </c>
    </row>
    <row r="110" spans="1:6" ht="15" thickBot="1" x14ac:dyDescent="0.4">
      <c r="A110" s="1" t="s">
        <v>114</v>
      </c>
      <c r="B110" s="2">
        <v>2</v>
      </c>
      <c r="C110" s="2">
        <v>4</v>
      </c>
      <c r="D110" s="2">
        <v>5</v>
      </c>
      <c r="E110" s="2">
        <v>5</v>
      </c>
      <c r="F110" s="2">
        <v>4</v>
      </c>
    </row>
    <row r="111" spans="1:6" ht="15" thickBot="1" x14ac:dyDescent="0.4">
      <c r="A111" s="1" t="s">
        <v>115</v>
      </c>
      <c r="B111" s="2">
        <v>1</v>
      </c>
      <c r="C111" s="2">
        <v>5</v>
      </c>
      <c r="D111" s="2">
        <v>5</v>
      </c>
      <c r="E111" s="2">
        <v>5</v>
      </c>
      <c r="F111" s="2">
        <v>4</v>
      </c>
    </row>
    <row r="112" spans="1:6" ht="15" thickBot="1" x14ac:dyDescent="0.4">
      <c r="A112" s="1" t="s">
        <v>116</v>
      </c>
      <c r="B112" s="2">
        <v>4</v>
      </c>
      <c r="C112" s="2">
        <v>2</v>
      </c>
      <c r="D112" s="2">
        <v>5</v>
      </c>
      <c r="E112" s="2">
        <v>5</v>
      </c>
      <c r="F112" s="2">
        <v>4</v>
      </c>
    </row>
    <row r="113" spans="1:6" ht="15" thickBot="1" x14ac:dyDescent="0.4">
      <c r="A113" s="1" t="s">
        <v>117</v>
      </c>
      <c r="B113" s="2">
        <v>4</v>
      </c>
      <c r="C113" s="2">
        <v>3</v>
      </c>
      <c r="D113" s="2">
        <v>5</v>
      </c>
      <c r="E113" s="2">
        <v>5</v>
      </c>
      <c r="F113" s="2">
        <v>4</v>
      </c>
    </row>
    <row r="114" spans="1:6" ht="15" thickBot="1" x14ac:dyDescent="0.4">
      <c r="A114" s="1" t="s">
        <v>118</v>
      </c>
      <c r="B114" s="2">
        <v>3</v>
      </c>
      <c r="C114" s="2">
        <v>3</v>
      </c>
      <c r="D114" s="2">
        <v>5</v>
      </c>
      <c r="E114" s="2">
        <v>5</v>
      </c>
      <c r="F114" s="2">
        <v>4</v>
      </c>
    </row>
    <row r="115" spans="1:6" ht="15" thickBot="1" x14ac:dyDescent="0.4">
      <c r="A115" s="1" t="s">
        <v>119</v>
      </c>
      <c r="B115" s="2">
        <v>3</v>
      </c>
      <c r="C115" s="2">
        <v>4</v>
      </c>
      <c r="D115" s="2">
        <v>5</v>
      </c>
      <c r="E115" s="2">
        <v>5</v>
      </c>
      <c r="F115" s="2">
        <v>4</v>
      </c>
    </row>
    <row r="116" spans="1:6" ht="15" thickBot="1" x14ac:dyDescent="0.4">
      <c r="A116" s="1" t="s">
        <v>120</v>
      </c>
      <c r="B116" s="2">
        <v>2</v>
      </c>
      <c r="C116" s="2">
        <v>4</v>
      </c>
      <c r="D116" s="2">
        <v>5</v>
      </c>
      <c r="E116" s="2">
        <v>5</v>
      </c>
      <c r="F116" s="2">
        <v>4</v>
      </c>
    </row>
    <row r="117" spans="1:6" ht="15" thickBot="1" x14ac:dyDescent="0.4">
      <c r="A117" s="1" t="s">
        <v>121</v>
      </c>
      <c r="B117" s="2">
        <v>4</v>
      </c>
      <c r="C117" s="2">
        <v>1</v>
      </c>
      <c r="D117" s="2">
        <v>2</v>
      </c>
      <c r="E117" s="2">
        <v>4</v>
      </c>
      <c r="F117" s="2">
        <v>3</v>
      </c>
    </row>
    <row r="118" spans="1:6" ht="15" thickBot="1" x14ac:dyDescent="0.4">
      <c r="A118" s="1" t="s">
        <v>122</v>
      </c>
      <c r="B118" s="2">
        <v>4</v>
      </c>
      <c r="C118" s="2">
        <v>2</v>
      </c>
      <c r="D118" s="2">
        <v>2</v>
      </c>
      <c r="E118" s="2">
        <v>4</v>
      </c>
      <c r="F118" s="2">
        <v>3</v>
      </c>
    </row>
    <row r="119" spans="1:6" ht="15" thickBot="1" x14ac:dyDescent="0.4">
      <c r="A119" s="1" t="s">
        <v>123</v>
      </c>
      <c r="B119" s="2">
        <v>3</v>
      </c>
      <c r="C119" s="2">
        <v>3</v>
      </c>
      <c r="D119" s="2">
        <v>2</v>
      </c>
      <c r="E119" s="2">
        <v>4</v>
      </c>
      <c r="F119" s="2">
        <v>3</v>
      </c>
    </row>
    <row r="120" spans="1:6" ht="15" thickBot="1" x14ac:dyDescent="0.4">
      <c r="A120" s="1" t="s">
        <v>124</v>
      </c>
      <c r="B120" s="2">
        <v>2</v>
      </c>
      <c r="C120" s="2">
        <v>3</v>
      </c>
      <c r="D120" s="2">
        <v>2</v>
      </c>
      <c r="E120" s="2">
        <v>4</v>
      </c>
      <c r="F120" s="2">
        <v>3</v>
      </c>
    </row>
    <row r="121" spans="1:6" ht="15" thickBot="1" x14ac:dyDescent="0.4">
      <c r="A121" s="1" t="s">
        <v>125</v>
      </c>
      <c r="B121" s="2">
        <v>1</v>
      </c>
      <c r="C121" s="2">
        <v>4</v>
      </c>
      <c r="D121" s="2">
        <v>2</v>
      </c>
      <c r="E121" s="2">
        <v>4</v>
      </c>
      <c r="F121" s="2">
        <v>3</v>
      </c>
    </row>
    <row r="122" spans="1:6" ht="15" thickBot="1" x14ac:dyDescent="0.4">
      <c r="A122" s="1" t="s">
        <v>126</v>
      </c>
      <c r="B122" s="2">
        <v>4</v>
      </c>
      <c r="C122" s="2">
        <v>2</v>
      </c>
      <c r="D122" s="2">
        <v>2</v>
      </c>
      <c r="E122" s="2">
        <v>5</v>
      </c>
      <c r="F122" s="2">
        <v>4</v>
      </c>
    </row>
    <row r="123" spans="1:6" ht="15" thickBot="1" x14ac:dyDescent="0.4">
      <c r="A123" s="1" t="s">
        <v>127</v>
      </c>
      <c r="B123" s="2">
        <v>4</v>
      </c>
      <c r="C123" s="2">
        <v>2</v>
      </c>
      <c r="D123" s="2">
        <v>2</v>
      </c>
      <c r="E123" s="2">
        <v>5</v>
      </c>
      <c r="F123" s="2">
        <v>4</v>
      </c>
    </row>
    <row r="124" spans="1:6" ht="15" thickBot="1" x14ac:dyDescent="0.4">
      <c r="A124" s="1" t="s">
        <v>128</v>
      </c>
      <c r="B124" s="2">
        <v>3</v>
      </c>
      <c r="C124" s="2">
        <v>3</v>
      </c>
      <c r="D124" s="2">
        <v>2</v>
      </c>
      <c r="E124" s="2">
        <v>5</v>
      </c>
      <c r="F124" s="2">
        <v>4</v>
      </c>
    </row>
    <row r="125" spans="1:6" ht="15" thickBot="1" x14ac:dyDescent="0.4">
      <c r="A125" s="1" t="s">
        <v>129</v>
      </c>
      <c r="B125" s="2">
        <v>2</v>
      </c>
      <c r="C125" s="2">
        <v>4</v>
      </c>
      <c r="D125" s="2">
        <v>2</v>
      </c>
      <c r="E125" s="2">
        <v>5</v>
      </c>
      <c r="F125" s="2">
        <v>4</v>
      </c>
    </row>
    <row r="126" spans="1:6" ht="15" thickBot="1" x14ac:dyDescent="0.4">
      <c r="A126" s="1" t="s">
        <v>130</v>
      </c>
      <c r="B126" s="2">
        <v>1</v>
      </c>
      <c r="C126" s="2">
        <v>4</v>
      </c>
      <c r="D126" s="2">
        <v>2</v>
      </c>
      <c r="E126" s="2">
        <v>5</v>
      </c>
      <c r="F126" s="2">
        <v>4</v>
      </c>
    </row>
    <row r="127" spans="1:6" ht="15" thickBot="1" x14ac:dyDescent="0.4">
      <c r="A127" s="1" t="s">
        <v>131</v>
      </c>
      <c r="B127" s="2">
        <v>4</v>
      </c>
      <c r="C127" s="2">
        <v>2</v>
      </c>
      <c r="D127" s="2">
        <v>2</v>
      </c>
      <c r="E127" s="2">
        <v>5</v>
      </c>
      <c r="F127" s="2">
        <v>4</v>
      </c>
    </row>
    <row r="128" spans="1:6" ht="15" thickBot="1" x14ac:dyDescent="0.4">
      <c r="A128" s="1" t="s">
        <v>132</v>
      </c>
      <c r="B128" s="2">
        <v>4</v>
      </c>
      <c r="C128" s="2">
        <v>2</v>
      </c>
      <c r="D128" s="2">
        <v>2</v>
      </c>
      <c r="E128" s="2">
        <v>5</v>
      </c>
      <c r="F128" s="2">
        <v>4</v>
      </c>
    </row>
    <row r="129" spans="1:6" ht="15" thickBot="1" x14ac:dyDescent="0.4">
      <c r="A129" s="1" t="s">
        <v>133</v>
      </c>
      <c r="B129" s="2">
        <v>3</v>
      </c>
      <c r="C129" s="2">
        <v>3</v>
      </c>
      <c r="D129" s="2">
        <v>2</v>
      </c>
      <c r="E129" s="2">
        <v>5</v>
      </c>
      <c r="F129" s="2">
        <v>4</v>
      </c>
    </row>
    <row r="130" spans="1:6" ht="15" thickBot="1" x14ac:dyDescent="0.4">
      <c r="A130" s="1" t="s">
        <v>134</v>
      </c>
      <c r="B130" s="2">
        <v>3</v>
      </c>
      <c r="C130" s="2">
        <v>3</v>
      </c>
      <c r="D130" s="2">
        <v>2</v>
      </c>
      <c r="E130" s="2">
        <v>5</v>
      </c>
      <c r="F130" s="2">
        <v>4</v>
      </c>
    </row>
    <row r="131" spans="1:6" ht="15" thickBot="1" x14ac:dyDescent="0.4">
      <c r="A131" s="1" t="s">
        <v>135</v>
      </c>
      <c r="B131" s="2">
        <v>2</v>
      </c>
      <c r="C131" s="2">
        <v>4</v>
      </c>
      <c r="D131" s="2">
        <v>2</v>
      </c>
      <c r="E131" s="2">
        <v>5</v>
      </c>
      <c r="F131" s="2">
        <v>4</v>
      </c>
    </row>
    <row r="132" spans="1:6" ht="15" thickBot="1" x14ac:dyDescent="0.4">
      <c r="A132" s="1" t="s">
        <v>136</v>
      </c>
      <c r="B132" s="2">
        <v>3</v>
      </c>
      <c r="C132" s="2">
        <v>3</v>
      </c>
      <c r="D132" s="2">
        <v>2</v>
      </c>
      <c r="E132" s="2">
        <v>4</v>
      </c>
      <c r="F132" s="2">
        <v>2</v>
      </c>
    </row>
    <row r="133" spans="1:6" ht="15" thickBot="1" x14ac:dyDescent="0.4">
      <c r="A133" s="1" t="s">
        <v>137</v>
      </c>
      <c r="B133" s="2">
        <v>2</v>
      </c>
      <c r="C133" s="2">
        <v>4</v>
      </c>
      <c r="D133" s="2">
        <v>2</v>
      </c>
      <c r="E133" s="2">
        <v>4</v>
      </c>
      <c r="F133" s="2">
        <v>2</v>
      </c>
    </row>
    <row r="134" spans="1:6" ht="15" thickBot="1" x14ac:dyDescent="0.4">
      <c r="A134" s="1" t="s">
        <v>138</v>
      </c>
      <c r="B134" s="2">
        <v>3</v>
      </c>
      <c r="C134" s="2">
        <v>3</v>
      </c>
      <c r="D134" s="2">
        <v>2</v>
      </c>
      <c r="E134" s="2">
        <v>4</v>
      </c>
      <c r="F134" s="2">
        <v>2</v>
      </c>
    </row>
    <row r="135" spans="1:6" ht="15" thickBot="1" x14ac:dyDescent="0.4">
      <c r="A135" s="1" t="s">
        <v>139</v>
      </c>
      <c r="B135" s="2">
        <v>2</v>
      </c>
      <c r="C135" s="2">
        <v>4</v>
      </c>
      <c r="D135" s="2">
        <v>2</v>
      </c>
      <c r="E135" s="2">
        <v>4</v>
      </c>
      <c r="F135" s="2">
        <v>2</v>
      </c>
    </row>
    <row r="136" spans="1:6" ht="15" thickBot="1" x14ac:dyDescent="0.4">
      <c r="A136" s="1" t="s">
        <v>140</v>
      </c>
      <c r="B136" s="2">
        <v>3</v>
      </c>
      <c r="C136" s="2">
        <v>3</v>
      </c>
      <c r="D136" s="2">
        <v>4</v>
      </c>
      <c r="E136" s="2">
        <v>4</v>
      </c>
      <c r="F136" s="2">
        <v>3</v>
      </c>
    </row>
    <row r="137" spans="1:6" ht="15" thickBot="1" x14ac:dyDescent="0.4">
      <c r="A137" s="1" t="s">
        <v>141</v>
      </c>
      <c r="B137" s="2">
        <v>2</v>
      </c>
      <c r="C137" s="2">
        <v>4</v>
      </c>
      <c r="D137" s="2">
        <v>4</v>
      </c>
      <c r="E137" s="2">
        <v>4</v>
      </c>
      <c r="F137" s="2">
        <v>3</v>
      </c>
    </row>
    <row r="138" spans="1:6" ht="15" thickBot="1" x14ac:dyDescent="0.4">
      <c r="A138" s="1" t="s">
        <v>142</v>
      </c>
      <c r="B138" s="2">
        <v>1</v>
      </c>
      <c r="C138" s="2">
        <v>5</v>
      </c>
      <c r="D138" s="2">
        <v>4</v>
      </c>
      <c r="E138" s="2">
        <v>4</v>
      </c>
      <c r="F138" s="2">
        <v>3</v>
      </c>
    </row>
    <row r="139" spans="1:6" ht="15" thickBot="1" x14ac:dyDescent="0.4">
      <c r="A139" s="1" t="s">
        <v>143</v>
      </c>
      <c r="B139" s="2">
        <v>5</v>
      </c>
      <c r="C139" s="2">
        <v>2</v>
      </c>
      <c r="D139" s="2">
        <v>4</v>
      </c>
      <c r="E139" s="2">
        <v>3</v>
      </c>
      <c r="F139" s="2">
        <v>3</v>
      </c>
    </row>
    <row r="140" spans="1:6" ht="15" thickBot="1" x14ac:dyDescent="0.4">
      <c r="A140" s="1" t="s">
        <v>144</v>
      </c>
      <c r="B140" s="2">
        <v>5</v>
      </c>
      <c r="C140" s="2">
        <v>3</v>
      </c>
      <c r="D140" s="2">
        <v>4</v>
      </c>
      <c r="E140" s="2">
        <v>3</v>
      </c>
      <c r="F140" s="2">
        <v>3</v>
      </c>
    </row>
    <row r="141" spans="1:6" ht="15" thickBot="1" x14ac:dyDescent="0.4">
      <c r="A141" s="1" t="s">
        <v>145</v>
      </c>
      <c r="B141" s="2">
        <v>5</v>
      </c>
      <c r="C141" s="2">
        <v>4</v>
      </c>
      <c r="D141" s="2">
        <v>4</v>
      </c>
      <c r="E141" s="2">
        <v>2</v>
      </c>
      <c r="F141" s="2">
        <v>3</v>
      </c>
    </row>
    <row r="142" spans="1:6" ht="15" thickBot="1" x14ac:dyDescent="0.4">
      <c r="A142" s="1" t="s">
        <v>146</v>
      </c>
      <c r="B142" s="2">
        <v>5</v>
      </c>
      <c r="C142" s="2">
        <v>4</v>
      </c>
      <c r="D142" s="2">
        <v>4</v>
      </c>
      <c r="E142" s="2">
        <v>2</v>
      </c>
      <c r="F142" s="2">
        <v>3</v>
      </c>
    </row>
    <row r="143" spans="1:6" ht="15" thickBot="1" x14ac:dyDescent="0.4">
      <c r="A143" s="1" t="s">
        <v>147</v>
      </c>
      <c r="B143" s="2">
        <v>5</v>
      </c>
      <c r="C143" s="2">
        <v>5</v>
      </c>
      <c r="D143" s="2">
        <v>4</v>
      </c>
      <c r="E143" s="2">
        <v>1</v>
      </c>
      <c r="F143" s="2">
        <v>3</v>
      </c>
    </row>
    <row r="144" spans="1:6" ht="15" thickBot="1" x14ac:dyDescent="0.4">
      <c r="A144" s="1" t="s">
        <v>148</v>
      </c>
      <c r="B144" s="2">
        <v>5</v>
      </c>
      <c r="C144" s="2">
        <v>2</v>
      </c>
      <c r="D144" s="2">
        <v>5</v>
      </c>
      <c r="E144" s="2">
        <v>4</v>
      </c>
      <c r="F144" s="2">
        <v>4</v>
      </c>
    </row>
    <row r="145" spans="1:6" ht="15" thickBot="1" x14ac:dyDescent="0.4">
      <c r="A145" s="1" t="s">
        <v>149</v>
      </c>
      <c r="B145" s="2">
        <v>5</v>
      </c>
      <c r="C145" s="2">
        <v>3</v>
      </c>
      <c r="D145" s="2">
        <v>5</v>
      </c>
      <c r="E145" s="2">
        <v>4</v>
      </c>
      <c r="F145" s="2">
        <v>4</v>
      </c>
    </row>
    <row r="146" spans="1:6" ht="15" thickBot="1" x14ac:dyDescent="0.4">
      <c r="A146" s="1" t="s">
        <v>150</v>
      </c>
      <c r="B146" s="2">
        <v>5</v>
      </c>
      <c r="C146" s="2">
        <v>3</v>
      </c>
      <c r="D146" s="2">
        <v>5</v>
      </c>
      <c r="E146" s="2">
        <v>4</v>
      </c>
      <c r="F146" s="2">
        <v>4</v>
      </c>
    </row>
    <row r="147" spans="1:6" ht="15" thickBot="1" x14ac:dyDescent="0.4">
      <c r="A147" s="1" t="s">
        <v>151</v>
      </c>
      <c r="B147" s="2">
        <v>5</v>
      </c>
      <c r="C147" s="2">
        <v>4</v>
      </c>
      <c r="D147" s="2">
        <v>5</v>
      </c>
      <c r="E147" s="2">
        <v>3</v>
      </c>
      <c r="F147" s="2">
        <v>4</v>
      </c>
    </row>
    <row r="148" spans="1:6" ht="15" thickBot="1" x14ac:dyDescent="0.4">
      <c r="A148" s="1" t="s">
        <v>152</v>
      </c>
      <c r="B148" s="2">
        <v>5</v>
      </c>
      <c r="C148" s="2">
        <v>5</v>
      </c>
      <c r="D148" s="2">
        <v>5</v>
      </c>
      <c r="E148" s="2">
        <v>2</v>
      </c>
      <c r="F148" s="2">
        <v>4</v>
      </c>
    </row>
    <row r="149" spans="1:6" ht="15" thickBot="1" x14ac:dyDescent="0.4">
      <c r="A149" s="1" t="s">
        <v>153</v>
      </c>
      <c r="B149" s="2">
        <v>5</v>
      </c>
      <c r="C149" s="2">
        <v>2</v>
      </c>
      <c r="D149" s="2">
        <v>5</v>
      </c>
      <c r="E149" s="2">
        <v>4</v>
      </c>
      <c r="F149" s="2">
        <v>4</v>
      </c>
    </row>
    <row r="150" spans="1:6" ht="15" thickBot="1" x14ac:dyDescent="0.4">
      <c r="A150" s="1" t="s">
        <v>154</v>
      </c>
      <c r="B150" s="2">
        <v>5</v>
      </c>
      <c r="C150" s="2">
        <v>3</v>
      </c>
      <c r="D150" s="2">
        <v>5</v>
      </c>
      <c r="E150" s="2">
        <v>4</v>
      </c>
      <c r="F150" s="2">
        <v>4</v>
      </c>
    </row>
    <row r="151" spans="1:6" ht="15" thickBot="1" x14ac:dyDescent="0.4">
      <c r="A151" s="1" t="s">
        <v>155</v>
      </c>
      <c r="B151" s="2">
        <v>5</v>
      </c>
      <c r="C151" s="2">
        <v>3</v>
      </c>
      <c r="D151" s="2">
        <v>5</v>
      </c>
      <c r="E151" s="2">
        <v>4</v>
      </c>
      <c r="F151" s="2">
        <v>4</v>
      </c>
    </row>
    <row r="152" spans="1:6" ht="15" thickBot="1" x14ac:dyDescent="0.4">
      <c r="A152" s="1" t="s">
        <v>156</v>
      </c>
      <c r="B152" s="2">
        <v>5</v>
      </c>
      <c r="C152" s="2">
        <v>4</v>
      </c>
      <c r="D152" s="2">
        <v>5</v>
      </c>
      <c r="E152" s="2">
        <v>3</v>
      </c>
      <c r="F152" s="2">
        <v>4</v>
      </c>
    </row>
    <row r="153" spans="1:6" ht="15" thickBot="1" x14ac:dyDescent="0.4">
      <c r="A153" s="1" t="s">
        <v>157</v>
      </c>
      <c r="B153" s="2">
        <v>5</v>
      </c>
      <c r="C153" s="2">
        <v>5</v>
      </c>
      <c r="D153" s="2">
        <v>5</v>
      </c>
      <c r="E153" s="2">
        <v>2</v>
      </c>
      <c r="F153" s="2">
        <v>4</v>
      </c>
    </row>
    <row r="154" spans="1:6" ht="15" thickBot="1" x14ac:dyDescent="0.4">
      <c r="A154" s="1" t="s">
        <v>158</v>
      </c>
      <c r="B154" s="2">
        <v>4</v>
      </c>
      <c r="C154" s="2">
        <v>2</v>
      </c>
      <c r="D154" s="2">
        <v>5</v>
      </c>
      <c r="E154" s="2">
        <v>4</v>
      </c>
      <c r="F154" s="2">
        <v>4</v>
      </c>
    </row>
    <row r="155" spans="1:6" ht="15" thickBot="1" x14ac:dyDescent="0.4">
      <c r="A155" s="1" t="s">
        <v>159</v>
      </c>
      <c r="B155" s="2">
        <v>4</v>
      </c>
      <c r="C155" s="2">
        <v>2</v>
      </c>
      <c r="D155" s="2">
        <v>5</v>
      </c>
      <c r="E155" s="2">
        <v>4</v>
      </c>
      <c r="F155" s="2">
        <v>4</v>
      </c>
    </row>
    <row r="156" spans="1:6" ht="15" thickBot="1" x14ac:dyDescent="0.4">
      <c r="A156" s="1" t="s">
        <v>160</v>
      </c>
      <c r="B156" s="2">
        <v>3</v>
      </c>
      <c r="C156" s="2">
        <v>3</v>
      </c>
      <c r="D156" s="2">
        <v>5</v>
      </c>
      <c r="E156" s="2">
        <v>4</v>
      </c>
      <c r="F156" s="2">
        <v>4</v>
      </c>
    </row>
    <row r="157" spans="1:6" ht="15" thickBot="1" x14ac:dyDescent="0.4">
      <c r="A157" s="1" t="s">
        <v>161</v>
      </c>
      <c r="B157" s="2">
        <v>2</v>
      </c>
      <c r="C157" s="2">
        <v>4</v>
      </c>
      <c r="D157" s="2">
        <v>5</v>
      </c>
      <c r="E157" s="2">
        <v>3</v>
      </c>
      <c r="F157" s="2">
        <v>4</v>
      </c>
    </row>
    <row r="158" spans="1:6" ht="15" thickBot="1" x14ac:dyDescent="0.4">
      <c r="A158" s="1" t="s">
        <v>162</v>
      </c>
      <c r="B158" s="2">
        <v>1</v>
      </c>
      <c r="C158" s="2">
        <v>5</v>
      </c>
      <c r="D158" s="2">
        <v>5</v>
      </c>
      <c r="E158" s="2">
        <v>2</v>
      </c>
      <c r="F158" s="2">
        <v>4</v>
      </c>
    </row>
    <row r="159" spans="1:6" ht="15" thickBot="1" x14ac:dyDescent="0.4">
      <c r="A159" s="1" t="s">
        <v>163</v>
      </c>
      <c r="B159" s="2">
        <v>4</v>
      </c>
      <c r="C159" s="2">
        <v>2</v>
      </c>
      <c r="D159" s="2">
        <v>5</v>
      </c>
      <c r="E159" s="2">
        <v>4</v>
      </c>
      <c r="F159" s="2">
        <v>4</v>
      </c>
    </row>
    <row r="160" spans="1:6" ht="15" thickBot="1" x14ac:dyDescent="0.4">
      <c r="A160" s="1" t="s">
        <v>164</v>
      </c>
      <c r="B160" s="2">
        <v>3</v>
      </c>
      <c r="C160" s="2">
        <v>3</v>
      </c>
      <c r="D160" s="2">
        <v>5</v>
      </c>
      <c r="E160" s="2">
        <v>4</v>
      </c>
      <c r="F160" s="2">
        <v>4</v>
      </c>
    </row>
    <row r="161" spans="1:6" ht="15" thickBot="1" x14ac:dyDescent="0.4">
      <c r="A161" s="1" t="s">
        <v>165</v>
      </c>
      <c r="B161" s="2">
        <v>3</v>
      </c>
      <c r="C161" s="2">
        <v>3</v>
      </c>
      <c r="D161" s="2">
        <v>5</v>
      </c>
      <c r="E161" s="2">
        <v>4</v>
      </c>
      <c r="F161" s="2">
        <v>4</v>
      </c>
    </row>
    <row r="162" spans="1:6" ht="15" thickBot="1" x14ac:dyDescent="0.4">
      <c r="A162" s="1" t="s">
        <v>166</v>
      </c>
      <c r="B162" s="2">
        <v>2</v>
      </c>
      <c r="C162" s="2">
        <v>4</v>
      </c>
      <c r="D162" s="2">
        <v>5</v>
      </c>
      <c r="E162" s="2">
        <v>4</v>
      </c>
      <c r="F162" s="2">
        <v>4</v>
      </c>
    </row>
    <row r="163" spans="1:6" ht="15" thickBot="1" x14ac:dyDescent="0.4">
      <c r="A163" s="1" t="s">
        <v>167</v>
      </c>
      <c r="B163" s="2">
        <v>1</v>
      </c>
      <c r="C163" s="2">
        <v>4</v>
      </c>
      <c r="D163" s="2">
        <v>5</v>
      </c>
      <c r="E163" s="2">
        <v>4</v>
      </c>
      <c r="F163" s="2">
        <v>4</v>
      </c>
    </row>
    <row r="164" spans="1:6" ht="15" thickBot="1" x14ac:dyDescent="0.4">
      <c r="A164" s="1" t="s">
        <v>168</v>
      </c>
      <c r="B164" s="2">
        <v>4</v>
      </c>
      <c r="C164" s="2">
        <v>2</v>
      </c>
      <c r="D164" s="2">
        <v>5</v>
      </c>
      <c r="E164" s="2">
        <v>5</v>
      </c>
      <c r="F164" s="2">
        <v>4</v>
      </c>
    </row>
    <row r="165" spans="1:6" ht="15" thickBot="1" x14ac:dyDescent="0.4">
      <c r="A165" s="1" t="s">
        <v>169</v>
      </c>
      <c r="B165" s="2">
        <v>3</v>
      </c>
      <c r="C165" s="2">
        <v>3</v>
      </c>
      <c r="D165" s="2">
        <v>5</v>
      </c>
      <c r="E165" s="2">
        <v>5</v>
      </c>
      <c r="F165" s="2">
        <v>4</v>
      </c>
    </row>
    <row r="166" spans="1:6" ht="15" thickBot="1" x14ac:dyDescent="0.4">
      <c r="A166" s="1" t="s">
        <v>170</v>
      </c>
      <c r="B166" s="2">
        <v>3</v>
      </c>
      <c r="C166" s="2">
        <v>3</v>
      </c>
      <c r="D166" s="2">
        <v>5</v>
      </c>
      <c r="E166" s="2">
        <v>5</v>
      </c>
      <c r="F166" s="2">
        <v>4</v>
      </c>
    </row>
    <row r="167" spans="1:6" ht="15" thickBot="1" x14ac:dyDescent="0.4">
      <c r="A167" s="1" t="s">
        <v>171</v>
      </c>
      <c r="B167" s="2">
        <v>2</v>
      </c>
      <c r="C167" s="2">
        <v>4</v>
      </c>
      <c r="D167" s="2">
        <v>5</v>
      </c>
      <c r="E167" s="2">
        <v>5</v>
      </c>
      <c r="F167" s="2">
        <v>4</v>
      </c>
    </row>
    <row r="168" spans="1:6" ht="15" thickBot="1" x14ac:dyDescent="0.4">
      <c r="A168" s="1" t="s">
        <v>172</v>
      </c>
      <c r="B168" s="2">
        <v>1</v>
      </c>
      <c r="C168" s="2">
        <v>5</v>
      </c>
      <c r="D168" s="2">
        <v>5</v>
      </c>
      <c r="E168" s="2">
        <v>5</v>
      </c>
      <c r="F168" s="2">
        <v>4</v>
      </c>
    </row>
    <row r="169" spans="1:6" ht="15" thickBot="1" x14ac:dyDescent="0.4">
      <c r="A169" s="1" t="s">
        <v>173</v>
      </c>
      <c r="B169" s="2">
        <v>4</v>
      </c>
      <c r="C169" s="2">
        <v>2</v>
      </c>
      <c r="D169" s="2">
        <v>4</v>
      </c>
      <c r="E169" s="2">
        <v>5</v>
      </c>
      <c r="F169" s="2">
        <v>3</v>
      </c>
    </row>
    <row r="170" spans="1:6" ht="15" thickBot="1" x14ac:dyDescent="0.4">
      <c r="A170" s="1" t="s">
        <v>174</v>
      </c>
      <c r="B170" s="2">
        <v>3</v>
      </c>
      <c r="C170" s="2">
        <v>3</v>
      </c>
      <c r="D170" s="2">
        <v>4</v>
      </c>
      <c r="E170" s="2">
        <v>5</v>
      </c>
      <c r="F170" s="2">
        <v>3</v>
      </c>
    </row>
    <row r="171" spans="1:6" ht="15" thickBot="1" x14ac:dyDescent="0.4">
      <c r="A171" s="1" t="s">
        <v>175</v>
      </c>
      <c r="B171" s="2">
        <v>3</v>
      </c>
      <c r="C171" s="2">
        <v>3</v>
      </c>
      <c r="D171" s="2">
        <v>4</v>
      </c>
      <c r="E171" s="2">
        <v>4</v>
      </c>
      <c r="F171" s="2">
        <v>2</v>
      </c>
    </row>
    <row r="172" spans="1:6" ht="15" thickBot="1" x14ac:dyDescent="0.4">
      <c r="A172" s="1" t="s">
        <v>176</v>
      </c>
      <c r="B172" s="2">
        <v>1</v>
      </c>
      <c r="C172" s="2">
        <v>4</v>
      </c>
      <c r="D172" s="2">
        <v>4</v>
      </c>
      <c r="E172" s="2">
        <v>4</v>
      </c>
      <c r="F172" s="2">
        <v>2</v>
      </c>
    </row>
    <row r="173" spans="1:6" ht="15" thickBot="1" x14ac:dyDescent="0.4">
      <c r="A173" s="1" t="s">
        <v>177</v>
      </c>
      <c r="B173" s="2">
        <v>4</v>
      </c>
      <c r="C173" s="2">
        <v>2</v>
      </c>
      <c r="D173" s="2">
        <v>5</v>
      </c>
      <c r="E173" s="2">
        <v>5</v>
      </c>
      <c r="F173" s="2">
        <v>4</v>
      </c>
    </row>
    <row r="174" spans="1:6" ht="15" thickBot="1" x14ac:dyDescent="0.4">
      <c r="A174" s="1" t="s">
        <v>178</v>
      </c>
      <c r="B174" s="2">
        <v>4</v>
      </c>
      <c r="C174" s="2">
        <v>3</v>
      </c>
      <c r="D174" s="2">
        <v>5</v>
      </c>
      <c r="E174" s="2">
        <v>5</v>
      </c>
      <c r="F174" s="2">
        <v>4</v>
      </c>
    </row>
    <row r="175" spans="1:6" ht="15" thickBot="1" x14ac:dyDescent="0.4">
      <c r="A175" s="1" t="s">
        <v>179</v>
      </c>
      <c r="B175" s="2">
        <v>3</v>
      </c>
      <c r="C175" s="2">
        <v>3</v>
      </c>
      <c r="D175" s="2">
        <v>5</v>
      </c>
      <c r="E175" s="2">
        <v>5</v>
      </c>
      <c r="F175" s="2">
        <v>4</v>
      </c>
    </row>
    <row r="176" spans="1:6" ht="15" thickBot="1" x14ac:dyDescent="0.4">
      <c r="A176" s="1" t="s">
        <v>180</v>
      </c>
      <c r="B176" s="2">
        <v>2</v>
      </c>
      <c r="C176" s="2">
        <v>4</v>
      </c>
      <c r="D176" s="2">
        <v>5</v>
      </c>
      <c r="E176" s="2">
        <v>5</v>
      </c>
      <c r="F176" s="2">
        <v>4</v>
      </c>
    </row>
    <row r="177" spans="1:6" ht="15" thickBot="1" x14ac:dyDescent="0.4">
      <c r="A177" s="1" t="s">
        <v>181</v>
      </c>
      <c r="B177" s="2">
        <v>1</v>
      </c>
      <c r="C177" s="2">
        <v>5</v>
      </c>
      <c r="D177" s="2">
        <v>5</v>
      </c>
      <c r="E177" s="2">
        <v>5</v>
      </c>
      <c r="F177" s="2">
        <v>4</v>
      </c>
    </row>
    <row r="178" spans="1:6" ht="15" thickBot="1" x14ac:dyDescent="0.4">
      <c r="A178" s="1" t="s">
        <v>182</v>
      </c>
      <c r="B178" s="2">
        <v>4</v>
      </c>
      <c r="C178" s="2">
        <v>2</v>
      </c>
      <c r="D178" s="2">
        <v>5</v>
      </c>
      <c r="E178" s="2">
        <v>5</v>
      </c>
      <c r="F178" s="2">
        <v>4</v>
      </c>
    </row>
    <row r="179" spans="1:6" ht="15" thickBot="1" x14ac:dyDescent="0.4">
      <c r="A179" s="1" t="s">
        <v>183</v>
      </c>
      <c r="B179" s="2">
        <v>4</v>
      </c>
      <c r="C179" s="2">
        <v>3</v>
      </c>
      <c r="D179" s="2">
        <v>5</v>
      </c>
      <c r="E179" s="2">
        <v>5</v>
      </c>
      <c r="F179" s="2">
        <v>4</v>
      </c>
    </row>
    <row r="180" spans="1:6" ht="15" thickBot="1" x14ac:dyDescent="0.4">
      <c r="A180" s="1" t="s">
        <v>184</v>
      </c>
      <c r="B180" s="2">
        <v>3</v>
      </c>
      <c r="C180" s="2">
        <v>4</v>
      </c>
      <c r="D180" s="2">
        <v>5</v>
      </c>
      <c r="E180" s="2">
        <v>5</v>
      </c>
      <c r="F180" s="2">
        <v>4</v>
      </c>
    </row>
    <row r="181" spans="1:6" ht="15" thickBot="1" x14ac:dyDescent="0.4">
      <c r="A181" s="1" t="s">
        <v>185</v>
      </c>
      <c r="B181" s="2">
        <v>2</v>
      </c>
      <c r="C181" s="2">
        <v>4</v>
      </c>
      <c r="D181" s="2">
        <v>5</v>
      </c>
      <c r="E181" s="2">
        <v>5</v>
      </c>
      <c r="F181" s="2">
        <v>4</v>
      </c>
    </row>
    <row r="182" spans="1:6" ht="15" thickBot="1" x14ac:dyDescent="0.4">
      <c r="A182" s="1" t="s">
        <v>186</v>
      </c>
      <c r="B182" s="2">
        <v>1</v>
      </c>
      <c r="C182" s="2">
        <v>5</v>
      </c>
      <c r="D182" s="2">
        <v>5</v>
      </c>
      <c r="E182" s="2">
        <v>5</v>
      </c>
      <c r="F182" s="2">
        <v>4</v>
      </c>
    </row>
    <row r="183" spans="1:6" ht="15" thickBot="1" x14ac:dyDescent="0.4">
      <c r="A183" s="1" t="s">
        <v>187</v>
      </c>
      <c r="B183" s="2">
        <v>3</v>
      </c>
      <c r="C183" s="2">
        <v>3</v>
      </c>
      <c r="D183" s="2">
        <v>4</v>
      </c>
      <c r="E183" s="2">
        <v>4</v>
      </c>
      <c r="F183" s="2">
        <v>3</v>
      </c>
    </row>
    <row r="184" spans="1:6" ht="15" thickBot="1" x14ac:dyDescent="0.4">
      <c r="A184" s="1" t="s">
        <v>188</v>
      </c>
      <c r="B184" s="2">
        <v>1</v>
      </c>
      <c r="C184" s="2">
        <v>4</v>
      </c>
      <c r="D184" s="2">
        <v>4</v>
      </c>
      <c r="E184" s="2">
        <v>4</v>
      </c>
      <c r="F184" s="2">
        <v>3</v>
      </c>
    </row>
    <row r="185" spans="1:6" ht="15" thickBot="1" x14ac:dyDescent="0.4">
      <c r="A185" s="1" t="s">
        <v>189</v>
      </c>
      <c r="B185" s="2">
        <v>5</v>
      </c>
      <c r="C185" s="2">
        <v>4</v>
      </c>
      <c r="D185" s="2">
        <v>4</v>
      </c>
      <c r="E185" s="2">
        <v>2</v>
      </c>
      <c r="F185" s="2">
        <v>1</v>
      </c>
    </row>
    <row r="186" spans="1:6" ht="15" thickBot="1" x14ac:dyDescent="0.4">
      <c r="A186" s="1" t="s">
        <v>190</v>
      </c>
      <c r="B186" s="2">
        <v>5</v>
      </c>
      <c r="C186" s="2">
        <v>5</v>
      </c>
      <c r="D186" s="2">
        <v>4</v>
      </c>
      <c r="E186" s="2">
        <v>1</v>
      </c>
      <c r="F186" s="2">
        <v>1</v>
      </c>
    </row>
    <row r="187" spans="1:6" ht="15" thickBot="1" x14ac:dyDescent="0.4">
      <c r="A187" s="1" t="s">
        <v>191</v>
      </c>
      <c r="B187" s="2">
        <v>3</v>
      </c>
      <c r="C187" s="2">
        <v>3</v>
      </c>
      <c r="D187" s="2">
        <v>4</v>
      </c>
      <c r="E187" s="2">
        <v>4</v>
      </c>
      <c r="F187" s="2">
        <v>3</v>
      </c>
    </row>
    <row r="188" spans="1:6" ht="15" thickBot="1" x14ac:dyDescent="0.4">
      <c r="A188" s="1" t="s">
        <v>192</v>
      </c>
      <c r="B188" s="2">
        <v>2</v>
      </c>
      <c r="C188" s="2">
        <v>4</v>
      </c>
      <c r="D188" s="2">
        <v>4</v>
      </c>
      <c r="E188" s="2">
        <v>4</v>
      </c>
      <c r="F188" s="2">
        <v>3</v>
      </c>
    </row>
  </sheetData>
  <autoFilter ref="A1:F188" xr:uid="{8126830C-7C8E-4CDA-A4F1-A296092FDD31}"/>
  <conditionalFormatting sqref="A2:A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9:A1048576 A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9:B1048576 B1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89:C1048576 C1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89:D1048576 D1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89:E1048576 E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89:F1048576 F1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1:I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10C90-B35D-4FCD-929C-0564495A27E9}">
  <dimension ref="B2:H15"/>
  <sheetViews>
    <sheetView workbookViewId="0">
      <selection activeCell="K15" sqref="K15"/>
    </sheetView>
  </sheetViews>
  <sheetFormatPr defaultRowHeight="14.5" x14ac:dyDescent="0.35"/>
  <sheetData>
    <row r="2" spans="2:8" x14ac:dyDescent="0.35">
      <c r="B2" s="3" t="s">
        <v>196</v>
      </c>
    </row>
    <row r="3" spans="2:8" x14ac:dyDescent="0.35">
      <c r="B3" s="3" t="s">
        <v>193</v>
      </c>
    </row>
    <row r="4" spans="2:8" x14ac:dyDescent="0.35">
      <c r="B4" s="3" t="s">
        <v>194</v>
      </c>
    </row>
    <row r="5" spans="2:8" x14ac:dyDescent="0.35">
      <c r="B5" s="3" t="s">
        <v>195</v>
      </c>
    </row>
    <row r="6" spans="2:8" x14ac:dyDescent="0.35">
      <c r="B6" s="3" t="s">
        <v>197</v>
      </c>
    </row>
    <row r="10" spans="2:8" ht="15.5" x14ac:dyDescent="0.35">
      <c r="B10" s="4" t="s">
        <v>198</v>
      </c>
      <c r="C10" s="4" t="s">
        <v>199</v>
      </c>
      <c r="D10" s="4" t="s">
        <v>200</v>
      </c>
      <c r="E10" s="4" t="s">
        <v>201</v>
      </c>
      <c r="F10" s="4" t="s">
        <v>202</v>
      </c>
      <c r="G10" s="4" t="s">
        <v>203</v>
      </c>
      <c r="H10" s="4" t="s">
        <v>204</v>
      </c>
    </row>
    <row r="11" spans="2:8" ht="15.5" x14ac:dyDescent="0.35">
      <c r="B11" s="4" t="s">
        <v>1</v>
      </c>
      <c r="C11" s="4" t="s">
        <v>205</v>
      </c>
      <c r="D11" s="4" t="s">
        <v>206</v>
      </c>
      <c r="E11" s="4"/>
      <c r="F11" s="4"/>
      <c r="G11" s="4"/>
      <c r="H11" s="4">
        <v>0.2</v>
      </c>
    </row>
    <row r="12" spans="2:8" ht="15.5" x14ac:dyDescent="0.35">
      <c r="B12" s="4" t="s">
        <v>2</v>
      </c>
      <c r="C12" s="4" t="s">
        <v>205</v>
      </c>
      <c r="D12" s="4" t="s">
        <v>206</v>
      </c>
      <c r="E12" s="4"/>
      <c r="F12" s="4"/>
      <c r="G12" s="4"/>
      <c r="H12" s="4">
        <v>0.2</v>
      </c>
    </row>
    <row r="13" spans="2:8" ht="15.5" x14ac:dyDescent="0.35">
      <c r="B13" s="4" t="s">
        <v>3</v>
      </c>
      <c r="C13" s="4" t="s">
        <v>205</v>
      </c>
      <c r="D13" s="4" t="s">
        <v>206</v>
      </c>
      <c r="E13" s="4"/>
      <c r="F13" s="4"/>
      <c r="G13" s="4"/>
      <c r="H13" s="4">
        <v>0.2</v>
      </c>
    </row>
    <row r="14" spans="2:8" ht="15.5" x14ac:dyDescent="0.35">
      <c r="B14" s="4" t="s">
        <v>4</v>
      </c>
      <c r="C14" s="4" t="s">
        <v>205</v>
      </c>
      <c r="D14" s="4" t="s">
        <v>206</v>
      </c>
      <c r="E14" s="4"/>
      <c r="F14" s="4"/>
      <c r="G14" s="4"/>
      <c r="H14" s="4">
        <v>0.2</v>
      </c>
    </row>
    <row r="15" spans="2:8" ht="15.5" x14ac:dyDescent="0.35">
      <c r="B15" s="4" t="s">
        <v>5</v>
      </c>
      <c r="C15" s="4" t="s">
        <v>205</v>
      </c>
      <c r="D15" s="4" t="s">
        <v>206</v>
      </c>
      <c r="E15" s="4"/>
      <c r="F15" s="4"/>
      <c r="G15" s="4"/>
      <c r="H15" s="4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ABB36-D546-4A1D-99D1-338E890110A5}">
  <dimension ref="A1:S189"/>
  <sheetViews>
    <sheetView topLeftCell="A148" workbookViewId="0">
      <selection activeCell="B178" sqref="B178"/>
    </sheetView>
  </sheetViews>
  <sheetFormatPr defaultRowHeight="15.5" x14ac:dyDescent="0.35"/>
  <cols>
    <col min="1" max="16384" width="8.7265625" style="4"/>
  </cols>
  <sheetData>
    <row r="1" spans="1:19" x14ac:dyDescent="0.35">
      <c r="A1" s="4" t="s">
        <v>207</v>
      </c>
      <c r="B1" s="4" t="s">
        <v>208</v>
      </c>
      <c r="C1" s="4" t="s">
        <v>208</v>
      </c>
      <c r="D1" s="4" t="s">
        <v>208</v>
      </c>
      <c r="E1" s="4" t="s">
        <v>1</v>
      </c>
      <c r="F1" s="4" t="s">
        <v>1</v>
      </c>
      <c r="G1" s="4" t="s">
        <v>1</v>
      </c>
      <c r="H1" s="4" t="s">
        <v>2</v>
      </c>
      <c r="I1" s="4" t="s">
        <v>2</v>
      </c>
      <c r="J1" s="4" t="s">
        <v>2</v>
      </c>
      <c r="K1" s="4" t="s">
        <v>3</v>
      </c>
      <c r="L1" s="4" t="s">
        <v>3</v>
      </c>
      <c r="M1" s="4" t="s">
        <v>3</v>
      </c>
      <c r="N1" s="4" t="s">
        <v>4</v>
      </c>
      <c r="O1" s="4" t="s">
        <v>4</v>
      </c>
      <c r="P1" s="4" t="s">
        <v>4</v>
      </c>
      <c r="Q1" s="4" t="s">
        <v>5</v>
      </c>
      <c r="R1" s="4" t="s">
        <v>5</v>
      </c>
      <c r="S1" s="4" t="s">
        <v>5</v>
      </c>
    </row>
    <row r="2" spans="1:19" x14ac:dyDescent="0.35">
      <c r="A2" s="4" t="s">
        <v>209</v>
      </c>
      <c r="B2" s="4" t="s">
        <v>210</v>
      </c>
      <c r="C2" s="4" t="s">
        <v>211</v>
      </c>
      <c r="D2" s="4" t="s">
        <v>212</v>
      </c>
      <c r="E2" s="4" t="s">
        <v>210</v>
      </c>
      <c r="F2" s="4" t="s">
        <v>211</v>
      </c>
      <c r="G2" s="4" t="s">
        <v>212</v>
      </c>
      <c r="H2" s="4" t="s">
        <v>210</v>
      </c>
      <c r="I2" s="4" t="s">
        <v>211</v>
      </c>
      <c r="J2" s="4" t="s">
        <v>212</v>
      </c>
      <c r="K2" s="4" t="s">
        <v>210</v>
      </c>
      <c r="L2" s="4" t="s">
        <v>211</v>
      </c>
      <c r="M2" s="4" t="s">
        <v>212</v>
      </c>
      <c r="N2" s="4" t="s">
        <v>210</v>
      </c>
      <c r="O2" s="4" t="s">
        <v>211</v>
      </c>
      <c r="P2" s="4" t="s">
        <v>212</v>
      </c>
      <c r="Q2" s="4" t="s">
        <v>210</v>
      </c>
      <c r="R2" s="4" t="s">
        <v>211</v>
      </c>
      <c r="S2" s="4" t="s">
        <v>212</v>
      </c>
    </row>
    <row r="3" spans="1:19" x14ac:dyDescent="0.35">
      <c r="A3" s="4" t="s">
        <v>45</v>
      </c>
      <c r="B3" s="4">
        <v>0.46666666666666673</v>
      </c>
      <c r="C3" s="4">
        <v>0.12580645161290324</v>
      </c>
      <c r="D3" s="4">
        <v>0.34086021505376352</v>
      </c>
      <c r="E3" s="4">
        <v>0.31182795698924731</v>
      </c>
      <c r="F3" s="4">
        <v>0.478494623655914</v>
      </c>
      <c r="G3" s="4">
        <v>-0.16666666666666669</v>
      </c>
      <c r="H3" s="4">
        <v>0.5268817204301075</v>
      </c>
      <c r="I3" s="4">
        <v>0.15053763440860216</v>
      </c>
      <c r="J3" s="4">
        <v>0.37634408602150538</v>
      </c>
      <c r="K3" s="4">
        <v>0.521505376344086</v>
      </c>
      <c r="L3" s="4">
        <v>0</v>
      </c>
      <c r="M3" s="4">
        <v>0.521505376344086</v>
      </c>
      <c r="N3" s="4">
        <v>0.61827956989247312</v>
      </c>
      <c r="O3" s="4">
        <v>0</v>
      </c>
      <c r="P3" s="4">
        <v>0.61827956989247312</v>
      </c>
      <c r="Q3" s="4">
        <v>0.35483870967741937</v>
      </c>
      <c r="R3" s="4">
        <v>0</v>
      </c>
      <c r="S3" s="4">
        <v>0.35483870967741937</v>
      </c>
    </row>
    <row r="4" spans="1:19" x14ac:dyDescent="0.35">
      <c r="A4" s="4" t="s">
        <v>66</v>
      </c>
      <c r="B4" s="4">
        <v>0.46666666666666673</v>
      </c>
      <c r="C4" s="4">
        <v>0.12580645161290324</v>
      </c>
      <c r="D4" s="4">
        <v>0.34086021505376352</v>
      </c>
      <c r="E4" s="4">
        <v>0.31182795698924731</v>
      </c>
      <c r="F4" s="4">
        <v>0.478494623655914</v>
      </c>
      <c r="G4" s="4">
        <v>-0.16666666666666669</v>
      </c>
      <c r="H4" s="4">
        <v>0.5268817204301075</v>
      </c>
      <c r="I4" s="4">
        <v>0.15053763440860216</v>
      </c>
      <c r="J4" s="4">
        <v>0.37634408602150538</v>
      </c>
      <c r="K4" s="4">
        <v>0.521505376344086</v>
      </c>
      <c r="L4" s="4">
        <v>0</v>
      </c>
      <c r="M4" s="4">
        <v>0.521505376344086</v>
      </c>
      <c r="N4" s="4">
        <v>0.61827956989247312</v>
      </c>
      <c r="O4" s="4">
        <v>0</v>
      </c>
      <c r="P4" s="4">
        <v>0.61827956989247312</v>
      </c>
      <c r="Q4" s="4">
        <v>0.35483870967741937</v>
      </c>
      <c r="R4" s="4">
        <v>0</v>
      </c>
      <c r="S4" s="4">
        <v>0.35483870967741937</v>
      </c>
    </row>
    <row r="5" spans="1:19" x14ac:dyDescent="0.35">
      <c r="A5" s="4" t="s">
        <v>113</v>
      </c>
      <c r="B5" s="4">
        <v>0.46666666666666673</v>
      </c>
      <c r="C5" s="4">
        <v>0.12580645161290324</v>
      </c>
      <c r="D5" s="4">
        <v>0.34086021505376352</v>
      </c>
      <c r="E5" s="4">
        <v>0.31182795698924731</v>
      </c>
      <c r="F5" s="4">
        <v>0.478494623655914</v>
      </c>
      <c r="G5" s="4">
        <v>-0.16666666666666669</v>
      </c>
      <c r="H5" s="4">
        <v>0.5268817204301075</v>
      </c>
      <c r="I5" s="4">
        <v>0.15053763440860216</v>
      </c>
      <c r="J5" s="4">
        <v>0.37634408602150538</v>
      </c>
      <c r="K5" s="4">
        <v>0.521505376344086</v>
      </c>
      <c r="L5" s="4">
        <v>0</v>
      </c>
      <c r="M5" s="4">
        <v>0.521505376344086</v>
      </c>
      <c r="N5" s="4">
        <v>0.61827956989247312</v>
      </c>
      <c r="O5" s="4">
        <v>0</v>
      </c>
      <c r="P5" s="4">
        <v>0.61827956989247312</v>
      </c>
      <c r="Q5" s="4">
        <v>0.35483870967741937</v>
      </c>
      <c r="R5" s="4">
        <v>0</v>
      </c>
      <c r="S5" s="4">
        <v>0.35483870967741937</v>
      </c>
    </row>
    <row r="6" spans="1:19" x14ac:dyDescent="0.35">
      <c r="A6" s="4" t="s">
        <v>119</v>
      </c>
      <c r="B6" s="4">
        <v>0.46666666666666673</v>
      </c>
      <c r="C6" s="4">
        <v>0.12580645161290324</v>
      </c>
      <c r="D6" s="4">
        <v>0.34086021505376352</v>
      </c>
      <c r="E6" s="4">
        <v>0.31182795698924731</v>
      </c>
      <c r="F6" s="4">
        <v>0.478494623655914</v>
      </c>
      <c r="G6" s="4">
        <v>-0.16666666666666669</v>
      </c>
      <c r="H6" s="4">
        <v>0.5268817204301075</v>
      </c>
      <c r="I6" s="4">
        <v>0.15053763440860216</v>
      </c>
      <c r="J6" s="4">
        <v>0.37634408602150538</v>
      </c>
      <c r="K6" s="4">
        <v>0.521505376344086</v>
      </c>
      <c r="L6" s="4">
        <v>0</v>
      </c>
      <c r="M6" s="4">
        <v>0.521505376344086</v>
      </c>
      <c r="N6" s="4">
        <v>0.61827956989247312</v>
      </c>
      <c r="O6" s="4">
        <v>0</v>
      </c>
      <c r="P6" s="4">
        <v>0.61827956989247312</v>
      </c>
      <c r="Q6" s="4">
        <v>0.35483870967741937</v>
      </c>
      <c r="R6" s="4">
        <v>0</v>
      </c>
      <c r="S6" s="4">
        <v>0.35483870967741937</v>
      </c>
    </row>
    <row r="7" spans="1:19" x14ac:dyDescent="0.35">
      <c r="A7" s="4" t="s">
        <v>184</v>
      </c>
      <c r="B7" s="4">
        <v>0.46666666666666673</v>
      </c>
      <c r="C7" s="4">
        <v>0.12580645161290324</v>
      </c>
      <c r="D7" s="4">
        <v>0.34086021505376352</v>
      </c>
      <c r="E7" s="4">
        <v>0.31182795698924731</v>
      </c>
      <c r="F7" s="4">
        <v>0.478494623655914</v>
      </c>
      <c r="G7" s="4">
        <v>-0.16666666666666669</v>
      </c>
      <c r="H7" s="4">
        <v>0.5268817204301075</v>
      </c>
      <c r="I7" s="4">
        <v>0.15053763440860216</v>
      </c>
      <c r="J7" s="4">
        <v>0.37634408602150538</v>
      </c>
      <c r="K7" s="4">
        <v>0.521505376344086</v>
      </c>
      <c r="L7" s="4">
        <v>0</v>
      </c>
      <c r="M7" s="4">
        <v>0.521505376344086</v>
      </c>
      <c r="N7" s="4">
        <v>0.61827956989247312</v>
      </c>
      <c r="O7" s="4">
        <v>0</v>
      </c>
      <c r="P7" s="4">
        <v>0.61827956989247312</v>
      </c>
      <c r="Q7" s="4">
        <v>0.35483870967741937</v>
      </c>
      <c r="R7" s="4">
        <v>0</v>
      </c>
      <c r="S7" s="4">
        <v>0.35483870967741937</v>
      </c>
    </row>
    <row r="8" spans="1:19" x14ac:dyDescent="0.35">
      <c r="A8" s="4" t="s">
        <v>152</v>
      </c>
      <c r="B8" s="4">
        <v>0.50967741935483868</v>
      </c>
      <c r="C8" s="4">
        <v>0.1752688172043011</v>
      </c>
      <c r="D8" s="4">
        <v>0.33440860215053758</v>
      </c>
      <c r="E8" s="4">
        <v>0.77419354838709675</v>
      </c>
      <c r="F8" s="4">
        <v>0</v>
      </c>
      <c r="G8" s="4">
        <v>0.77419354838709675</v>
      </c>
      <c r="H8" s="4">
        <v>0.85483870967741937</v>
      </c>
      <c r="I8" s="4">
        <v>0</v>
      </c>
      <c r="J8" s="4">
        <v>0.85483870967741937</v>
      </c>
      <c r="K8" s="4">
        <v>0.521505376344086</v>
      </c>
      <c r="L8" s="4">
        <v>0</v>
      </c>
      <c r="M8" s="4">
        <v>0.521505376344086</v>
      </c>
      <c r="N8" s="4">
        <v>4.3010752688172046E-2</v>
      </c>
      <c r="O8" s="4">
        <v>0.87634408602150538</v>
      </c>
      <c r="P8" s="4">
        <v>-0.83333333333333337</v>
      </c>
      <c r="Q8" s="4">
        <v>0.35483870967741937</v>
      </c>
      <c r="R8" s="4">
        <v>0</v>
      </c>
      <c r="S8" s="4">
        <v>0.35483870967741937</v>
      </c>
    </row>
    <row r="9" spans="1:19" x14ac:dyDescent="0.35">
      <c r="A9" s="4" t="s">
        <v>157</v>
      </c>
      <c r="B9" s="4">
        <v>0.50967741935483868</v>
      </c>
      <c r="C9" s="4">
        <v>0.1752688172043011</v>
      </c>
      <c r="D9" s="4">
        <v>0.33440860215053758</v>
      </c>
      <c r="E9" s="4">
        <v>0.77419354838709675</v>
      </c>
      <c r="F9" s="4">
        <v>0</v>
      </c>
      <c r="G9" s="4">
        <v>0.77419354838709675</v>
      </c>
      <c r="H9" s="4">
        <v>0.85483870967741937</v>
      </c>
      <c r="I9" s="4">
        <v>0</v>
      </c>
      <c r="J9" s="4">
        <v>0.85483870967741937</v>
      </c>
      <c r="K9" s="4">
        <v>0.521505376344086</v>
      </c>
      <c r="L9" s="4">
        <v>0</v>
      </c>
      <c r="M9" s="4">
        <v>0.521505376344086</v>
      </c>
      <c r="N9" s="4">
        <v>4.3010752688172046E-2</v>
      </c>
      <c r="O9" s="4">
        <v>0.87634408602150538</v>
      </c>
      <c r="P9" s="4">
        <v>-0.83333333333333337</v>
      </c>
      <c r="Q9" s="4">
        <v>0.35483870967741937</v>
      </c>
      <c r="R9" s="4">
        <v>0</v>
      </c>
      <c r="S9" s="4">
        <v>0.35483870967741937</v>
      </c>
    </row>
    <row r="10" spans="1:19" x14ac:dyDescent="0.35">
      <c r="A10" s="4" t="s">
        <v>65</v>
      </c>
      <c r="B10" s="4">
        <v>0.45376344086021508</v>
      </c>
      <c r="C10" s="4">
        <v>0.14193548387096774</v>
      </c>
      <c r="D10" s="4">
        <v>0.31182795698924737</v>
      </c>
      <c r="E10" s="4">
        <v>0.5268817204301075</v>
      </c>
      <c r="F10" s="4">
        <v>0.23118279569892472</v>
      </c>
      <c r="G10" s="4">
        <v>0.29569892473118276</v>
      </c>
      <c r="H10" s="4">
        <v>0.24731182795698925</v>
      </c>
      <c r="I10" s="4">
        <v>0.478494623655914</v>
      </c>
      <c r="J10" s="4">
        <v>-0.23118279569892475</v>
      </c>
      <c r="K10" s="4">
        <v>0.521505376344086</v>
      </c>
      <c r="L10" s="4">
        <v>0</v>
      </c>
      <c r="M10" s="4">
        <v>0.521505376344086</v>
      </c>
      <c r="N10" s="4">
        <v>0.61827956989247312</v>
      </c>
      <c r="O10" s="4">
        <v>0</v>
      </c>
      <c r="P10" s="4">
        <v>0.61827956989247312</v>
      </c>
      <c r="Q10" s="4">
        <v>0.35483870967741937</v>
      </c>
      <c r="R10" s="4">
        <v>0</v>
      </c>
      <c r="S10" s="4">
        <v>0.35483870967741937</v>
      </c>
    </row>
    <row r="11" spans="1:19" x14ac:dyDescent="0.35">
      <c r="A11" s="4" t="s">
        <v>117</v>
      </c>
      <c r="B11" s="4">
        <v>0.45376344086021508</v>
      </c>
      <c r="C11" s="4">
        <v>0.14193548387096774</v>
      </c>
      <c r="D11" s="4">
        <v>0.31182795698924737</v>
      </c>
      <c r="E11" s="4">
        <v>0.5268817204301075</v>
      </c>
      <c r="F11" s="4">
        <v>0.23118279569892472</v>
      </c>
      <c r="G11" s="4">
        <v>0.29569892473118276</v>
      </c>
      <c r="H11" s="4">
        <v>0.24731182795698925</v>
      </c>
      <c r="I11" s="4">
        <v>0.478494623655914</v>
      </c>
      <c r="J11" s="4">
        <v>-0.23118279569892475</v>
      </c>
      <c r="K11" s="4">
        <v>0.521505376344086</v>
      </c>
      <c r="L11" s="4">
        <v>0</v>
      </c>
      <c r="M11" s="4">
        <v>0.521505376344086</v>
      </c>
      <c r="N11" s="4">
        <v>0.61827956989247312</v>
      </c>
      <c r="O11" s="4">
        <v>0</v>
      </c>
      <c r="P11" s="4">
        <v>0.61827956989247312</v>
      </c>
      <c r="Q11" s="4">
        <v>0.35483870967741937</v>
      </c>
      <c r="R11" s="4">
        <v>0</v>
      </c>
      <c r="S11" s="4">
        <v>0.35483870967741937</v>
      </c>
    </row>
    <row r="12" spans="1:19" x14ac:dyDescent="0.35">
      <c r="A12" s="4" t="s">
        <v>178</v>
      </c>
      <c r="B12" s="4">
        <v>0.45376344086021508</v>
      </c>
      <c r="C12" s="4">
        <v>0.14193548387096774</v>
      </c>
      <c r="D12" s="4">
        <v>0.31182795698924737</v>
      </c>
      <c r="E12" s="4">
        <v>0.5268817204301075</v>
      </c>
      <c r="F12" s="4">
        <v>0.23118279569892472</v>
      </c>
      <c r="G12" s="4">
        <v>0.29569892473118276</v>
      </c>
      <c r="H12" s="4">
        <v>0.24731182795698925</v>
      </c>
      <c r="I12" s="4">
        <v>0.478494623655914</v>
      </c>
      <c r="J12" s="4">
        <v>-0.23118279569892475</v>
      </c>
      <c r="K12" s="4">
        <v>0.521505376344086</v>
      </c>
      <c r="L12" s="4">
        <v>0</v>
      </c>
      <c r="M12" s="4">
        <v>0.521505376344086</v>
      </c>
      <c r="N12" s="4">
        <v>0.61827956989247312</v>
      </c>
      <c r="O12" s="4">
        <v>0</v>
      </c>
      <c r="P12" s="4">
        <v>0.61827956989247312</v>
      </c>
      <c r="Q12" s="4">
        <v>0.35483870967741937</v>
      </c>
      <c r="R12" s="4">
        <v>0</v>
      </c>
      <c r="S12" s="4">
        <v>0.35483870967741937</v>
      </c>
    </row>
    <row r="13" spans="1:19" x14ac:dyDescent="0.35">
      <c r="A13" s="4" t="s">
        <v>183</v>
      </c>
      <c r="B13" s="4">
        <v>0.45376344086021508</v>
      </c>
      <c r="C13" s="4">
        <v>0.14193548387096774</v>
      </c>
      <c r="D13" s="4">
        <v>0.31182795698924737</v>
      </c>
      <c r="E13" s="4">
        <v>0.5268817204301075</v>
      </c>
      <c r="F13" s="4">
        <v>0.23118279569892472</v>
      </c>
      <c r="G13" s="4">
        <v>0.29569892473118276</v>
      </c>
      <c r="H13" s="4">
        <v>0.24731182795698925</v>
      </c>
      <c r="I13" s="4">
        <v>0.478494623655914</v>
      </c>
      <c r="J13" s="4">
        <v>-0.23118279569892475</v>
      </c>
      <c r="K13" s="4">
        <v>0.521505376344086</v>
      </c>
      <c r="L13" s="4">
        <v>0</v>
      </c>
      <c r="M13" s="4">
        <v>0.521505376344086</v>
      </c>
      <c r="N13" s="4">
        <v>0.61827956989247312</v>
      </c>
      <c r="O13" s="4">
        <v>0</v>
      </c>
      <c r="P13" s="4">
        <v>0.61827956989247312</v>
      </c>
      <c r="Q13" s="4">
        <v>0.35483870967741937</v>
      </c>
      <c r="R13" s="4">
        <v>0</v>
      </c>
      <c r="S13" s="4">
        <v>0.35483870967741937</v>
      </c>
    </row>
    <row r="14" spans="1:19" x14ac:dyDescent="0.35">
      <c r="A14" s="4" t="s">
        <v>37</v>
      </c>
      <c r="B14" s="4">
        <v>0.46989247311827959</v>
      </c>
      <c r="C14" s="4">
        <v>0.17204301075268819</v>
      </c>
      <c r="D14" s="4">
        <v>0.2978494623655914</v>
      </c>
      <c r="E14" s="4">
        <v>0</v>
      </c>
      <c r="F14" s="4">
        <v>0.86021505376344087</v>
      </c>
      <c r="G14" s="4">
        <v>-0.86021505376344087</v>
      </c>
      <c r="H14" s="4">
        <v>0.85483870967741937</v>
      </c>
      <c r="I14" s="4">
        <v>0</v>
      </c>
      <c r="J14" s="4">
        <v>0.85483870967741937</v>
      </c>
      <c r="K14" s="4">
        <v>0.521505376344086</v>
      </c>
      <c r="L14" s="4">
        <v>0</v>
      </c>
      <c r="M14" s="4">
        <v>0.521505376344086</v>
      </c>
      <c r="N14" s="4">
        <v>0.61827956989247312</v>
      </c>
      <c r="O14" s="4">
        <v>0</v>
      </c>
      <c r="P14" s="4">
        <v>0.61827956989247312</v>
      </c>
      <c r="Q14" s="4">
        <v>0.35483870967741937</v>
      </c>
      <c r="R14" s="4">
        <v>0</v>
      </c>
      <c r="S14" s="4">
        <v>0.35483870967741937</v>
      </c>
    </row>
    <row r="15" spans="1:19" x14ac:dyDescent="0.35">
      <c r="A15" s="4" t="s">
        <v>42</v>
      </c>
      <c r="B15" s="4">
        <v>0.46989247311827959</v>
      </c>
      <c r="C15" s="4">
        <v>0.17204301075268819</v>
      </c>
      <c r="D15" s="4">
        <v>0.2978494623655914</v>
      </c>
      <c r="E15" s="4">
        <v>0</v>
      </c>
      <c r="F15" s="4">
        <v>0.86021505376344087</v>
      </c>
      <c r="G15" s="4">
        <v>-0.86021505376344087</v>
      </c>
      <c r="H15" s="4">
        <v>0.85483870967741937</v>
      </c>
      <c r="I15" s="4">
        <v>0</v>
      </c>
      <c r="J15" s="4">
        <v>0.85483870967741937</v>
      </c>
      <c r="K15" s="4">
        <v>0.521505376344086</v>
      </c>
      <c r="L15" s="4">
        <v>0</v>
      </c>
      <c r="M15" s="4">
        <v>0.521505376344086</v>
      </c>
      <c r="N15" s="4">
        <v>0.61827956989247312</v>
      </c>
      <c r="O15" s="4">
        <v>0</v>
      </c>
      <c r="P15" s="4">
        <v>0.61827956989247312</v>
      </c>
      <c r="Q15" s="4">
        <v>0.35483870967741937</v>
      </c>
      <c r="R15" s="4">
        <v>0</v>
      </c>
      <c r="S15" s="4">
        <v>0.35483870967741937</v>
      </c>
    </row>
    <row r="16" spans="1:19" x14ac:dyDescent="0.35">
      <c r="A16" s="4" t="s">
        <v>47</v>
      </c>
      <c r="B16" s="4">
        <v>0.46989247311827959</v>
      </c>
      <c r="C16" s="4">
        <v>0.17204301075268819</v>
      </c>
      <c r="D16" s="4">
        <v>0.2978494623655914</v>
      </c>
      <c r="E16" s="4">
        <v>0</v>
      </c>
      <c r="F16" s="4">
        <v>0.86021505376344087</v>
      </c>
      <c r="G16" s="4">
        <v>-0.86021505376344087</v>
      </c>
      <c r="H16" s="4">
        <v>0.85483870967741937</v>
      </c>
      <c r="I16" s="4">
        <v>0</v>
      </c>
      <c r="J16" s="4">
        <v>0.85483870967741937</v>
      </c>
      <c r="K16" s="4">
        <v>0.521505376344086</v>
      </c>
      <c r="L16" s="4">
        <v>0</v>
      </c>
      <c r="M16" s="4">
        <v>0.521505376344086</v>
      </c>
      <c r="N16" s="4">
        <v>0.61827956989247312</v>
      </c>
      <c r="O16" s="4">
        <v>0</v>
      </c>
      <c r="P16" s="4">
        <v>0.61827956989247312</v>
      </c>
      <c r="Q16" s="4">
        <v>0.35483870967741937</v>
      </c>
      <c r="R16" s="4">
        <v>0</v>
      </c>
      <c r="S16" s="4">
        <v>0.35483870967741937</v>
      </c>
    </row>
    <row r="17" spans="1:19" x14ac:dyDescent="0.35">
      <c r="A17" s="4" t="s">
        <v>68</v>
      </c>
      <c r="B17" s="4">
        <v>0.46989247311827959</v>
      </c>
      <c r="C17" s="4">
        <v>0.17204301075268819</v>
      </c>
      <c r="D17" s="4">
        <v>0.2978494623655914</v>
      </c>
      <c r="E17" s="4">
        <v>0</v>
      </c>
      <c r="F17" s="4">
        <v>0.86021505376344087</v>
      </c>
      <c r="G17" s="4">
        <v>-0.86021505376344087</v>
      </c>
      <c r="H17" s="4">
        <v>0.85483870967741937</v>
      </c>
      <c r="I17" s="4">
        <v>0</v>
      </c>
      <c r="J17" s="4">
        <v>0.85483870967741937</v>
      </c>
      <c r="K17" s="4">
        <v>0.521505376344086</v>
      </c>
      <c r="L17" s="4">
        <v>0</v>
      </c>
      <c r="M17" s="4">
        <v>0.521505376344086</v>
      </c>
      <c r="N17" s="4">
        <v>0.61827956989247312</v>
      </c>
      <c r="O17" s="4">
        <v>0</v>
      </c>
      <c r="P17" s="4">
        <v>0.61827956989247312</v>
      </c>
      <c r="Q17" s="4">
        <v>0.35483870967741937</v>
      </c>
      <c r="R17" s="4">
        <v>0</v>
      </c>
      <c r="S17" s="4">
        <v>0.35483870967741937</v>
      </c>
    </row>
    <row r="18" spans="1:19" x14ac:dyDescent="0.35">
      <c r="A18" s="4" t="s">
        <v>115</v>
      </c>
      <c r="B18" s="4">
        <v>0.46989247311827959</v>
      </c>
      <c r="C18" s="4">
        <v>0.17204301075268819</v>
      </c>
      <c r="D18" s="4">
        <v>0.2978494623655914</v>
      </c>
      <c r="E18" s="4">
        <v>0</v>
      </c>
      <c r="F18" s="4">
        <v>0.86021505376344087</v>
      </c>
      <c r="G18" s="4">
        <v>-0.86021505376344087</v>
      </c>
      <c r="H18" s="4">
        <v>0.85483870967741937</v>
      </c>
      <c r="I18" s="4">
        <v>0</v>
      </c>
      <c r="J18" s="4">
        <v>0.85483870967741937</v>
      </c>
      <c r="K18" s="4">
        <v>0.521505376344086</v>
      </c>
      <c r="L18" s="4">
        <v>0</v>
      </c>
      <c r="M18" s="4">
        <v>0.521505376344086</v>
      </c>
      <c r="N18" s="4">
        <v>0.61827956989247312</v>
      </c>
      <c r="O18" s="4">
        <v>0</v>
      </c>
      <c r="P18" s="4">
        <v>0.61827956989247312</v>
      </c>
      <c r="Q18" s="4">
        <v>0.35483870967741937</v>
      </c>
      <c r="R18" s="4">
        <v>0</v>
      </c>
      <c r="S18" s="4">
        <v>0.35483870967741937</v>
      </c>
    </row>
    <row r="19" spans="1:19" x14ac:dyDescent="0.35">
      <c r="A19" s="4" t="s">
        <v>172</v>
      </c>
      <c r="B19" s="4">
        <v>0.46989247311827959</v>
      </c>
      <c r="C19" s="4">
        <v>0.17204301075268819</v>
      </c>
      <c r="D19" s="4">
        <v>0.2978494623655914</v>
      </c>
      <c r="E19" s="4">
        <v>0</v>
      </c>
      <c r="F19" s="4">
        <v>0.86021505376344087</v>
      </c>
      <c r="G19" s="4">
        <v>-0.86021505376344087</v>
      </c>
      <c r="H19" s="4">
        <v>0.85483870967741937</v>
      </c>
      <c r="I19" s="4">
        <v>0</v>
      </c>
      <c r="J19" s="4">
        <v>0.85483870967741937</v>
      </c>
      <c r="K19" s="4">
        <v>0.521505376344086</v>
      </c>
      <c r="L19" s="4">
        <v>0</v>
      </c>
      <c r="M19" s="4">
        <v>0.521505376344086</v>
      </c>
      <c r="N19" s="4">
        <v>0.61827956989247312</v>
      </c>
      <c r="O19" s="4">
        <v>0</v>
      </c>
      <c r="P19" s="4">
        <v>0.61827956989247312</v>
      </c>
      <c r="Q19" s="4">
        <v>0.35483870967741937</v>
      </c>
      <c r="R19" s="4">
        <v>0</v>
      </c>
      <c r="S19" s="4">
        <v>0.35483870967741937</v>
      </c>
    </row>
    <row r="20" spans="1:19" x14ac:dyDescent="0.35">
      <c r="A20" s="4" t="s">
        <v>181</v>
      </c>
      <c r="B20" s="4">
        <v>0.46989247311827959</v>
      </c>
      <c r="C20" s="4">
        <v>0.17204301075268819</v>
      </c>
      <c r="D20" s="4">
        <v>0.2978494623655914</v>
      </c>
      <c r="E20" s="4">
        <v>0</v>
      </c>
      <c r="F20" s="4">
        <v>0.86021505376344087</v>
      </c>
      <c r="G20" s="4">
        <v>-0.86021505376344087</v>
      </c>
      <c r="H20" s="4">
        <v>0.85483870967741937</v>
      </c>
      <c r="I20" s="4">
        <v>0</v>
      </c>
      <c r="J20" s="4">
        <v>0.85483870967741937</v>
      </c>
      <c r="K20" s="4">
        <v>0.521505376344086</v>
      </c>
      <c r="L20" s="4">
        <v>0</v>
      </c>
      <c r="M20" s="4">
        <v>0.521505376344086</v>
      </c>
      <c r="N20" s="4">
        <v>0.61827956989247312</v>
      </c>
      <c r="O20" s="4">
        <v>0</v>
      </c>
      <c r="P20" s="4">
        <v>0.61827956989247312</v>
      </c>
      <c r="Q20" s="4">
        <v>0.35483870967741937</v>
      </c>
      <c r="R20" s="4">
        <v>0</v>
      </c>
      <c r="S20" s="4">
        <v>0.35483870967741937</v>
      </c>
    </row>
    <row r="21" spans="1:19" x14ac:dyDescent="0.35">
      <c r="A21" s="4" t="s">
        <v>186</v>
      </c>
      <c r="B21" s="4">
        <v>0.46989247311827959</v>
      </c>
      <c r="C21" s="4">
        <v>0.17204301075268819</v>
      </c>
      <c r="D21" s="4">
        <v>0.2978494623655914</v>
      </c>
      <c r="E21" s="4">
        <v>0</v>
      </c>
      <c r="F21" s="4">
        <v>0.86021505376344087</v>
      </c>
      <c r="G21" s="4">
        <v>-0.86021505376344087</v>
      </c>
      <c r="H21" s="4">
        <v>0.85483870967741937</v>
      </c>
      <c r="I21" s="4">
        <v>0</v>
      </c>
      <c r="J21" s="4">
        <v>0.85483870967741937</v>
      </c>
      <c r="K21" s="4">
        <v>0.521505376344086</v>
      </c>
      <c r="L21" s="4">
        <v>0</v>
      </c>
      <c r="M21" s="4">
        <v>0.521505376344086</v>
      </c>
      <c r="N21" s="4">
        <v>0.61827956989247312</v>
      </c>
      <c r="O21" s="4">
        <v>0</v>
      </c>
      <c r="P21" s="4">
        <v>0.61827956989247312</v>
      </c>
      <c r="Q21" s="4">
        <v>0.35483870967741937</v>
      </c>
      <c r="R21" s="4">
        <v>0</v>
      </c>
      <c r="S21" s="4">
        <v>0.35483870967741937</v>
      </c>
    </row>
    <row r="22" spans="1:19" x14ac:dyDescent="0.35">
      <c r="A22" s="4" t="s">
        <v>151</v>
      </c>
      <c r="B22" s="4">
        <v>0.46129032258064523</v>
      </c>
      <c r="C22" s="4">
        <v>0.1913978494623656</v>
      </c>
      <c r="D22" s="4">
        <v>0.26989247311827963</v>
      </c>
      <c r="E22" s="4">
        <v>0.77419354838709675</v>
      </c>
      <c r="F22" s="4">
        <v>0</v>
      </c>
      <c r="G22" s="4">
        <v>0.77419354838709675</v>
      </c>
      <c r="H22" s="4">
        <v>0.5268817204301075</v>
      </c>
      <c r="I22" s="4">
        <v>0.15053763440860216</v>
      </c>
      <c r="J22" s="4">
        <v>0.37634408602150538</v>
      </c>
      <c r="K22" s="4">
        <v>0.521505376344086</v>
      </c>
      <c r="L22" s="4">
        <v>0</v>
      </c>
      <c r="M22" s="4">
        <v>0.521505376344086</v>
      </c>
      <c r="N22" s="4">
        <v>0.12903225806451613</v>
      </c>
      <c r="O22" s="4">
        <v>0.80645161290322576</v>
      </c>
      <c r="P22" s="4">
        <v>-0.67741935483870963</v>
      </c>
      <c r="Q22" s="4">
        <v>0.35483870967741937</v>
      </c>
      <c r="R22" s="4">
        <v>0</v>
      </c>
      <c r="S22" s="4">
        <v>0.35483870967741937</v>
      </c>
    </row>
    <row r="23" spans="1:19" x14ac:dyDescent="0.35">
      <c r="A23" s="4" t="s">
        <v>156</v>
      </c>
      <c r="B23" s="4">
        <v>0.46129032258064523</v>
      </c>
      <c r="C23" s="4">
        <v>0.1913978494623656</v>
      </c>
      <c r="D23" s="4">
        <v>0.26989247311827963</v>
      </c>
      <c r="E23" s="4">
        <v>0.77419354838709675</v>
      </c>
      <c r="F23" s="4">
        <v>0</v>
      </c>
      <c r="G23" s="4">
        <v>0.77419354838709675</v>
      </c>
      <c r="H23" s="4">
        <v>0.5268817204301075</v>
      </c>
      <c r="I23" s="4">
        <v>0.15053763440860216</v>
      </c>
      <c r="J23" s="4">
        <v>0.37634408602150538</v>
      </c>
      <c r="K23" s="4">
        <v>0.521505376344086</v>
      </c>
      <c r="L23" s="4">
        <v>0</v>
      </c>
      <c r="M23" s="4">
        <v>0.521505376344086</v>
      </c>
      <c r="N23" s="4">
        <v>0.12903225806451613</v>
      </c>
      <c r="O23" s="4">
        <v>0.80645161290322576</v>
      </c>
      <c r="P23" s="4">
        <v>-0.67741935483870963</v>
      </c>
      <c r="Q23" s="4">
        <v>0.35483870967741937</v>
      </c>
      <c r="R23" s="4">
        <v>0</v>
      </c>
      <c r="S23" s="4">
        <v>0.35483870967741937</v>
      </c>
    </row>
    <row r="24" spans="1:19" x14ac:dyDescent="0.35">
      <c r="A24" s="4" t="s">
        <v>36</v>
      </c>
      <c r="B24" s="4">
        <v>0.43333333333333335</v>
      </c>
      <c r="C24" s="4">
        <v>0.1688172043010753</v>
      </c>
      <c r="D24" s="4">
        <v>0.26451612903225807</v>
      </c>
      <c r="E24" s="4">
        <v>0.14516129032258066</v>
      </c>
      <c r="F24" s="4">
        <v>0.69354838709677424</v>
      </c>
      <c r="G24" s="4">
        <v>-0.54838709677419362</v>
      </c>
      <c r="H24" s="4">
        <v>0.5268817204301075</v>
      </c>
      <c r="I24" s="4">
        <v>0.15053763440860216</v>
      </c>
      <c r="J24" s="4">
        <v>0.37634408602150538</v>
      </c>
      <c r="K24" s="4">
        <v>0.521505376344086</v>
      </c>
      <c r="L24" s="4">
        <v>0</v>
      </c>
      <c r="M24" s="4">
        <v>0.521505376344086</v>
      </c>
      <c r="N24" s="4">
        <v>0.61827956989247312</v>
      </c>
      <c r="O24" s="4">
        <v>0</v>
      </c>
      <c r="P24" s="4">
        <v>0.61827956989247312</v>
      </c>
      <c r="Q24" s="4">
        <v>0.35483870967741937</v>
      </c>
      <c r="R24" s="4">
        <v>0</v>
      </c>
      <c r="S24" s="4">
        <v>0.35483870967741937</v>
      </c>
    </row>
    <row r="25" spans="1:19" x14ac:dyDescent="0.35">
      <c r="A25" s="4" t="s">
        <v>41</v>
      </c>
      <c r="B25" s="4">
        <v>0.43333333333333335</v>
      </c>
      <c r="C25" s="4">
        <v>0.1688172043010753</v>
      </c>
      <c r="D25" s="4">
        <v>0.26451612903225807</v>
      </c>
      <c r="E25" s="4">
        <v>0.14516129032258066</v>
      </c>
      <c r="F25" s="4">
        <v>0.69354838709677424</v>
      </c>
      <c r="G25" s="4">
        <v>-0.54838709677419362</v>
      </c>
      <c r="H25" s="4">
        <v>0.5268817204301075</v>
      </c>
      <c r="I25" s="4">
        <v>0.15053763440860216</v>
      </c>
      <c r="J25" s="4">
        <v>0.37634408602150538</v>
      </c>
      <c r="K25" s="4">
        <v>0.521505376344086</v>
      </c>
      <c r="L25" s="4">
        <v>0</v>
      </c>
      <c r="M25" s="4">
        <v>0.521505376344086</v>
      </c>
      <c r="N25" s="4">
        <v>0.61827956989247312</v>
      </c>
      <c r="O25" s="4">
        <v>0</v>
      </c>
      <c r="P25" s="4">
        <v>0.61827956989247312</v>
      </c>
      <c r="Q25" s="4">
        <v>0.35483870967741937</v>
      </c>
      <c r="R25" s="4">
        <v>0</v>
      </c>
      <c r="S25" s="4">
        <v>0.35483870967741937</v>
      </c>
    </row>
    <row r="26" spans="1:19" x14ac:dyDescent="0.35">
      <c r="A26" s="4" t="s">
        <v>46</v>
      </c>
      <c r="B26" s="4">
        <v>0.43333333333333335</v>
      </c>
      <c r="C26" s="4">
        <v>0.1688172043010753</v>
      </c>
      <c r="D26" s="4">
        <v>0.26451612903225807</v>
      </c>
      <c r="E26" s="4">
        <v>0.14516129032258066</v>
      </c>
      <c r="F26" s="4">
        <v>0.69354838709677424</v>
      </c>
      <c r="G26" s="4">
        <v>-0.54838709677419362</v>
      </c>
      <c r="H26" s="4">
        <v>0.5268817204301075</v>
      </c>
      <c r="I26" s="4">
        <v>0.15053763440860216</v>
      </c>
      <c r="J26" s="4">
        <v>0.37634408602150538</v>
      </c>
      <c r="K26" s="4">
        <v>0.521505376344086</v>
      </c>
      <c r="L26" s="4">
        <v>0</v>
      </c>
      <c r="M26" s="4">
        <v>0.521505376344086</v>
      </c>
      <c r="N26" s="4">
        <v>0.61827956989247312</v>
      </c>
      <c r="O26" s="4">
        <v>0</v>
      </c>
      <c r="P26" s="4">
        <v>0.61827956989247312</v>
      </c>
      <c r="Q26" s="4">
        <v>0.35483870967741937</v>
      </c>
      <c r="R26" s="4">
        <v>0</v>
      </c>
      <c r="S26" s="4">
        <v>0.35483870967741937</v>
      </c>
    </row>
    <row r="27" spans="1:19" x14ac:dyDescent="0.35">
      <c r="A27" s="4" t="s">
        <v>67</v>
      </c>
      <c r="B27" s="4">
        <v>0.43333333333333335</v>
      </c>
      <c r="C27" s="4">
        <v>0.1688172043010753</v>
      </c>
      <c r="D27" s="4">
        <v>0.26451612903225807</v>
      </c>
      <c r="E27" s="4">
        <v>0.14516129032258066</v>
      </c>
      <c r="F27" s="4">
        <v>0.69354838709677424</v>
      </c>
      <c r="G27" s="4">
        <v>-0.54838709677419362</v>
      </c>
      <c r="H27" s="4">
        <v>0.5268817204301075</v>
      </c>
      <c r="I27" s="4">
        <v>0.15053763440860216</v>
      </c>
      <c r="J27" s="4">
        <v>0.37634408602150538</v>
      </c>
      <c r="K27" s="4">
        <v>0.521505376344086</v>
      </c>
      <c r="L27" s="4">
        <v>0</v>
      </c>
      <c r="M27" s="4">
        <v>0.521505376344086</v>
      </c>
      <c r="N27" s="4">
        <v>0.61827956989247312</v>
      </c>
      <c r="O27" s="4">
        <v>0</v>
      </c>
      <c r="P27" s="4">
        <v>0.61827956989247312</v>
      </c>
      <c r="Q27" s="4">
        <v>0.35483870967741937</v>
      </c>
      <c r="R27" s="4">
        <v>0</v>
      </c>
      <c r="S27" s="4">
        <v>0.35483870967741937</v>
      </c>
    </row>
    <row r="28" spans="1:19" x14ac:dyDescent="0.35">
      <c r="A28" s="4" t="s">
        <v>114</v>
      </c>
      <c r="B28" s="4">
        <v>0.43333333333333335</v>
      </c>
      <c r="C28" s="4">
        <v>0.1688172043010753</v>
      </c>
      <c r="D28" s="4">
        <v>0.26451612903225807</v>
      </c>
      <c r="E28" s="4">
        <v>0.14516129032258066</v>
      </c>
      <c r="F28" s="4">
        <v>0.69354838709677424</v>
      </c>
      <c r="G28" s="4">
        <v>-0.54838709677419362</v>
      </c>
      <c r="H28" s="4">
        <v>0.5268817204301075</v>
      </c>
      <c r="I28" s="4">
        <v>0.15053763440860216</v>
      </c>
      <c r="J28" s="4">
        <v>0.37634408602150538</v>
      </c>
      <c r="K28" s="4">
        <v>0.521505376344086</v>
      </c>
      <c r="L28" s="4">
        <v>0</v>
      </c>
      <c r="M28" s="4">
        <v>0.521505376344086</v>
      </c>
      <c r="N28" s="4">
        <v>0.61827956989247312</v>
      </c>
      <c r="O28" s="4">
        <v>0</v>
      </c>
      <c r="P28" s="4">
        <v>0.61827956989247312</v>
      </c>
      <c r="Q28" s="4">
        <v>0.35483870967741937</v>
      </c>
      <c r="R28" s="4">
        <v>0</v>
      </c>
      <c r="S28" s="4">
        <v>0.35483870967741937</v>
      </c>
    </row>
    <row r="29" spans="1:19" x14ac:dyDescent="0.35">
      <c r="A29" s="4" t="s">
        <v>120</v>
      </c>
      <c r="B29" s="4">
        <v>0.43333333333333335</v>
      </c>
      <c r="C29" s="4">
        <v>0.1688172043010753</v>
      </c>
      <c r="D29" s="4">
        <v>0.26451612903225807</v>
      </c>
      <c r="E29" s="4">
        <v>0.14516129032258066</v>
      </c>
      <c r="F29" s="4">
        <v>0.69354838709677424</v>
      </c>
      <c r="G29" s="4">
        <v>-0.54838709677419362</v>
      </c>
      <c r="H29" s="4">
        <v>0.5268817204301075</v>
      </c>
      <c r="I29" s="4">
        <v>0.15053763440860216</v>
      </c>
      <c r="J29" s="4">
        <v>0.37634408602150538</v>
      </c>
      <c r="K29" s="4">
        <v>0.521505376344086</v>
      </c>
      <c r="L29" s="4">
        <v>0</v>
      </c>
      <c r="M29" s="4">
        <v>0.521505376344086</v>
      </c>
      <c r="N29" s="4">
        <v>0.61827956989247312</v>
      </c>
      <c r="O29" s="4">
        <v>0</v>
      </c>
      <c r="P29" s="4">
        <v>0.61827956989247312</v>
      </c>
      <c r="Q29" s="4">
        <v>0.35483870967741937</v>
      </c>
      <c r="R29" s="4">
        <v>0</v>
      </c>
      <c r="S29" s="4">
        <v>0.35483870967741937</v>
      </c>
    </row>
    <row r="30" spans="1:19" x14ac:dyDescent="0.35">
      <c r="A30" s="4" t="s">
        <v>171</v>
      </c>
      <c r="B30" s="4">
        <v>0.43333333333333335</v>
      </c>
      <c r="C30" s="4">
        <v>0.1688172043010753</v>
      </c>
      <c r="D30" s="4">
        <v>0.26451612903225807</v>
      </c>
      <c r="E30" s="4">
        <v>0.14516129032258066</v>
      </c>
      <c r="F30" s="4">
        <v>0.69354838709677424</v>
      </c>
      <c r="G30" s="4">
        <v>-0.54838709677419362</v>
      </c>
      <c r="H30" s="4">
        <v>0.5268817204301075</v>
      </c>
      <c r="I30" s="4">
        <v>0.15053763440860216</v>
      </c>
      <c r="J30" s="4">
        <v>0.37634408602150538</v>
      </c>
      <c r="K30" s="4">
        <v>0.521505376344086</v>
      </c>
      <c r="L30" s="4">
        <v>0</v>
      </c>
      <c r="M30" s="4">
        <v>0.521505376344086</v>
      </c>
      <c r="N30" s="4">
        <v>0.61827956989247312</v>
      </c>
      <c r="O30" s="4">
        <v>0</v>
      </c>
      <c r="P30" s="4">
        <v>0.61827956989247312</v>
      </c>
      <c r="Q30" s="4">
        <v>0.35483870967741937</v>
      </c>
      <c r="R30" s="4">
        <v>0</v>
      </c>
      <c r="S30" s="4">
        <v>0.35483870967741937</v>
      </c>
    </row>
    <row r="31" spans="1:19" x14ac:dyDescent="0.35">
      <c r="A31" s="4" t="s">
        <v>180</v>
      </c>
      <c r="B31" s="4">
        <v>0.43333333333333335</v>
      </c>
      <c r="C31" s="4">
        <v>0.1688172043010753</v>
      </c>
      <c r="D31" s="4">
        <v>0.26451612903225807</v>
      </c>
      <c r="E31" s="4">
        <v>0.14516129032258066</v>
      </c>
      <c r="F31" s="4">
        <v>0.69354838709677424</v>
      </c>
      <c r="G31" s="4">
        <v>-0.54838709677419362</v>
      </c>
      <c r="H31" s="4">
        <v>0.5268817204301075</v>
      </c>
      <c r="I31" s="4">
        <v>0.15053763440860216</v>
      </c>
      <c r="J31" s="4">
        <v>0.37634408602150538</v>
      </c>
      <c r="K31" s="4">
        <v>0.521505376344086</v>
      </c>
      <c r="L31" s="4">
        <v>0</v>
      </c>
      <c r="M31" s="4">
        <v>0.521505376344086</v>
      </c>
      <c r="N31" s="4">
        <v>0.61827956989247312</v>
      </c>
      <c r="O31" s="4">
        <v>0</v>
      </c>
      <c r="P31" s="4">
        <v>0.61827956989247312</v>
      </c>
      <c r="Q31" s="4">
        <v>0.35483870967741937</v>
      </c>
      <c r="R31" s="4">
        <v>0</v>
      </c>
      <c r="S31" s="4">
        <v>0.35483870967741937</v>
      </c>
    </row>
    <row r="32" spans="1:19" x14ac:dyDescent="0.35">
      <c r="A32" s="4" t="s">
        <v>185</v>
      </c>
      <c r="B32" s="4">
        <v>0.43333333333333335</v>
      </c>
      <c r="C32" s="4">
        <v>0.1688172043010753</v>
      </c>
      <c r="D32" s="4">
        <v>0.26451612903225807</v>
      </c>
      <c r="E32" s="4">
        <v>0.14516129032258066</v>
      </c>
      <c r="F32" s="4">
        <v>0.69354838709677424</v>
      </c>
      <c r="G32" s="4">
        <v>-0.54838709677419362</v>
      </c>
      <c r="H32" s="4">
        <v>0.5268817204301075</v>
      </c>
      <c r="I32" s="4">
        <v>0.15053763440860216</v>
      </c>
      <c r="J32" s="4">
        <v>0.37634408602150538</v>
      </c>
      <c r="K32" s="4">
        <v>0.521505376344086</v>
      </c>
      <c r="L32" s="4">
        <v>0</v>
      </c>
      <c r="M32" s="4">
        <v>0.521505376344086</v>
      </c>
      <c r="N32" s="4">
        <v>0.61827956989247312</v>
      </c>
      <c r="O32" s="4">
        <v>0</v>
      </c>
      <c r="P32" s="4">
        <v>0.61827956989247312</v>
      </c>
      <c r="Q32" s="4">
        <v>0.35483870967741937</v>
      </c>
      <c r="R32" s="4">
        <v>0</v>
      </c>
      <c r="S32" s="4">
        <v>0.35483870967741937</v>
      </c>
    </row>
    <row r="33" spans="1:19" x14ac:dyDescent="0.35">
      <c r="A33" s="4" t="s">
        <v>149</v>
      </c>
      <c r="B33" s="4">
        <v>0.41935483870967744</v>
      </c>
      <c r="C33" s="4">
        <v>0.17311827956989248</v>
      </c>
      <c r="D33" s="4">
        <v>0.24623655913978496</v>
      </c>
      <c r="E33" s="4">
        <v>0.77419354838709675</v>
      </c>
      <c r="F33" s="4">
        <v>0</v>
      </c>
      <c r="G33" s="4">
        <v>0.77419354838709675</v>
      </c>
      <c r="H33" s="4">
        <v>0.24731182795698925</v>
      </c>
      <c r="I33" s="4">
        <v>0.478494623655914</v>
      </c>
      <c r="J33" s="4">
        <v>-0.23118279569892475</v>
      </c>
      <c r="K33" s="4">
        <v>0.521505376344086</v>
      </c>
      <c r="L33" s="4">
        <v>0</v>
      </c>
      <c r="M33" s="4">
        <v>0.521505376344086</v>
      </c>
      <c r="N33" s="4">
        <v>0.19892473118279569</v>
      </c>
      <c r="O33" s="4">
        <v>0.38709677419354838</v>
      </c>
      <c r="P33" s="4">
        <v>-0.18817204301075269</v>
      </c>
      <c r="Q33" s="4">
        <v>0.35483870967741937</v>
      </c>
      <c r="R33" s="4">
        <v>0</v>
      </c>
      <c r="S33" s="4">
        <v>0.35483870967741937</v>
      </c>
    </row>
    <row r="34" spans="1:19" x14ac:dyDescent="0.35">
      <c r="A34" s="4" t="s">
        <v>150</v>
      </c>
      <c r="B34" s="4">
        <v>0.41935483870967744</v>
      </c>
      <c r="C34" s="4">
        <v>0.17311827956989248</v>
      </c>
      <c r="D34" s="4">
        <v>0.24623655913978496</v>
      </c>
      <c r="E34" s="4">
        <v>0.77419354838709675</v>
      </c>
      <c r="F34" s="4">
        <v>0</v>
      </c>
      <c r="G34" s="4">
        <v>0.77419354838709675</v>
      </c>
      <c r="H34" s="4">
        <v>0.24731182795698925</v>
      </c>
      <c r="I34" s="4">
        <v>0.478494623655914</v>
      </c>
      <c r="J34" s="4">
        <v>-0.23118279569892475</v>
      </c>
      <c r="K34" s="4">
        <v>0.521505376344086</v>
      </c>
      <c r="L34" s="4">
        <v>0</v>
      </c>
      <c r="M34" s="4">
        <v>0.521505376344086</v>
      </c>
      <c r="N34" s="4">
        <v>0.19892473118279569</v>
      </c>
      <c r="O34" s="4">
        <v>0.38709677419354838</v>
      </c>
      <c r="P34" s="4">
        <v>-0.18817204301075269</v>
      </c>
      <c r="Q34" s="4">
        <v>0.35483870967741937</v>
      </c>
      <c r="R34" s="4">
        <v>0</v>
      </c>
      <c r="S34" s="4">
        <v>0.35483870967741937</v>
      </c>
    </row>
    <row r="35" spans="1:19" x14ac:dyDescent="0.35">
      <c r="A35" s="4" t="s">
        <v>154</v>
      </c>
      <c r="B35" s="4">
        <v>0.41935483870967744</v>
      </c>
      <c r="C35" s="4">
        <v>0.17311827956989248</v>
      </c>
      <c r="D35" s="4">
        <v>0.24623655913978496</v>
      </c>
      <c r="E35" s="4">
        <v>0.77419354838709675</v>
      </c>
      <c r="F35" s="4">
        <v>0</v>
      </c>
      <c r="G35" s="4">
        <v>0.77419354838709675</v>
      </c>
      <c r="H35" s="4">
        <v>0.24731182795698925</v>
      </c>
      <c r="I35" s="4">
        <v>0.478494623655914</v>
      </c>
      <c r="J35" s="4">
        <v>-0.23118279569892475</v>
      </c>
      <c r="K35" s="4">
        <v>0.521505376344086</v>
      </c>
      <c r="L35" s="4">
        <v>0</v>
      </c>
      <c r="M35" s="4">
        <v>0.521505376344086</v>
      </c>
      <c r="N35" s="4">
        <v>0.19892473118279569</v>
      </c>
      <c r="O35" s="4">
        <v>0.38709677419354838</v>
      </c>
      <c r="P35" s="4">
        <v>-0.18817204301075269</v>
      </c>
      <c r="Q35" s="4">
        <v>0.35483870967741937</v>
      </c>
      <c r="R35" s="4">
        <v>0</v>
      </c>
      <c r="S35" s="4">
        <v>0.35483870967741937</v>
      </c>
    </row>
    <row r="36" spans="1:19" x14ac:dyDescent="0.35">
      <c r="A36" s="4" t="s">
        <v>155</v>
      </c>
      <c r="B36" s="4">
        <v>0.41935483870967744</v>
      </c>
      <c r="C36" s="4">
        <v>0.17311827956989248</v>
      </c>
      <c r="D36" s="4">
        <v>0.24623655913978496</v>
      </c>
      <c r="E36" s="4">
        <v>0.77419354838709675</v>
      </c>
      <c r="F36" s="4">
        <v>0</v>
      </c>
      <c r="G36" s="4">
        <v>0.77419354838709675</v>
      </c>
      <c r="H36" s="4">
        <v>0.24731182795698925</v>
      </c>
      <c r="I36" s="4">
        <v>0.478494623655914</v>
      </c>
      <c r="J36" s="4">
        <v>-0.23118279569892475</v>
      </c>
      <c r="K36" s="4">
        <v>0.521505376344086</v>
      </c>
      <c r="L36" s="4">
        <v>0</v>
      </c>
      <c r="M36" s="4">
        <v>0.521505376344086</v>
      </c>
      <c r="N36" s="4">
        <v>0.19892473118279569</v>
      </c>
      <c r="O36" s="4">
        <v>0.38709677419354838</v>
      </c>
      <c r="P36" s="4">
        <v>-0.18817204301075269</v>
      </c>
      <c r="Q36" s="4">
        <v>0.35483870967741937</v>
      </c>
      <c r="R36" s="4">
        <v>0</v>
      </c>
      <c r="S36" s="4">
        <v>0.35483870967741937</v>
      </c>
    </row>
    <row r="37" spans="1:19" x14ac:dyDescent="0.35">
      <c r="A37" s="4" t="s">
        <v>35</v>
      </c>
      <c r="B37" s="4">
        <v>0.41075268817204308</v>
      </c>
      <c r="C37" s="4">
        <v>0.1913978494623656</v>
      </c>
      <c r="D37" s="4">
        <v>0.21935483870967748</v>
      </c>
      <c r="E37" s="4">
        <v>0.31182795698924731</v>
      </c>
      <c r="F37" s="4">
        <v>0.478494623655914</v>
      </c>
      <c r="G37" s="4">
        <v>-0.16666666666666669</v>
      </c>
      <c r="H37" s="4">
        <v>0.24731182795698925</v>
      </c>
      <c r="I37" s="4">
        <v>0.478494623655914</v>
      </c>
      <c r="J37" s="4">
        <v>-0.23118279569892475</v>
      </c>
      <c r="K37" s="4">
        <v>0.521505376344086</v>
      </c>
      <c r="L37" s="4">
        <v>0</v>
      </c>
      <c r="M37" s="4">
        <v>0.521505376344086</v>
      </c>
      <c r="N37" s="4">
        <v>0.61827956989247312</v>
      </c>
      <c r="O37" s="4">
        <v>0</v>
      </c>
      <c r="P37" s="4">
        <v>0.61827956989247312</v>
      </c>
      <c r="Q37" s="4">
        <v>0.35483870967741937</v>
      </c>
      <c r="R37" s="4">
        <v>0</v>
      </c>
      <c r="S37" s="4">
        <v>0.35483870967741937</v>
      </c>
    </row>
    <row r="38" spans="1:19" x14ac:dyDescent="0.35">
      <c r="A38" s="4" t="s">
        <v>40</v>
      </c>
      <c r="B38" s="4">
        <v>0.41075268817204308</v>
      </c>
      <c r="C38" s="4">
        <v>0.1913978494623656</v>
      </c>
      <c r="D38" s="4">
        <v>0.21935483870967748</v>
      </c>
      <c r="E38" s="4">
        <v>0.31182795698924731</v>
      </c>
      <c r="F38" s="4">
        <v>0.478494623655914</v>
      </c>
      <c r="G38" s="4">
        <v>-0.16666666666666669</v>
      </c>
      <c r="H38" s="4">
        <v>0.24731182795698925</v>
      </c>
      <c r="I38" s="4">
        <v>0.478494623655914</v>
      </c>
      <c r="J38" s="4">
        <v>-0.23118279569892475</v>
      </c>
      <c r="K38" s="4">
        <v>0.521505376344086</v>
      </c>
      <c r="L38" s="4">
        <v>0</v>
      </c>
      <c r="M38" s="4">
        <v>0.521505376344086</v>
      </c>
      <c r="N38" s="4">
        <v>0.61827956989247312</v>
      </c>
      <c r="O38" s="4">
        <v>0</v>
      </c>
      <c r="P38" s="4">
        <v>0.61827956989247312</v>
      </c>
      <c r="Q38" s="4">
        <v>0.35483870967741937</v>
      </c>
      <c r="R38" s="4">
        <v>0</v>
      </c>
      <c r="S38" s="4">
        <v>0.35483870967741937</v>
      </c>
    </row>
    <row r="39" spans="1:19" x14ac:dyDescent="0.35">
      <c r="A39" s="4" t="s">
        <v>112</v>
      </c>
      <c r="B39" s="4">
        <v>0.41075268817204308</v>
      </c>
      <c r="C39" s="4">
        <v>0.1913978494623656</v>
      </c>
      <c r="D39" s="4">
        <v>0.21935483870967748</v>
      </c>
      <c r="E39" s="4">
        <v>0.31182795698924731</v>
      </c>
      <c r="F39" s="4">
        <v>0.478494623655914</v>
      </c>
      <c r="G39" s="4">
        <v>-0.16666666666666669</v>
      </c>
      <c r="H39" s="4">
        <v>0.24731182795698925</v>
      </c>
      <c r="I39" s="4">
        <v>0.478494623655914</v>
      </c>
      <c r="J39" s="4">
        <v>-0.23118279569892475</v>
      </c>
      <c r="K39" s="4">
        <v>0.521505376344086</v>
      </c>
      <c r="L39" s="4">
        <v>0</v>
      </c>
      <c r="M39" s="4">
        <v>0.521505376344086</v>
      </c>
      <c r="N39" s="4">
        <v>0.61827956989247312</v>
      </c>
      <c r="O39" s="4">
        <v>0</v>
      </c>
      <c r="P39" s="4">
        <v>0.61827956989247312</v>
      </c>
      <c r="Q39" s="4">
        <v>0.35483870967741937</v>
      </c>
      <c r="R39" s="4">
        <v>0</v>
      </c>
      <c r="S39" s="4">
        <v>0.35483870967741937</v>
      </c>
    </row>
    <row r="40" spans="1:19" x14ac:dyDescent="0.35">
      <c r="A40" s="4" t="s">
        <v>118</v>
      </c>
      <c r="B40" s="4">
        <v>0.41075268817204308</v>
      </c>
      <c r="C40" s="4">
        <v>0.1913978494623656</v>
      </c>
      <c r="D40" s="4">
        <v>0.21935483870967748</v>
      </c>
      <c r="E40" s="4">
        <v>0.31182795698924731</v>
      </c>
      <c r="F40" s="4">
        <v>0.478494623655914</v>
      </c>
      <c r="G40" s="4">
        <v>-0.16666666666666669</v>
      </c>
      <c r="H40" s="4">
        <v>0.24731182795698925</v>
      </c>
      <c r="I40" s="4">
        <v>0.478494623655914</v>
      </c>
      <c r="J40" s="4">
        <v>-0.23118279569892475</v>
      </c>
      <c r="K40" s="4">
        <v>0.521505376344086</v>
      </c>
      <c r="L40" s="4">
        <v>0</v>
      </c>
      <c r="M40" s="4">
        <v>0.521505376344086</v>
      </c>
      <c r="N40" s="4">
        <v>0.61827956989247312</v>
      </c>
      <c r="O40" s="4">
        <v>0</v>
      </c>
      <c r="P40" s="4">
        <v>0.61827956989247312</v>
      </c>
      <c r="Q40" s="4">
        <v>0.35483870967741937</v>
      </c>
      <c r="R40" s="4">
        <v>0</v>
      </c>
      <c r="S40" s="4">
        <v>0.35483870967741937</v>
      </c>
    </row>
    <row r="41" spans="1:19" x14ac:dyDescent="0.35">
      <c r="A41" s="4" t="s">
        <v>169</v>
      </c>
      <c r="B41" s="4">
        <v>0.41075268817204308</v>
      </c>
      <c r="C41" s="4">
        <v>0.1913978494623656</v>
      </c>
      <c r="D41" s="4">
        <v>0.21935483870967748</v>
      </c>
      <c r="E41" s="4">
        <v>0.31182795698924731</v>
      </c>
      <c r="F41" s="4">
        <v>0.478494623655914</v>
      </c>
      <c r="G41" s="4">
        <v>-0.16666666666666669</v>
      </c>
      <c r="H41" s="4">
        <v>0.24731182795698925</v>
      </c>
      <c r="I41" s="4">
        <v>0.478494623655914</v>
      </c>
      <c r="J41" s="4">
        <v>-0.23118279569892475</v>
      </c>
      <c r="K41" s="4">
        <v>0.521505376344086</v>
      </c>
      <c r="L41" s="4">
        <v>0</v>
      </c>
      <c r="M41" s="4">
        <v>0.521505376344086</v>
      </c>
      <c r="N41" s="4">
        <v>0.61827956989247312</v>
      </c>
      <c r="O41" s="4">
        <v>0</v>
      </c>
      <c r="P41" s="4">
        <v>0.61827956989247312</v>
      </c>
      <c r="Q41" s="4">
        <v>0.35483870967741937</v>
      </c>
      <c r="R41" s="4">
        <v>0</v>
      </c>
      <c r="S41" s="4">
        <v>0.35483870967741937</v>
      </c>
    </row>
    <row r="42" spans="1:19" x14ac:dyDescent="0.35">
      <c r="A42" s="4" t="s">
        <v>170</v>
      </c>
      <c r="B42" s="4">
        <v>0.41075268817204308</v>
      </c>
      <c r="C42" s="4">
        <v>0.1913978494623656</v>
      </c>
      <c r="D42" s="4">
        <v>0.21935483870967748</v>
      </c>
      <c r="E42" s="4">
        <v>0.31182795698924731</v>
      </c>
      <c r="F42" s="4">
        <v>0.478494623655914</v>
      </c>
      <c r="G42" s="4">
        <v>-0.16666666666666669</v>
      </c>
      <c r="H42" s="4">
        <v>0.24731182795698925</v>
      </c>
      <c r="I42" s="4">
        <v>0.478494623655914</v>
      </c>
      <c r="J42" s="4">
        <v>-0.23118279569892475</v>
      </c>
      <c r="K42" s="4">
        <v>0.521505376344086</v>
      </c>
      <c r="L42" s="4">
        <v>0</v>
      </c>
      <c r="M42" s="4">
        <v>0.521505376344086</v>
      </c>
      <c r="N42" s="4">
        <v>0.61827956989247312</v>
      </c>
      <c r="O42" s="4">
        <v>0</v>
      </c>
      <c r="P42" s="4">
        <v>0.61827956989247312</v>
      </c>
      <c r="Q42" s="4">
        <v>0.35483870967741937</v>
      </c>
      <c r="R42" s="4">
        <v>0</v>
      </c>
      <c r="S42" s="4">
        <v>0.35483870967741937</v>
      </c>
    </row>
    <row r="43" spans="1:19" x14ac:dyDescent="0.35">
      <c r="A43" s="4" t="s">
        <v>179</v>
      </c>
      <c r="B43" s="4">
        <v>0.41075268817204308</v>
      </c>
      <c r="C43" s="4">
        <v>0.1913978494623656</v>
      </c>
      <c r="D43" s="4">
        <v>0.21935483870967748</v>
      </c>
      <c r="E43" s="4">
        <v>0.31182795698924731</v>
      </c>
      <c r="F43" s="4">
        <v>0.478494623655914</v>
      </c>
      <c r="G43" s="4">
        <v>-0.16666666666666669</v>
      </c>
      <c r="H43" s="4">
        <v>0.24731182795698925</v>
      </c>
      <c r="I43" s="4">
        <v>0.478494623655914</v>
      </c>
      <c r="J43" s="4">
        <v>-0.23118279569892475</v>
      </c>
      <c r="K43" s="4">
        <v>0.521505376344086</v>
      </c>
      <c r="L43" s="4">
        <v>0</v>
      </c>
      <c r="M43" s="4">
        <v>0.521505376344086</v>
      </c>
      <c r="N43" s="4">
        <v>0.61827956989247312</v>
      </c>
      <c r="O43" s="4">
        <v>0</v>
      </c>
      <c r="P43" s="4">
        <v>0.61827956989247312</v>
      </c>
      <c r="Q43" s="4">
        <v>0.35483870967741937</v>
      </c>
      <c r="R43" s="4">
        <v>0</v>
      </c>
      <c r="S43" s="4">
        <v>0.35483870967741937</v>
      </c>
    </row>
    <row r="44" spans="1:19" x14ac:dyDescent="0.35">
      <c r="A44" s="4" t="s">
        <v>33</v>
      </c>
      <c r="B44" s="4">
        <v>0.40645161290322585</v>
      </c>
      <c r="C44" s="4">
        <v>0.19784946236559139</v>
      </c>
      <c r="D44" s="4">
        <v>0.20860215053763445</v>
      </c>
      <c r="E44" s="4">
        <v>0.5268817204301075</v>
      </c>
      <c r="F44" s="4">
        <v>0.23118279569892472</v>
      </c>
      <c r="G44" s="4">
        <v>0.29569892473118276</v>
      </c>
      <c r="H44" s="4">
        <v>1.0752688172043012E-2</v>
      </c>
      <c r="I44" s="4">
        <v>0.75806451612903225</v>
      </c>
      <c r="J44" s="4">
        <v>-0.74731182795698925</v>
      </c>
      <c r="K44" s="4">
        <v>0.521505376344086</v>
      </c>
      <c r="L44" s="4">
        <v>0</v>
      </c>
      <c r="M44" s="4">
        <v>0.521505376344086</v>
      </c>
      <c r="N44" s="4">
        <v>0.61827956989247312</v>
      </c>
      <c r="O44" s="4">
        <v>0</v>
      </c>
      <c r="P44" s="4">
        <v>0.61827956989247312</v>
      </c>
      <c r="Q44" s="4">
        <v>0.35483870967741937</v>
      </c>
      <c r="R44" s="4">
        <v>0</v>
      </c>
      <c r="S44" s="4">
        <v>0.35483870967741937</v>
      </c>
    </row>
    <row r="45" spans="1:19" x14ac:dyDescent="0.35">
      <c r="A45" s="4" t="s">
        <v>34</v>
      </c>
      <c r="B45" s="4">
        <v>0.40645161290322585</v>
      </c>
      <c r="C45" s="4">
        <v>0.19784946236559139</v>
      </c>
      <c r="D45" s="4">
        <v>0.20860215053763445</v>
      </c>
      <c r="E45" s="4">
        <v>0.5268817204301075</v>
      </c>
      <c r="F45" s="4">
        <v>0.23118279569892472</v>
      </c>
      <c r="G45" s="4">
        <v>0.29569892473118276</v>
      </c>
      <c r="H45" s="4">
        <v>1.0752688172043012E-2</v>
      </c>
      <c r="I45" s="4">
        <v>0.75806451612903225</v>
      </c>
      <c r="J45" s="4">
        <v>-0.74731182795698925</v>
      </c>
      <c r="K45" s="4">
        <v>0.521505376344086</v>
      </c>
      <c r="L45" s="4">
        <v>0</v>
      </c>
      <c r="M45" s="4">
        <v>0.521505376344086</v>
      </c>
      <c r="N45" s="4">
        <v>0.61827956989247312</v>
      </c>
      <c r="O45" s="4">
        <v>0</v>
      </c>
      <c r="P45" s="4">
        <v>0.61827956989247312</v>
      </c>
      <c r="Q45" s="4">
        <v>0.35483870967741937</v>
      </c>
      <c r="R45" s="4">
        <v>0</v>
      </c>
      <c r="S45" s="4">
        <v>0.35483870967741937</v>
      </c>
    </row>
    <row r="46" spans="1:19" x14ac:dyDescent="0.35">
      <c r="A46" s="4" t="s">
        <v>38</v>
      </c>
      <c r="B46" s="4">
        <v>0.40645161290322585</v>
      </c>
      <c r="C46" s="4">
        <v>0.19784946236559139</v>
      </c>
      <c r="D46" s="4">
        <v>0.20860215053763445</v>
      </c>
      <c r="E46" s="4">
        <v>0.5268817204301075</v>
      </c>
      <c r="F46" s="4">
        <v>0.23118279569892472</v>
      </c>
      <c r="G46" s="4">
        <v>0.29569892473118276</v>
      </c>
      <c r="H46" s="4">
        <v>1.0752688172043012E-2</v>
      </c>
      <c r="I46" s="4">
        <v>0.75806451612903225</v>
      </c>
      <c r="J46" s="4">
        <v>-0.74731182795698925</v>
      </c>
      <c r="K46" s="4">
        <v>0.521505376344086</v>
      </c>
      <c r="L46" s="4">
        <v>0</v>
      </c>
      <c r="M46" s="4">
        <v>0.521505376344086</v>
      </c>
      <c r="N46" s="4">
        <v>0.61827956989247312</v>
      </c>
      <c r="O46" s="4">
        <v>0</v>
      </c>
      <c r="P46" s="4">
        <v>0.61827956989247312</v>
      </c>
      <c r="Q46" s="4">
        <v>0.35483870967741937</v>
      </c>
      <c r="R46" s="4">
        <v>0</v>
      </c>
      <c r="S46" s="4">
        <v>0.35483870967741937</v>
      </c>
    </row>
    <row r="47" spans="1:19" x14ac:dyDescent="0.35">
      <c r="A47" s="4" t="s">
        <v>39</v>
      </c>
      <c r="B47" s="4">
        <v>0.40645161290322585</v>
      </c>
      <c r="C47" s="4">
        <v>0.19784946236559139</v>
      </c>
      <c r="D47" s="4">
        <v>0.20860215053763445</v>
      </c>
      <c r="E47" s="4">
        <v>0.5268817204301075</v>
      </c>
      <c r="F47" s="4">
        <v>0.23118279569892472</v>
      </c>
      <c r="G47" s="4">
        <v>0.29569892473118276</v>
      </c>
      <c r="H47" s="4">
        <v>1.0752688172043012E-2</v>
      </c>
      <c r="I47" s="4">
        <v>0.75806451612903225</v>
      </c>
      <c r="J47" s="4">
        <v>-0.74731182795698925</v>
      </c>
      <c r="K47" s="4">
        <v>0.521505376344086</v>
      </c>
      <c r="L47" s="4">
        <v>0</v>
      </c>
      <c r="M47" s="4">
        <v>0.521505376344086</v>
      </c>
      <c r="N47" s="4">
        <v>0.61827956989247312</v>
      </c>
      <c r="O47" s="4">
        <v>0</v>
      </c>
      <c r="P47" s="4">
        <v>0.61827956989247312</v>
      </c>
      <c r="Q47" s="4">
        <v>0.35483870967741937</v>
      </c>
      <c r="R47" s="4">
        <v>0</v>
      </c>
      <c r="S47" s="4">
        <v>0.35483870967741937</v>
      </c>
    </row>
    <row r="48" spans="1:19" x14ac:dyDescent="0.35">
      <c r="A48" s="4" t="s">
        <v>43</v>
      </c>
      <c r="B48" s="4">
        <v>0.40645161290322585</v>
      </c>
      <c r="C48" s="4">
        <v>0.19784946236559139</v>
      </c>
      <c r="D48" s="4">
        <v>0.20860215053763445</v>
      </c>
      <c r="E48" s="4">
        <v>0.5268817204301075</v>
      </c>
      <c r="F48" s="4">
        <v>0.23118279569892472</v>
      </c>
      <c r="G48" s="4">
        <v>0.29569892473118276</v>
      </c>
      <c r="H48" s="4">
        <v>1.0752688172043012E-2</v>
      </c>
      <c r="I48" s="4">
        <v>0.75806451612903225</v>
      </c>
      <c r="J48" s="4">
        <v>-0.74731182795698925</v>
      </c>
      <c r="K48" s="4">
        <v>0.521505376344086</v>
      </c>
      <c r="L48" s="4">
        <v>0</v>
      </c>
      <c r="M48" s="4">
        <v>0.521505376344086</v>
      </c>
      <c r="N48" s="4">
        <v>0.61827956989247312</v>
      </c>
      <c r="O48" s="4">
        <v>0</v>
      </c>
      <c r="P48" s="4">
        <v>0.61827956989247312</v>
      </c>
      <c r="Q48" s="4">
        <v>0.35483870967741937</v>
      </c>
      <c r="R48" s="4">
        <v>0</v>
      </c>
      <c r="S48" s="4">
        <v>0.35483870967741937</v>
      </c>
    </row>
    <row r="49" spans="1:19" x14ac:dyDescent="0.35">
      <c r="A49" s="4" t="s">
        <v>44</v>
      </c>
      <c r="B49" s="4">
        <v>0.40645161290322585</v>
      </c>
      <c r="C49" s="4">
        <v>0.19784946236559139</v>
      </c>
      <c r="D49" s="4">
        <v>0.20860215053763445</v>
      </c>
      <c r="E49" s="4">
        <v>0.5268817204301075</v>
      </c>
      <c r="F49" s="4">
        <v>0.23118279569892472</v>
      </c>
      <c r="G49" s="4">
        <v>0.29569892473118276</v>
      </c>
      <c r="H49" s="4">
        <v>1.0752688172043012E-2</v>
      </c>
      <c r="I49" s="4">
        <v>0.75806451612903225</v>
      </c>
      <c r="J49" s="4">
        <v>-0.74731182795698925</v>
      </c>
      <c r="K49" s="4">
        <v>0.521505376344086</v>
      </c>
      <c r="L49" s="4">
        <v>0</v>
      </c>
      <c r="M49" s="4">
        <v>0.521505376344086</v>
      </c>
      <c r="N49" s="4">
        <v>0.61827956989247312</v>
      </c>
      <c r="O49" s="4">
        <v>0</v>
      </c>
      <c r="P49" s="4">
        <v>0.61827956989247312</v>
      </c>
      <c r="Q49" s="4">
        <v>0.35483870967741937</v>
      </c>
      <c r="R49" s="4">
        <v>0</v>
      </c>
      <c r="S49" s="4">
        <v>0.35483870967741937</v>
      </c>
    </row>
    <row r="50" spans="1:19" x14ac:dyDescent="0.35">
      <c r="A50" s="4" t="s">
        <v>64</v>
      </c>
      <c r="B50" s="4">
        <v>0.40645161290322585</v>
      </c>
      <c r="C50" s="4">
        <v>0.19784946236559139</v>
      </c>
      <c r="D50" s="4">
        <v>0.20860215053763445</v>
      </c>
      <c r="E50" s="4">
        <v>0.5268817204301075</v>
      </c>
      <c r="F50" s="4">
        <v>0.23118279569892472</v>
      </c>
      <c r="G50" s="4">
        <v>0.29569892473118276</v>
      </c>
      <c r="H50" s="4">
        <v>1.0752688172043012E-2</v>
      </c>
      <c r="I50" s="4">
        <v>0.75806451612903225</v>
      </c>
      <c r="J50" s="4">
        <v>-0.74731182795698925</v>
      </c>
      <c r="K50" s="4">
        <v>0.521505376344086</v>
      </c>
      <c r="L50" s="4">
        <v>0</v>
      </c>
      <c r="M50" s="4">
        <v>0.521505376344086</v>
      </c>
      <c r="N50" s="4">
        <v>0.61827956989247312</v>
      </c>
      <c r="O50" s="4">
        <v>0</v>
      </c>
      <c r="P50" s="4">
        <v>0.61827956989247312</v>
      </c>
      <c r="Q50" s="4">
        <v>0.35483870967741937</v>
      </c>
      <c r="R50" s="4">
        <v>0</v>
      </c>
      <c r="S50" s="4">
        <v>0.35483870967741937</v>
      </c>
    </row>
    <row r="51" spans="1:19" x14ac:dyDescent="0.35">
      <c r="A51" s="4" t="s">
        <v>111</v>
      </c>
      <c r="B51" s="4">
        <v>0.40645161290322585</v>
      </c>
      <c r="C51" s="4">
        <v>0.19784946236559139</v>
      </c>
      <c r="D51" s="4">
        <v>0.20860215053763445</v>
      </c>
      <c r="E51" s="4">
        <v>0.5268817204301075</v>
      </c>
      <c r="F51" s="4">
        <v>0.23118279569892472</v>
      </c>
      <c r="G51" s="4">
        <v>0.29569892473118276</v>
      </c>
      <c r="H51" s="4">
        <v>1.0752688172043012E-2</v>
      </c>
      <c r="I51" s="4">
        <v>0.75806451612903225</v>
      </c>
      <c r="J51" s="4">
        <v>-0.74731182795698925</v>
      </c>
      <c r="K51" s="4">
        <v>0.521505376344086</v>
      </c>
      <c r="L51" s="4">
        <v>0</v>
      </c>
      <c r="M51" s="4">
        <v>0.521505376344086</v>
      </c>
      <c r="N51" s="4">
        <v>0.61827956989247312</v>
      </c>
      <c r="O51" s="4">
        <v>0</v>
      </c>
      <c r="P51" s="4">
        <v>0.61827956989247312</v>
      </c>
      <c r="Q51" s="4">
        <v>0.35483870967741937</v>
      </c>
      <c r="R51" s="4">
        <v>0</v>
      </c>
      <c r="S51" s="4">
        <v>0.35483870967741937</v>
      </c>
    </row>
    <row r="52" spans="1:19" x14ac:dyDescent="0.35">
      <c r="A52" s="4" t="s">
        <v>116</v>
      </c>
      <c r="B52" s="4">
        <v>0.40645161290322585</v>
      </c>
      <c r="C52" s="4">
        <v>0.19784946236559139</v>
      </c>
      <c r="D52" s="4">
        <v>0.20860215053763445</v>
      </c>
      <c r="E52" s="4">
        <v>0.5268817204301075</v>
      </c>
      <c r="F52" s="4">
        <v>0.23118279569892472</v>
      </c>
      <c r="G52" s="4">
        <v>0.29569892473118276</v>
      </c>
      <c r="H52" s="4">
        <v>1.0752688172043012E-2</v>
      </c>
      <c r="I52" s="4">
        <v>0.75806451612903225</v>
      </c>
      <c r="J52" s="4">
        <v>-0.74731182795698925</v>
      </c>
      <c r="K52" s="4">
        <v>0.521505376344086</v>
      </c>
      <c r="L52" s="4">
        <v>0</v>
      </c>
      <c r="M52" s="4">
        <v>0.521505376344086</v>
      </c>
      <c r="N52" s="4">
        <v>0.61827956989247312</v>
      </c>
      <c r="O52" s="4">
        <v>0</v>
      </c>
      <c r="P52" s="4">
        <v>0.61827956989247312</v>
      </c>
      <c r="Q52" s="4">
        <v>0.35483870967741937</v>
      </c>
      <c r="R52" s="4">
        <v>0</v>
      </c>
      <c r="S52" s="4">
        <v>0.35483870967741937</v>
      </c>
    </row>
    <row r="53" spans="1:19" x14ac:dyDescent="0.35">
      <c r="A53" s="4" t="s">
        <v>168</v>
      </c>
      <c r="B53" s="4">
        <v>0.40645161290322585</v>
      </c>
      <c r="C53" s="4">
        <v>0.19784946236559139</v>
      </c>
      <c r="D53" s="4">
        <v>0.20860215053763445</v>
      </c>
      <c r="E53" s="4">
        <v>0.5268817204301075</v>
      </c>
      <c r="F53" s="4">
        <v>0.23118279569892472</v>
      </c>
      <c r="G53" s="4">
        <v>0.29569892473118276</v>
      </c>
      <c r="H53" s="4">
        <v>1.0752688172043012E-2</v>
      </c>
      <c r="I53" s="4">
        <v>0.75806451612903225</v>
      </c>
      <c r="J53" s="4">
        <v>-0.74731182795698925</v>
      </c>
      <c r="K53" s="4">
        <v>0.521505376344086</v>
      </c>
      <c r="L53" s="4">
        <v>0</v>
      </c>
      <c r="M53" s="4">
        <v>0.521505376344086</v>
      </c>
      <c r="N53" s="4">
        <v>0.61827956989247312</v>
      </c>
      <c r="O53" s="4">
        <v>0</v>
      </c>
      <c r="P53" s="4">
        <v>0.61827956989247312</v>
      </c>
      <c r="Q53" s="4">
        <v>0.35483870967741937</v>
      </c>
      <c r="R53" s="4">
        <v>0</v>
      </c>
      <c r="S53" s="4">
        <v>0.35483870967741937</v>
      </c>
    </row>
    <row r="54" spans="1:19" x14ac:dyDescent="0.35">
      <c r="A54" s="4" t="s">
        <v>177</v>
      </c>
      <c r="B54" s="4">
        <v>0.40645161290322585</v>
      </c>
      <c r="C54" s="4">
        <v>0.19784946236559139</v>
      </c>
      <c r="D54" s="4">
        <v>0.20860215053763445</v>
      </c>
      <c r="E54" s="4">
        <v>0.5268817204301075</v>
      </c>
      <c r="F54" s="4">
        <v>0.23118279569892472</v>
      </c>
      <c r="G54" s="4">
        <v>0.29569892473118276</v>
      </c>
      <c r="H54" s="4">
        <v>1.0752688172043012E-2</v>
      </c>
      <c r="I54" s="4">
        <v>0.75806451612903225</v>
      </c>
      <c r="J54" s="4">
        <v>-0.74731182795698925</v>
      </c>
      <c r="K54" s="4">
        <v>0.521505376344086</v>
      </c>
      <c r="L54" s="4">
        <v>0</v>
      </c>
      <c r="M54" s="4">
        <v>0.521505376344086</v>
      </c>
      <c r="N54" s="4">
        <v>0.61827956989247312</v>
      </c>
      <c r="O54" s="4">
        <v>0</v>
      </c>
      <c r="P54" s="4">
        <v>0.61827956989247312</v>
      </c>
      <c r="Q54" s="4">
        <v>0.35483870967741937</v>
      </c>
      <c r="R54" s="4">
        <v>0</v>
      </c>
      <c r="S54" s="4">
        <v>0.35483870967741937</v>
      </c>
    </row>
    <row r="55" spans="1:19" x14ac:dyDescent="0.35">
      <c r="A55" s="4" t="s">
        <v>182</v>
      </c>
      <c r="B55" s="4">
        <v>0.40645161290322585</v>
      </c>
      <c r="C55" s="4">
        <v>0.19784946236559139</v>
      </c>
      <c r="D55" s="4">
        <v>0.20860215053763445</v>
      </c>
      <c r="E55" s="4">
        <v>0.5268817204301075</v>
      </c>
      <c r="F55" s="4">
        <v>0.23118279569892472</v>
      </c>
      <c r="G55" s="4">
        <v>0.29569892473118276</v>
      </c>
      <c r="H55" s="4">
        <v>1.0752688172043012E-2</v>
      </c>
      <c r="I55" s="4">
        <v>0.75806451612903225</v>
      </c>
      <c r="J55" s="4">
        <v>-0.74731182795698925</v>
      </c>
      <c r="K55" s="4">
        <v>0.521505376344086</v>
      </c>
      <c r="L55" s="4">
        <v>0</v>
      </c>
      <c r="M55" s="4">
        <v>0.521505376344086</v>
      </c>
      <c r="N55" s="4">
        <v>0.61827956989247312</v>
      </c>
      <c r="O55" s="4">
        <v>0</v>
      </c>
      <c r="P55" s="4">
        <v>0.61827956989247312</v>
      </c>
      <c r="Q55" s="4">
        <v>0.35483870967741937</v>
      </c>
      <c r="R55" s="4">
        <v>0</v>
      </c>
      <c r="S55" s="4">
        <v>0.35483870967741937</v>
      </c>
    </row>
    <row r="56" spans="1:19" x14ac:dyDescent="0.35">
      <c r="A56" s="4" t="s">
        <v>27</v>
      </c>
      <c r="B56" s="4">
        <v>0.43548387096774194</v>
      </c>
      <c r="C56" s="4">
        <v>0.27204301075268822</v>
      </c>
      <c r="D56" s="4">
        <v>0.16344086021505372</v>
      </c>
      <c r="E56" s="4">
        <v>0.77419354838709675</v>
      </c>
      <c r="F56" s="4">
        <v>0</v>
      </c>
      <c r="G56" s="4">
        <v>0.77419354838709675</v>
      </c>
      <c r="H56" s="4">
        <v>0.85483870967741937</v>
      </c>
      <c r="I56" s="4">
        <v>0</v>
      </c>
      <c r="J56" s="4">
        <v>0.85483870967741937</v>
      </c>
      <c r="K56" s="4">
        <v>0.15053763440860216</v>
      </c>
      <c r="L56" s="4">
        <v>0.4838709677419355</v>
      </c>
      <c r="M56" s="4">
        <v>-0.33333333333333337</v>
      </c>
      <c r="N56" s="4">
        <v>4.3010752688172046E-2</v>
      </c>
      <c r="O56" s="4">
        <v>0.87634408602150538</v>
      </c>
      <c r="P56" s="4">
        <v>-0.83333333333333337</v>
      </c>
      <c r="Q56" s="4">
        <v>0.35483870967741937</v>
      </c>
      <c r="R56" s="4">
        <v>0</v>
      </c>
      <c r="S56" s="4">
        <v>0.35483870967741937</v>
      </c>
    </row>
    <row r="57" spans="1:19" x14ac:dyDescent="0.35">
      <c r="A57" s="4" t="s">
        <v>28</v>
      </c>
      <c r="B57" s="4">
        <v>0.43548387096774194</v>
      </c>
      <c r="C57" s="4">
        <v>0.27204301075268822</v>
      </c>
      <c r="D57" s="4">
        <v>0.16344086021505372</v>
      </c>
      <c r="E57" s="4">
        <v>0.77419354838709675</v>
      </c>
      <c r="F57" s="4">
        <v>0</v>
      </c>
      <c r="G57" s="4">
        <v>0.77419354838709675</v>
      </c>
      <c r="H57" s="4">
        <v>0.85483870967741937</v>
      </c>
      <c r="I57" s="4">
        <v>0</v>
      </c>
      <c r="J57" s="4">
        <v>0.85483870967741937</v>
      </c>
      <c r="K57" s="4">
        <v>0.15053763440860216</v>
      </c>
      <c r="L57" s="4">
        <v>0.4838709677419355</v>
      </c>
      <c r="M57" s="4">
        <v>-0.33333333333333337</v>
      </c>
      <c r="N57" s="4">
        <v>4.3010752688172046E-2</v>
      </c>
      <c r="O57" s="4">
        <v>0.87634408602150538</v>
      </c>
      <c r="P57" s="4">
        <v>-0.83333333333333337</v>
      </c>
      <c r="Q57" s="4">
        <v>0.35483870967741937</v>
      </c>
      <c r="R57" s="4">
        <v>0</v>
      </c>
      <c r="S57" s="4">
        <v>0.35483870967741937</v>
      </c>
    </row>
    <row r="58" spans="1:19" x14ac:dyDescent="0.35">
      <c r="A58" s="4" t="s">
        <v>148</v>
      </c>
      <c r="B58" s="4">
        <v>0.3720430107526882</v>
      </c>
      <c r="C58" s="4">
        <v>0.22903225806451613</v>
      </c>
      <c r="D58" s="4">
        <v>0.14301075268817207</v>
      </c>
      <c r="E58" s="4">
        <v>0.77419354838709675</v>
      </c>
      <c r="F58" s="4">
        <v>0</v>
      </c>
      <c r="G58" s="4">
        <v>0.77419354838709675</v>
      </c>
      <c r="H58" s="4">
        <v>1.0752688172043012E-2</v>
      </c>
      <c r="I58" s="4">
        <v>0.75806451612903225</v>
      </c>
      <c r="J58" s="4">
        <v>-0.74731182795698925</v>
      </c>
      <c r="K58" s="4">
        <v>0.521505376344086</v>
      </c>
      <c r="L58" s="4">
        <v>0</v>
      </c>
      <c r="M58" s="4">
        <v>0.521505376344086</v>
      </c>
      <c r="N58" s="4">
        <v>0.19892473118279569</v>
      </c>
      <c r="O58" s="4">
        <v>0.38709677419354838</v>
      </c>
      <c r="P58" s="4">
        <v>-0.18817204301075269</v>
      </c>
      <c r="Q58" s="4">
        <v>0.35483870967741937</v>
      </c>
      <c r="R58" s="4">
        <v>0</v>
      </c>
      <c r="S58" s="4">
        <v>0.35483870967741937</v>
      </c>
    </row>
    <row r="59" spans="1:19" x14ac:dyDescent="0.35">
      <c r="A59" s="4" t="s">
        <v>153</v>
      </c>
      <c r="B59" s="4">
        <v>0.3720430107526882</v>
      </c>
      <c r="C59" s="4">
        <v>0.22903225806451613</v>
      </c>
      <c r="D59" s="4">
        <v>0.14301075268817207</v>
      </c>
      <c r="E59" s="4">
        <v>0.77419354838709675</v>
      </c>
      <c r="F59" s="4">
        <v>0</v>
      </c>
      <c r="G59" s="4">
        <v>0.77419354838709675</v>
      </c>
      <c r="H59" s="4">
        <v>1.0752688172043012E-2</v>
      </c>
      <c r="I59" s="4">
        <v>0.75806451612903225</v>
      </c>
      <c r="J59" s="4">
        <v>-0.74731182795698925</v>
      </c>
      <c r="K59" s="4">
        <v>0.521505376344086</v>
      </c>
      <c r="L59" s="4">
        <v>0</v>
      </c>
      <c r="M59" s="4">
        <v>0.521505376344086</v>
      </c>
      <c r="N59" s="4">
        <v>0.19892473118279569</v>
      </c>
      <c r="O59" s="4">
        <v>0.38709677419354838</v>
      </c>
      <c r="P59" s="4">
        <v>-0.18817204301075269</v>
      </c>
      <c r="Q59" s="4">
        <v>0.35483870967741937</v>
      </c>
      <c r="R59" s="4">
        <v>0</v>
      </c>
      <c r="S59" s="4">
        <v>0.35483870967741937</v>
      </c>
    </row>
    <row r="60" spans="1:19" x14ac:dyDescent="0.35">
      <c r="A60" s="4" t="s">
        <v>9</v>
      </c>
      <c r="B60" s="4">
        <v>0.42688172043010753</v>
      </c>
      <c r="C60" s="4">
        <v>0.28924731182795704</v>
      </c>
      <c r="D60" s="4">
        <v>0.13763440860215048</v>
      </c>
      <c r="E60" s="4">
        <v>0.77419354838709675</v>
      </c>
      <c r="F60" s="4">
        <v>0</v>
      </c>
      <c r="G60" s="4">
        <v>0.77419354838709675</v>
      </c>
      <c r="H60" s="4">
        <v>0.85483870967741937</v>
      </c>
      <c r="I60" s="4">
        <v>0</v>
      </c>
      <c r="J60" s="4">
        <v>0.85483870967741937</v>
      </c>
      <c r="K60" s="4">
        <v>0.15053763440860216</v>
      </c>
      <c r="L60" s="4">
        <v>0.4838709677419355</v>
      </c>
      <c r="M60" s="4">
        <v>-0.33333333333333337</v>
      </c>
      <c r="N60" s="4">
        <v>0</v>
      </c>
      <c r="O60" s="4">
        <v>0.9623655913978495</v>
      </c>
      <c r="P60" s="4">
        <v>-0.9623655913978495</v>
      </c>
      <c r="Q60" s="4">
        <v>0.35483870967741937</v>
      </c>
      <c r="R60" s="4">
        <v>0</v>
      </c>
      <c r="S60" s="4">
        <v>0.35483870967741937</v>
      </c>
    </row>
    <row r="61" spans="1:19" x14ac:dyDescent="0.35">
      <c r="A61" s="4" t="s">
        <v>10</v>
      </c>
      <c r="B61" s="4">
        <v>0.42688172043010753</v>
      </c>
      <c r="C61" s="4">
        <v>0.28924731182795704</v>
      </c>
      <c r="D61" s="4">
        <v>0.13763440860215048</v>
      </c>
      <c r="E61" s="4">
        <v>0.77419354838709675</v>
      </c>
      <c r="F61" s="4">
        <v>0</v>
      </c>
      <c r="G61" s="4">
        <v>0.77419354838709675</v>
      </c>
      <c r="H61" s="4">
        <v>0.85483870967741937</v>
      </c>
      <c r="I61" s="4">
        <v>0</v>
      </c>
      <c r="J61" s="4">
        <v>0.85483870967741937</v>
      </c>
      <c r="K61" s="4">
        <v>0.15053763440860216</v>
      </c>
      <c r="L61" s="4">
        <v>0.4838709677419355</v>
      </c>
      <c r="M61" s="4">
        <v>-0.33333333333333337</v>
      </c>
      <c r="N61" s="4">
        <v>0</v>
      </c>
      <c r="O61" s="4">
        <v>0.9623655913978495</v>
      </c>
      <c r="P61" s="4">
        <v>-0.9623655913978495</v>
      </c>
      <c r="Q61" s="4">
        <v>0.35483870967741937</v>
      </c>
      <c r="R61" s="4">
        <v>0</v>
      </c>
      <c r="S61" s="4">
        <v>0.35483870967741937</v>
      </c>
    </row>
    <row r="62" spans="1:19" x14ac:dyDescent="0.35">
      <c r="A62" s="4" t="s">
        <v>23</v>
      </c>
      <c r="B62" s="4">
        <v>0.42688172043010753</v>
      </c>
      <c r="C62" s="4">
        <v>0.28924731182795704</v>
      </c>
      <c r="D62" s="4">
        <v>0.13763440860215048</v>
      </c>
      <c r="E62" s="4">
        <v>0.77419354838709675</v>
      </c>
      <c r="F62" s="4">
        <v>0</v>
      </c>
      <c r="G62" s="4">
        <v>0.77419354838709675</v>
      </c>
      <c r="H62" s="4">
        <v>0.85483870967741937</v>
      </c>
      <c r="I62" s="4">
        <v>0</v>
      </c>
      <c r="J62" s="4">
        <v>0.85483870967741937</v>
      </c>
      <c r="K62" s="4">
        <v>0.15053763440860216</v>
      </c>
      <c r="L62" s="4">
        <v>0.4838709677419355</v>
      </c>
      <c r="M62" s="4">
        <v>-0.33333333333333337</v>
      </c>
      <c r="N62" s="4">
        <v>0</v>
      </c>
      <c r="O62" s="4">
        <v>0.9623655913978495</v>
      </c>
      <c r="P62" s="4">
        <v>-0.9623655913978495</v>
      </c>
      <c r="Q62" s="4">
        <v>0.35483870967741937</v>
      </c>
      <c r="R62" s="4">
        <v>0</v>
      </c>
      <c r="S62" s="4">
        <v>0.35483870967741937</v>
      </c>
    </row>
    <row r="63" spans="1:19" x14ac:dyDescent="0.35">
      <c r="A63" s="4" t="s">
        <v>88</v>
      </c>
      <c r="B63" s="4">
        <v>0.38602150537634411</v>
      </c>
      <c r="C63" s="4">
        <v>0.24946236559139787</v>
      </c>
      <c r="D63" s="4">
        <v>0.13655913978494624</v>
      </c>
      <c r="E63" s="4">
        <v>0</v>
      </c>
      <c r="F63" s="4">
        <v>0.86021505376344087</v>
      </c>
      <c r="G63" s="4">
        <v>-0.86021505376344087</v>
      </c>
      <c r="H63" s="4">
        <v>0.85483870967741937</v>
      </c>
      <c r="I63" s="4">
        <v>0</v>
      </c>
      <c r="J63" s="4">
        <v>0.85483870967741937</v>
      </c>
      <c r="K63" s="4">
        <v>0.521505376344086</v>
      </c>
      <c r="L63" s="4">
        <v>0</v>
      </c>
      <c r="M63" s="4">
        <v>0.521505376344086</v>
      </c>
      <c r="N63" s="4">
        <v>0.19892473118279569</v>
      </c>
      <c r="O63" s="4">
        <v>0.38709677419354838</v>
      </c>
      <c r="P63" s="4">
        <v>-0.18817204301075269</v>
      </c>
      <c r="Q63" s="4">
        <v>0.35483870967741937</v>
      </c>
      <c r="R63" s="4">
        <v>0</v>
      </c>
      <c r="S63" s="4">
        <v>0.35483870967741937</v>
      </c>
    </row>
    <row r="64" spans="1:19" x14ac:dyDescent="0.35">
      <c r="A64" s="4" t="s">
        <v>105</v>
      </c>
      <c r="B64" s="4">
        <v>0.39569892473118284</v>
      </c>
      <c r="C64" s="4">
        <v>0.26881720430107531</v>
      </c>
      <c r="D64" s="4">
        <v>0.12688172043010754</v>
      </c>
      <c r="E64" s="4">
        <v>0</v>
      </c>
      <c r="F64" s="4">
        <v>0.86021505376344087</v>
      </c>
      <c r="G64" s="4">
        <v>-0.86021505376344087</v>
      </c>
      <c r="H64" s="4">
        <v>0.85483870967741937</v>
      </c>
      <c r="I64" s="4">
        <v>0</v>
      </c>
      <c r="J64" s="4">
        <v>0.85483870967741937</v>
      </c>
      <c r="K64" s="4">
        <v>0.15053763440860216</v>
      </c>
      <c r="L64" s="4">
        <v>0.4838709677419355</v>
      </c>
      <c r="M64" s="4">
        <v>-0.33333333333333337</v>
      </c>
      <c r="N64" s="4">
        <v>0.61827956989247312</v>
      </c>
      <c r="O64" s="4">
        <v>0</v>
      </c>
      <c r="P64" s="4">
        <v>0.61827956989247312</v>
      </c>
      <c r="Q64" s="4">
        <v>0.35483870967741937</v>
      </c>
      <c r="R64" s="4">
        <v>0</v>
      </c>
      <c r="S64" s="4">
        <v>0.35483870967741937</v>
      </c>
    </row>
    <row r="65" spans="1:19" x14ac:dyDescent="0.35">
      <c r="A65" s="4" t="s">
        <v>87</v>
      </c>
      <c r="B65" s="4">
        <v>0.34946236559139787</v>
      </c>
      <c r="C65" s="4">
        <v>0.24623655913978498</v>
      </c>
      <c r="D65" s="4">
        <v>0.10322580645161289</v>
      </c>
      <c r="E65" s="4">
        <v>0.14516129032258066</v>
      </c>
      <c r="F65" s="4">
        <v>0.69354838709677424</v>
      </c>
      <c r="G65" s="4">
        <v>-0.54838709677419362</v>
      </c>
      <c r="H65" s="4">
        <v>0.5268817204301075</v>
      </c>
      <c r="I65" s="4">
        <v>0.15053763440860216</v>
      </c>
      <c r="J65" s="4">
        <v>0.37634408602150538</v>
      </c>
      <c r="K65" s="4">
        <v>0.521505376344086</v>
      </c>
      <c r="L65" s="4">
        <v>0</v>
      </c>
      <c r="M65" s="4">
        <v>0.521505376344086</v>
      </c>
      <c r="N65" s="4">
        <v>0.19892473118279569</v>
      </c>
      <c r="O65" s="4">
        <v>0.38709677419354838</v>
      </c>
      <c r="P65" s="4">
        <v>-0.18817204301075269</v>
      </c>
      <c r="Q65" s="4">
        <v>0.35483870967741937</v>
      </c>
      <c r="R65" s="4">
        <v>0</v>
      </c>
      <c r="S65" s="4">
        <v>0.35483870967741937</v>
      </c>
    </row>
    <row r="66" spans="1:19" x14ac:dyDescent="0.35">
      <c r="A66" s="4" t="s">
        <v>166</v>
      </c>
      <c r="B66" s="4">
        <v>0.34946236559139787</v>
      </c>
      <c r="C66" s="4">
        <v>0.24623655913978498</v>
      </c>
      <c r="D66" s="4">
        <v>0.10322580645161289</v>
      </c>
      <c r="E66" s="4">
        <v>0.14516129032258066</v>
      </c>
      <c r="F66" s="4">
        <v>0.69354838709677424</v>
      </c>
      <c r="G66" s="4">
        <v>-0.54838709677419362</v>
      </c>
      <c r="H66" s="4">
        <v>0.5268817204301075</v>
      </c>
      <c r="I66" s="4">
        <v>0.15053763440860216</v>
      </c>
      <c r="J66" s="4">
        <v>0.37634408602150538</v>
      </c>
      <c r="K66" s="4">
        <v>0.521505376344086</v>
      </c>
      <c r="L66" s="4">
        <v>0</v>
      </c>
      <c r="M66" s="4">
        <v>0.521505376344086</v>
      </c>
      <c r="N66" s="4">
        <v>0.19892473118279569</v>
      </c>
      <c r="O66" s="4">
        <v>0.38709677419354838</v>
      </c>
      <c r="P66" s="4">
        <v>-0.18817204301075269</v>
      </c>
      <c r="Q66" s="4">
        <v>0.35483870967741937</v>
      </c>
      <c r="R66" s="4">
        <v>0</v>
      </c>
      <c r="S66" s="4">
        <v>0.35483870967741937</v>
      </c>
    </row>
    <row r="67" spans="1:19" x14ac:dyDescent="0.35">
      <c r="A67" s="4" t="s">
        <v>25</v>
      </c>
      <c r="B67" s="4">
        <v>0.38709677419354843</v>
      </c>
      <c r="C67" s="4">
        <v>0.28817204301075272</v>
      </c>
      <c r="D67" s="4">
        <v>9.8924731182795711E-2</v>
      </c>
      <c r="E67" s="4">
        <v>0.77419354838709675</v>
      </c>
      <c r="F67" s="4">
        <v>0</v>
      </c>
      <c r="G67" s="4">
        <v>0.77419354838709675</v>
      </c>
      <c r="H67" s="4">
        <v>0.5268817204301075</v>
      </c>
      <c r="I67" s="4">
        <v>0.15053763440860216</v>
      </c>
      <c r="J67" s="4">
        <v>0.37634408602150538</v>
      </c>
      <c r="K67" s="4">
        <v>0.15053763440860216</v>
      </c>
      <c r="L67" s="4">
        <v>0.4838709677419355</v>
      </c>
      <c r="M67" s="4">
        <v>-0.33333333333333337</v>
      </c>
      <c r="N67" s="4">
        <v>0.12903225806451613</v>
      </c>
      <c r="O67" s="4">
        <v>0.80645161290322576</v>
      </c>
      <c r="P67" s="4">
        <v>-0.67741935483870963</v>
      </c>
      <c r="Q67" s="4">
        <v>0.35483870967741937</v>
      </c>
      <c r="R67" s="4">
        <v>0</v>
      </c>
      <c r="S67" s="4">
        <v>0.35483870967741937</v>
      </c>
    </row>
    <row r="68" spans="1:19" x14ac:dyDescent="0.35">
      <c r="A68" s="4" t="s">
        <v>26</v>
      </c>
      <c r="B68" s="4">
        <v>0.38709677419354843</v>
      </c>
      <c r="C68" s="4">
        <v>0.28817204301075272</v>
      </c>
      <c r="D68" s="4">
        <v>9.8924731182795711E-2</v>
      </c>
      <c r="E68" s="4">
        <v>0.77419354838709675</v>
      </c>
      <c r="F68" s="4">
        <v>0</v>
      </c>
      <c r="G68" s="4">
        <v>0.77419354838709675</v>
      </c>
      <c r="H68" s="4">
        <v>0.5268817204301075</v>
      </c>
      <c r="I68" s="4">
        <v>0.15053763440860216</v>
      </c>
      <c r="J68" s="4">
        <v>0.37634408602150538</v>
      </c>
      <c r="K68" s="4">
        <v>0.15053763440860216</v>
      </c>
      <c r="L68" s="4">
        <v>0.4838709677419355</v>
      </c>
      <c r="M68" s="4">
        <v>-0.33333333333333337</v>
      </c>
      <c r="N68" s="4">
        <v>0.12903225806451613</v>
      </c>
      <c r="O68" s="4">
        <v>0.80645161290322576</v>
      </c>
      <c r="P68" s="4">
        <v>-0.67741935483870963</v>
      </c>
      <c r="Q68" s="4">
        <v>0.35483870967741937</v>
      </c>
      <c r="R68" s="4">
        <v>0</v>
      </c>
      <c r="S68" s="4">
        <v>0.35483870967741937</v>
      </c>
    </row>
    <row r="69" spans="1:19" x14ac:dyDescent="0.35">
      <c r="A69" s="4" t="s">
        <v>51</v>
      </c>
      <c r="B69" s="4">
        <v>0.35913978494623661</v>
      </c>
      <c r="C69" s="4">
        <v>0.2655913978494624</v>
      </c>
      <c r="D69" s="4">
        <v>9.354838709677421E-2</v>
      </c>
      <c r="E69" s="4">
        <v>0.14516129032258066</v>
      </c>
      <c r="F69" s="4">
        <v>0.69354838709677424</v>
      </c>
      <c r="G69" s="4">
        <v>-0.54838709677419362</v>
      </c>
      <c r="H69" s="4">
        <v>0.5268817204301075</v>
      </c>
      <c r="I69" s="4">
        <v>0.15053763440860216</v>
      </c>
      <c r="J69" s="4">
        <v>0.37634408602150538</v>
      </c>
      <c r="K69" s="4">
        <v>0.15053763440860216</v>
      </c>
      <c r="L69" s="4">
        <v>0.4838709677419355</v>
      </c>
      <c r="M69" s="4">
        <v>-0.33333333333333337</v>
      </c>
      <c r="N69" s="4">
        <v>0.61827956989247312</v>
      </c>
      <c r="O69" s="4">
        <v>0</v>
      </c>
      <c r="P69" s="4">
        <v>0.61827956989247312</v>
      </c>
      <c r="Q69" s="4">
        <v>0.35483870967741937</v>
      </c>
      <c r="R69" s="4">
        <v>0</v>
      </c>
      <c r="S69" s="4">
        <v>0.35483870967741937</v>
      </c>
    </row>
    <row r="70" spans="1:19" x14ac:dyDescent="0.35">
      <c r="A70" s="4" t="s">
        <v>62</v>
      </c>
      <c r="B70" s="4">
        <v>0.35913978494623661</v>
      </c>
      <c r="C70" s="4">
        <v>0.2655913978494624</v>
      </c>
      <c r="D70" s="4">
        <v>9.354838709677421E-2</v>
      </c>
      <c r="E70" s="4">
        <v>0.14516129032258066</v>
      </c>
      <c r="F70" s="4">
        <v>0.69354838709677424</v>
      </c>
      <c r="G70" s="4">
        <v>-0.54838709677419362</v>
      </c>
      <c r="H70" s="4">
        <v>0.5268817204301075</v>
      </c>
      <c r="I70" s="4">
        <v>0.15053763440860216</v>
      </c>
      <c r="J70" s="4">
        <v>0.37634408602150538</v>
      </c>
      <c r="K70" s="4">
        <v>0.15053763440860216</v>
      </c>
      <c r="L70" s="4">
        <v>0.4838709677419355</v>
      </c>
      <c r="M70" s="4">
        <v>-0.33333333333333337</v>
      </c>
      <c r="N70" s="4">
        <v>0.61827956989247312</v>
      </c>
      <c r="O70" s="4">
        <v>0</v>
      </c>
      <c r="P70" s="4">
        <v>0.61827956989247312</v>
      </c>
      <c r="Q70" s="4">
        <v>0.35483870967741937</v>
      </c>
      <c r="R70" s="4">
        <v>0</v>
      </c>
      <c r="S70" s="4">
        <v>0.35483870967741937</v>
      </c>
    </row>
    <row r="71" spans="1:19" x14ac:dyDescent="0.35">
      <c r="A71" s="4" t="s">
        <v>103</v>
      </c>
      <c r="B71" s="4">
        <v>0.35913978494623661</v>
      </c>
      <c r="C71" s="4">
        <v>0.2655913978494624</v>
      </c>
      <c r="D71" s="4">
        <v>9.354838709677421E-2</v>
      </c>
      <c r="E71" s="4">
        <v>0.14516129032258066</v>
      </c>
      <c r="F71" s="4">
        <v>0.69354838709677424</v>
      </c>
      <c r="G71" s="4">
        <v>-0.54838709677419362</v>
      </c>
      <c r="H71" s="4">
        <v>0.5268817204301075</v>
      </c>
      <c r="I71" s="4">
        <v>0.15053763440860216</v>
      </c>
      <c r="J71" s="4">
        <v>0.37634408602150538</v>
      </c>
      <c r="K71" s="4">
        <v>0.15053763440860216</v>
      </c>
      <c r="L71" s="4">
        <v>0.4838709677419355</v>
      </c>
      <c r="M71" s="4">
        <v>-0.33333333333333337</v>
      </c>
      <c r="N71" s="4">
        <v>0.61827956989247312</v>
      </c>
      <c r="O71" s="4">
        <v>0</v>
      </c>
      <c r="P71" s="4">
        <v>0.61827956989247312</v>
      </c>
      <c r="Q71" s="4">
        <v>0.35483870967741937</v>
      </c>
      <c r="R71" s="4">
        <v>0</v>
      </c>
      <c r="S71" s="4">
        <v>0.35483870967741937</v>
      </c>
    </row>
    <row r="72" spans="1:19" x14ac:dyDescent="0.35">
      <c r="A72" s="4" t="s">
        <v>104</v>
      </c>
      <c r="B72" s="4">
        <v>0.35913978494623661</v>
      </c>
      <c r="C72" s="4">
        <v>0.2655913978494624</v>
      </c>
      <c r="D72" s="4">
        <v>9.354838709677421E-2</v>
      </c>
      <c r="E72" s="4">
        <v>0.14516129032258066</v>
      </c>
      <c r="F72" s="4">
        <v>0.69354838709677424</v>
      </c>
      <c r="G72" s="4">
        <v>-0.54838709677419362</v>
      </c>
      <c r="H72" s="4">
        <v>0.5268817204301075</v>
      </c>
      <c r="I72" s="4">
        <v>0.15053763440860216</v>
      </c>
      <c r="J72" s="4">
        <v>0.37634408602150538</v>
      </c>
      <c r="K72" s="4">
        <v>0.15053763440860216</v>
      </c>
      <c r="L72" s="4">
        <v>0.4838709677419355</v>
      </c>
      <c r="M72" s="4">
        <v>-0.33333333333333337</v>
      </c>
      <c r="N72" s="4">
        <v>0.61827956989247312</v>
      </c>
      <c r="O72" s="4">
        <v>0</v>
      </c>
      <c r="P72" s="4">
        <v>0.61827956989247312</v>
      </c>
      <c r="Q72" s="4">
        <v>0.35483870967741937</v>
      </c>
      <c r="R72" s="4">
        <v>0</v>
      </c>
      <c r="S72" s="4">
        <v>0.35483870967741937</v>
      </c>
    </row>
    <row r="73" spans="1:19" x14ac:dyDescent="0.35">
      <c r="A73" s="4" t="s">
        <v>24</v>
      </c>
      <c r="B73" s="4">
        <v>0.34516129032258069</v>
      </c>
      <c r="C73" s="4">
        <v>0.26989247311827957</v>
      </c>
      <c r="D73" s="4">
        <v>7.5268817204301119E-2</v>
      </c>
      <c r="E73" s="4">
        <v>0.77419354838709675</v>
      </c>
      <c r="F73" s="4">
        <v>0</v>
      </c>
      <c r="G73" s="4">
        <v>0.77419354838709675</v>
      </c>
      <c r="H73" s="4">
        <v>0.24731182795698925</v>
      </c>
      <c r="I73" s="4">
        <v>0.478494623655914</v>
      </c>
      <c r="J73" s="4">
        <v>-0.23118279569892475</v>
      </c>
      <c r="K73" s="4">
        <v>0.15053763440860216</v>
      </c>
      <c r="L73" s="4">
        <v>0.4838709677419355</v>
      </c>
      <c r="M73" s="4">
        <v>-0.33333333333333337</v>
      </c>
      <c r="N73" s="4">
        <v>0.19892473118279569</v>
      </c>
      <c r="O73" s="4">
        <v>0.38709677419354838</v>
      </c>
      <c r="P73" s="4">
        <v>-0.18817204301075269</v>
      </c>
      <c r="Q73" s="4">
        <v>0.35483870967741937</v>
      </c>
      <c r="R73" s="4">
        <v>0</v>
      </c>
      <c r="S73" s="4">
        <v>0.35483870967741937</v>
      </c>
    </row>
    <row r="74" spans="1:19" x14ac:dyDescent="0.35">
      <c r="A74" s="4" t="s">
        <v>8</v>
      </c>
      <c r="B74" s="4">
        <v>0.36989247311827961</v>
      </c>
      <c r="C74" s="4">
        <v>0.30215053763440863</v>
      </c>
      <c r="D74" s="4">
        <v>6.7741935483870974E-2</v>
      </c>
      <c r="E74" s="4">
        <v>0.77419354838709675</v>
      </c>
      <c r="F74" s="4">
        <v>0</v>
      </c>
      <c r="G74" s="4">
        <v>0.77419354838709675</v>
      </c>
      <c r="H74" s="4">
        <v>0.5268817204301075</v>
      </c>
      <c r="I74" s="4">
        <v>0.15053763440860216</v>
      </c>
      <c r="J74" s="4">
        <v>0.37634408602150538</v>
      </c>
      <c r="K74" s="4">
        <v>0.15053763440860216</v>
      </c>
      <c r="L74" s="4">
        <v>0.4838709677419355</v>
      </c>
      <c r="M74" s="4">
        <v>-0.33333333333333337</v>
      </c>
      <c r="N74" s="4">
        <v>4.3010752688172046E-2</v>
      </c>
      <c r="O74" s="4">
        <v>0.87634408602150538</v>
      </c>
      <c r="P74" s="4">
        <v>-0.83333333333333337</v>
      </c>
      <c r="Q74" s="4">
        <v>0.35483870967741937</v>
      </c>
      <c r="R74" s="4">
        <v>0</v>
      </c>
      <c r="S74" s="4">
        <v>0.35483870967741937</v>
      </c>
    </row>
    <row r="75" spans="1:19" x14ac:dyDescent="0.35">
      <c r="A75" s="4" t="s">
        <v>18</v>
      </c>
      <c r="B75" s="4">
        <v>0.36989247311827961</v>
      </c>
      <c r="C75" s="4">
        <v>0.30215053763440863</v>
      </c>
      <c r="D75" s="4">
        <v>6.7741935483870974E-2</v>
      </c>
      <c r="E75" s="4">
        <v>0.77419354838709675</v>
      </c>
      <c r="F75" s="4">
        <v>0</v>
      </c>
      <c r="G75" s="4">
        <v>0.77419354838709675</v>
      </c>
      <c r="H75" s="4">
        <v>0.5268817204301075</v>
      </c>
      <c r="I75" s="4">
        <v>0.15053763440860216</v>
      </c>
      <c r="J75" s="4">
        <v>0.37634408602150538</v>
      </c>
      <c r="K75" s="4">
        <v>0.15053763440860216</v>
      </c>
      <c r="L75" s="4">
        <v>0.4838709677419355</v>
      </c>
      <c r="M75" s="4">
        <v>-0.33333333333333337</v>
      </c>
      <c r="N75" s="4">
        <v>4.3010752688172046E-2</v>
      </c>
      <c r="O75" s="4">
        <v>0.87634408602150538</v>
      </c>
      <c r="P75" s="4">
        <v>-0.83333333333333337</v>
      </c>
      <c r="Q75" s="4">
        <v>0.35483870967741937</v>
      </c>
      <c r="R75" s="4">
        <v>0</v>
      </c>
      <c r="S75" s="4">
        <v>0.35483870967741937</v>
      </c>
    </row>
    <row r="76" spans="1:19" x14ac:dyDescent="0.35">
      <c r="A76" s="4" t="s">
        <v>86</v>
      </c>
      <c r="B76" s="4">
        <v>0.32688172043010755</v>
      </c>
      <c r="C76" s="4">
        <v>0.26881720430107525</v>
      </c>
      <c r="D76" s="4">
        <v>5.8064516129032295E-2</v>
      </c>
      <c r="E76" s="4">
        <v>0.31182795698924731</v>
      </c>
      <c r="F76" s="4">
        <v>0.478494623655914</v>
      </c>
      <c r="G76" s="4">
        <v>-0.16666666666666669</v>
      </c>
      <c r="H76" s="4">
        <v>0.24731182795698925</v>
      </c>
      <c r="I76" s="4">
        <v>0.478494623655914</v>
      </c>
      <c r="J76" s="4">
        <v>-0.23118279569892475</v>
      </c>
      <c r="K76" s="4">
        <v>0.521505376344086</v>
      </c>
      <c r="L76" s="4">
        <v>0</v>
      </c>
      <c r="M76" s="4">
        <v>0.521505376344086</v>
      </c>
      <c r="N76" s="4">
        <v>0.19892473118279569</v>
      </c>
      <c r="O76" s="4">
        <v>0.38709677419354838</v>
      </c>
      <c r="P76" s="4">
        <v>-0.18817204301075269</v>
      </c>
      <c r="Q76" s="4">
        <v>0.35483870967741937</v>
      </c>
      <c r="R76" s="4">
        <v>0</v>
      </c>
      <c r="S76" s="4">
        <v>0.35483870967741937</v>
      </c>
    </row>
    <row r="77" spans="1:19" x14ac:dyDescent="0.35">
      <c r="A77" s="4" t="s">
        <v>160</v>
      </c>
      <c r="B77" s="4">
        <v>0.32688172043010755</v>
      </c>
      <c r="C77" s="4">
        <v>0.26881720430107525</v>
      </c>
      <c r="D77" s="4">
        <v>5.8064516129032295E-2</v>
      </c>
      <c r="E77" s="4">
        <v>0.31182795698924731</v>
      </c>
      <c r="F77" s="4">
        <v>0.478494623655914</v>
      </c>
      <c r="G77" s="4">
        <v>-0.16666666666666669</v>
      </c>
      <c r="H77" s="4">
        <v>0.24731182795698925</v>
      </c>
      <c r="I77" s="4">
        <v>0.478494623655914</v>
      </c>
      <c r="J77" s="4">
        <v>-0.23118279569892475</v>
      </c>
      <c r="K77" s="4">
        <v>0.521505376344086</v>
      </c>
      <c r="L77" s="4">
        <v>0</v>
      </c>
      <c r="M77" s="4">
        <v>0.521505376344086</v>
      </c>
      <c r="N77" s="4">
        <v>0.19892473118279569</v>
      </c>
      <c r="O77" s="4">
        <v>0.38709677419354838</v>
      </c>
      <c r="P77" s="4">
        <v>-0.18817204301075269</v>
      </c>
      <c r="Q77" s="4">
        <v>0.35483870967741937</v>
      </c>
      <c r="R77" s="4">
        <v>0</v>
      </c>
      <c r="S77" s="4">
        <v>0.35483870967741937</v>
      </c>
    </row>
    <row r="78" spans="1:19" x14ac:dyDescent="0.35">
      <c r="A78" s="4" t="s">
        <v>164</v>
      </c>
      <c r="B78" s="4">
        <v>0.32688172043010755</v>
      </c>
      <c r="C78" s="4">
        <v>0.26881720430107525</v>
      </c>
      <c r="D78" s="4">
        <v>5.8064516129032295E-2</v>
      </c>
      <c r="E78" s="4">
        <v>0.31182795698924731</v>
      </c>
      <c r="F78" s="4">
        <v>0.478494623655914</v>
      </c>
      <c r="G78" s="4">
        <v>-0.16666666666666669</v>
      </c>
      <c r="H78" s="4">
        <v>0.24731182795698925</v>
      </c>
      <c r="I78" s="4">
        <v>0.478494623655914</v>
      </c>
      <c r="J78" s="4">
        <v>-0.23118279569892475</v>
      </c>
      <c r="K78" s="4">
        <v>0.521505376344086</v>
      </c>
      <c r="L78" s="4">
        <v>0</v>
      </c>
      <c r="M78" s="4">
        <v>0.521505376344086</v>
      </c>
      <c r="N78" s="4">
        <v>0.19892473118279569</v>
      </c>
      <c r="O78" s="4">
        <v>0.38709677419354838</v>
      </c>
      <c r="P78" s="4">
        <v>-0.18817204301075269</v>
      </c>
      <c r="Q78" s="4">
        <v>0.35483870967741937</v>
      </c>
      <c r="R78" s="4">
        <v>0</v>
      </c>
      <c r="S78" s="4">
        <v>0.35483870967741937</v>
      </c>
    </row>
    <row r="79" spans="1:19" x14ac:dyDescent="0.35">
      <c r="A79" s="4" t="s">
        <v>165</v>
      </c>
      <c r="B79" s="4">
        <v>0.32688172043010755</v>
      </c>
      <c r="C79" s="4">
        <v>0.26881720430107525</v>
      </c>
      <c r="D79" s="4">
        <v>5.8064516129032295E-2</v>
      </c>
      <c r="E79" s="4">
        <v>0.31182795698924731</v>
      </c>
      <c r="F79" s="4">
        <v>0.478494623655914</v>
      </c>
      <c r="G79" s="4">
        <v>-0.16666666666666669</v>
      </c>
      <c r="H79" s="4">
        <v>0.24731182795698925</v>
      </c>
      <c r="I79" s="4">
        <v>0.478494623655914</v>
      </c>
      <c r="J79" s="4">
        <v>-0.23118279569892475</v>
      </c>
      <c r="K79" s="4">
        <v>0.521505376344086</v>
      </c>
      <c r="L79" s="4">
        <v>0</v>
      </c>
      <c r="M79" s="4">
        <v>0.521505376344086</v>
      </c>
      <c r="N79" s="4">
        <v>0.19892473118279569</v>
      </c>
      <c r="O79" s="4">
        <v>0.38709677419354838</v>
      </c>
      <c r="P79" s="4">
        <v>-0.18817204301075269</v>
      </c>
      <c r="Q79" s="4">
        <v>0.35483870967741937</v>
      </c>
      <c r="R79" s="4">
        <v>0</v>
      </c>
      <c r="S79" s="4">
        <v>0.35483870967741937</v>
      </c>
    </row>
    <row r="80" spans="1:19" x14ac:dyDescent="0.35">
      <c r="A80" s="4" t="s">
        <v>50</v>
      </c>
      <c r="B80" s="4">
        <v>0.33655913978494628</v>
      </c>
      <c r="C80" s="4">
        <v>0.28817204301075272</v>
      </c>
      <c r="D80" s="4">
        <v>4.8387096774193561E-2</v>
      </c>
      <c r="E80" s="4">
        <v>0.31182795698924731</v>
      </c>
      <c r="F80" s="4">
        <v>0.478494623655914</v>
      </c>
      <c r="G80" s="4">
        <v>-0.16666666666666669</v>
      </c>
      <c r="H80" s="4">
        <v>0.24731182795698925</v>
      </c>
      <c r="I80" s="4">
        <v>0.478494623655914</v>
      </c>
      <c r="J80" s="4">
        <v>-0.23118279569892475</v>
      </c>
      <c r="K80" s="4">
        <v>0.15053763440860216</v>
      </c>
      <c r="L80" s="4">
        <v>0.4838709677419355</v>
      </c>
      <c r="M80" s="4">
        <v>-0.33333333333333337</v>
      </c>
      <c r="N80" s="4">
        <v>0.61827956989247312</v>
      </c>
      <c r="O80" s="4">
        <v>0</v>
      </c>
      <c r="P80" s="4">
        <v>0.61827956989247312</v>
      </c>
      <c r="Q80" s="4">
        <v>0.35483870967741937</v>
      </c>
      <c r="R80" s="4">
        <v>0</v>
      </c>
      <c r="S80" s="4">
        <v>0.35483870967741937</v>
      </c>
    </row>
    <row r="81" spans="1:19" x14ac:dyDescent="0.35">
      <c r="A81" s="4" t="s">
        <v>61</v>
      </c>
      <c r="B81" s="4">
        <v>0.33655913978494628</v>
      </c>
      <c r="C81" s="4">
        <v>0.28817204301075272</v>
      </c>
      <c r="D81" s="4">
        <v>4.8387096774193561E-2</v>
      </c>
      <c r="E81" s="4">
        <v>0.31182795698924731</v>
      </c>
      <c r="F81" s="4">
        <v>0.478494623655914</v>
      </c>
      <c r="G81" s="4">
        <v>-0.16666666666666669</v>
      </c>
      <c r="H81" s="4">
        <v>0.24731182795698925</v>
      </c>
      <c r="I81" s="4">
        <v>0.478494623655914</v>
      </c>
      <c r="J81" s="4">
        <v>-0.23118279569892475</v>
      </c>
      <c r="K81" s="4">
        <v>0.15053763440860216</v>
      </c>
      <c r="L81" s="4">
        <v>0.4838709677419355</v>
      </c>
      <c r="M81" s="4">
        <v>-0.33333333333333337</v>
      </c>
      <c r="N81" s="4">
        <v>0.61827956989247312</v>
      </c>
      <c r="O81" s="4">
        <v>0</v>
      </c>
      <c r="P81" s="4">
        <v>0.61827956989247312</v>
      </c>
      <c r="Q81" s="4">
        <v>0.35483870967741937</v>
      </c>
      <c r="R81" s="4">
        <v>0</v>
      </c>
      <c r="S81" s="4">
        <v>0.35483870967741937</v>
      </c>
    </row>
    <row r="82" spans="1:19" x14ac:dyDescent="0.35">
      <c r="A82" s="4" t="s">
        <v>102</v>
      </c>
      <c r="B82" s="4">
        <v>0.33655913978494628</v>
      </c>
      <c r="C82" s="4">
        <v>0.28817204301075272</v>
      </c>
      <c r="D82" s="4">
        <v>4.8387096774193561E-2</v>
      </c>
      <c r="E82" s="4">
        <v>0.31182795698924731</v>
      </c>
      <c r="F82" s="4">
        <v>0.478494623655914</v>
      </c>
      <c r="G82" s="4">
        <v>-0.16666666666666669</v>
      </c>
      <c r="H82" s="4">
        <v>0.24731182795698925</v>
      </c>
      <c r="I82" s="4">
        <v>0.478494623655914</v>
      </c>
      <c r="J82" s="4">
        <v>-0.23118279569892475</v>
      </c>
      <c r="K82" s="4">
        <v>0.15053763440860216</v>
      </c>
      <c r="L82" s="4">
        <v>0.4838709677419355</v>
      </c>
      <c r="M82" s="4">
        <v>-0.33333333333333337</v>
      </c>
      <c r="N82" s="4">
        <v>0.61827956989247312</v>
      </c>
      <c r="O82" s="4">
        <v>0</v>
      </c>
      <c r="P82" s="4">
        <v>0.61827956989247312</v>
      </c>
      <c r="Q82" s="4">
        <v>0.35483870967741937</v>
      </c>
      <c r="R82" s="4">
        <v>0</v>
      </c>
      <c r="S82" s="4">
        <v>0.35483870967741937</v>
      </c>
    </row>
    <row r="83" spans="1:19" x14ac:dyDescent="0.35">
      <c r="A83" s="4" t="s">
        <v>84</v>
      </c>
      <c r="B83" s="4">
        <v>0.32258064516129037</v>
      </c>
      <c r="C83" s="4">
        <v>0.27526881720430108</v>
      </c>
      <c r="D83" s="4">
        <v>4.7311827956989294E-2</v>
      </c>
      <c r="E83" s="4">
        <v>0.5268817204301075</v>
      </c>
      <c r="F83" s="4">
        <v>0.23118279569892472</v>
      </c>
      <c r="G83" s="4">
        <v>0.29569892473118276</v>
      </c>
      <c r="H83" s="4">
        <v>1.0752688172043012E-2</v>
      </c>
      <c r="I83" s="4">
        <v>0.75806451612903225</v>
      </c>
      <c r="J83" s="4">
        <v>-0.74731182795698925</v>
      </c>
      <c r="K83" s="4">
        <v>0.521505376344086</v>
      </c>
      <c r="L83" s="4">
        <v>0</v>
      </c>
      <c r="M83" s="4">
        <v>0.521505376344086</v>
      </c>
      <c r="N83" s="4">
        <v>0.19892473118279569</v>
      </c>
      <c r="O83" s="4">
        <v>0.38709677419354838</v>
      </c>
      <c r="P83" s="4">
        <v>-0.18817204301075269</v>
      </c>
      <c r="Q83" s="4">
        <v>0.35483870967741937</v>
      </c>
      <c r="R83" s="4">
        <v>0</v>
      </c>
      <c r="S83" s="4">
        <v>0.35483870967741937</v>
      </c>
    </row>
    <row r="84" spans="1:19" x14ac:dyDescent="0.35">
      <c r="A84" s="4" t="s">
        <v>85</v>
      </c>
      <c r="B84" s="4">
        <v>0.32258064516129037</v>
      </c>
      <c r="C84" s="4">
        <v>0.27526881720430108</v>
      </c>
      <c r="D84" s="4">
        <v>4.7311827956989294E-2</v>
      </c>
      <c r="E84" s="4">
        <v>0.5268817204301075</v>
      </c>
      <c r="F84" s="4">
        <v>0.23118279569892472</v>
      </c>
      <c r="G84" s="4">
        <v>0.29569892473118276</v>
      </c>
      <c r="H84" s="4">
        <v>1.0752688172043012E-2</v>
      </c>
      <c r="I84" s="4">
        <v>0.75806451612903225</v>
      </c>
      <c r="J84" s="4">
        <v>-0.74731182795698925</v>
      </c>
      <c r="K84" s="4">
        <v>0.521505376344086</v>
      </c>
      <c r="L84" s="4">
        <v>0</v>
      </c>
      <c r="M84" s="4">
        <v>0.521505376344086</v>
      </c>
      <c r="N84" s="4">
        <v>0.19892473118279569</v>
      </c>
      <c r="O84" s="4">
        <v>0.38709677419354838</v>
      </c>
      <c r="P84" s="4">
        <v>-0.18817204301075269</v>
      </c>
      <c r="Q84" s="4">
        <v>0.35483870967741937</v>
      </c>
      <c r="R84" s="4">
        <v>0</v>
      </c>
      <c r="S84" s="4">
        <v>0.35483870967741937</v>
      </c>
    </row>
    <row r="85" spans="1:19" x14ac:dyDescent="0.35">
      <c r="A85" s="4" t="s">
        <v>158</v>
      </c>
      <c r="B85" s="4">
        <v>0.32258064516129037</v>
      </c>
      <c r="C85" s="4">
        <v>0.27526881720430108</v>
      </c>
      <c r="D85" s="4">
        <v>4.7311827956989294E-2</v>
      </c>
      <c r="E85" s="4">
        <v>0.5268817204301075</v>
      </c>
      <c r="F85" s="4">
        <v>0.23118279569892472</v>
      </c>
      <c r="G85" s="4">
        <v>0.29569892473118276</v>
      </c>
      <c r="H85" s="4">
        <v>1.0752688172043012E-2</v>
      </c>
      <c r="I85" s="4">
        <v>0.75806451612903225</v>
      </c>
      <c r="J85" s="4">
        <v>-0.74731182795698925</v>
      </c>
      <c r="K85" s="4">
        <v>0.521505376344086</v>
      </c>
      <c r="L85" s="4">
        <v>0</v>
      </c>
      <c r="M85" s="4">
        <v>0.521505376344086</v>
      </c>
      <c r="N85" s="4">
        <v>0.19892473118279569</v>
      </c>
      <c r="O85" s="4">
        <v>0.38709677419354838</v>
      </c>
      <c r="P85" s="4">
        <v>-0.18817204301075269</v>
      </c>
      <c r="Q85" s="4">
        <v>0.35483870967741937</v>
      </c>
      <c r="R85" s="4">
        <v>0</v>
      </c>
      <c r="S85" s="4">
        <v>0.35483870967741937</v>
      </c>
    </row>
    <row r="86" spans="1:19" x14ac:dyDescent="0.35">
      <c r="A86" s="4" t="s">
        <v>159</v>
      </c>
      <c r="B86" s="4">
        <v>0.32258064516129037</v>
      </c>
      <c r="C86" s="4">
        <v>0.27526881720430108</v>
      </c>
      <c r="D86" s="4">
        <v>4.7311827956989294E-2</v>
      </c>
      <c r="E86" s="4">
        <v>0.5268817204301075</v>
      </c>
      <c r="F86" s="4">
        <v>0.23118279569892472</v>
      </c>
      <c r="G86" s="4">
        <v>0.29569892473118276</v>
      </c>
      <c r="H86" s="4">
        <v>1.0752688172043012E-2</v>
      </c>
      <c r="I86" s="4">
        <v>0.75806451612903225</v>
      </c>
      <c r="J86" s="4">
        <v>-0.74731182795698925</v>
      </c>
      <c r="K86" s="4">
        <v>0.521505376344086</v>
      </c>
      <c r="L86" s="4">
        <v>0</v>
      </c>
      <c r="M86" s="4">
        <v>0.521505376344086</v>
      </c>
      <c r="N86" s="4">
        <v>0.19892473118279569</v>
      </c>
      <c r="O86" s="4">
        <v>0.38709677419354838</v>
      </c>
      <c r="P86" s="4">
        <v>-0.18817204301075269</v>
      </c>
      <c r="Q86" s="4">
        <v>0.35483870967741937</v>
      </c>
      <c r="R86" s="4">
        <v>0</v>
      </c>
      <c r="S86" s="4">
        <v>0.35483870967741937</v>
      </c>
    </row>
    <row r="87" spans="1:19" x14ac:dyDescent="0.35">
      <c r="A87" s="4" t="s">
        <v>163</v>
      </c>
      <c r="B87" s="4">
        <v>0.32258064516129037</v>
      </c>
      <c r="C87" s="4">
        <v>0.27526881720430108</v>
      </c>
      <c r="D87" s="4">
        <v>4.7311827956989294E-2</v>
      </c>
      <c r="E87" s="4">
        <v>0.5268817204301075</v>
      </c>
      <c r="F87" s="4">
        <v>0.23118279569892472</v>
      </c>
      <c r="G87" s="4">
        <v>0.29569892473118276</v>
      </c>
      <c r="H87" s="4">
        <v>1.0752688172043012E-2</v>
      </c>
      <c r="I87" s="4">
        <v>0.75806451612903225</v>
      </c>
      <c r="J87" s="4">
        <v>-0.74731182795698925</v>
      </c>
      <c r="K87" s="4">
        <v>0.521505376344086</v>
      </c>
      <c r="L87" s="4">
        <v>0</v>
      </c>
      <c r="M87" s="4">
        <v>0.521505376344086</v>
      </c>
      <c r="N87" s="4">
        <v>0.19892473118279569</v>
      </c>
      <c r="O87" s="4">
        <v>0.38709677419354838</v>
      </c>
      <c r="P87" s="4">
        <v>-0.18817204301075269</v>
      </c>
      <c r="Q87" s="4">
        <v>0.35483870967741937</v>
      </c>
      <c r="R87" s="4">
        <v>0</v>
      </c>
      <c r="S87" s="4">
        <v>0.35483870967741937</v>
      </c>
    </row>
    <row r="88" spans="1:19" x14ac:dyDescent="0.35">
      <c r="A88" s="4" t="s">
        <v>22</v>
      </c>
      <c r="B88" s="4">
        <v>0.3612903225806452</v>
      </c>
      <c r="C88" s="4">
        <v>0.31935483870967746</v>
      </c>
      <c r="D88" s="4">
        <v>4.1935483870967738E-2</v>
      </c>
      <c r="E88" s="4">
        <v>0.77419354838709675</v>
      </c>
      <c r="F88" s="4">
        <v>0</v>
      </c>
      <c r="G88" s="4">
        <v>0.77419354838709675</v>
      </c>
      <c r="H88" s="4">
        <v>0.5268817204301075</v>
      </c>
      <c r="I88" s="4">
        <v>0.15053763440860216</v>
      </c>
      <c r="J88" s="4">
        <v>0.37634408602150538</v>
      </c>
      <c r="K88" s="4">
        <v>0.15053763440860216</v>
      </c>
      <c r="L88" s="4">
        <v>0.4838709677419355</v>
      </c>
      <c r="M88" s="4">
        <v>-0.33333333333333337</v>
      </c>
      <c r="N88" s="4">
        <v>0</v>
      </c>
      <c r="O88" s="4">
        <v>0.9623655913978495</v>
      </c>
      <c r="P88" s="4">
        <v>-0.9623655913978495</v>
      </c>
      <c r="Q88" s="4">
        <v>0.35483870967741937</v>
      </c>
      <c r="R88" s="4">
        <v>0</v>
      </c>
      <c r="S88" s="4">
        <v>0.35483870967741937</v>
      </c>
    </row>
    <row r="89" spans="1:19" x14ac:dyDescent="0.35">
      <c r="A89" s="4" t="s">
        <v>167</v>
      </c>
      <c r="B89" s="4">
        <v>0.32043010752688172</v>
      </c>
      <c r="C89" s="4">
        <v>0.27956989247311831</v>
      </c>
      <c r="D89" s="4">
        <v>4.0860215053763416E-2</v>
      </c>
      <c r="E89" s="4">
        <v>0</v>
      </c>
      <c r="F89" s="4">
        <v>0.86021505376344087</v>
      </c>
      <c r="G89" s="4">
        <v>-0.86021505376344087</v>
      </c>
      <c r="H89" s="4">
        <v>0.5268817204301075</v>
      </c>
      <c r="I89" s="4">
        <v>0.15053763440860216</v>
      </c>
      <c r="J89" s="4">
        <v>0.37634408602150538</v>
      </c>
      <c r="K89" s="4">
        <v>0.521505376344086</v>
      </c>
      <c r="L89" s="4">
        <v>0</v>
      </c>
      <c r="M89" s="4">
        <v>0.521505376344086</v>
      </c>
      <c r="N89" s="4">
        <v>0.19892473118279569</v>
      </c>
      <c r="O89" s="4">
        <v>0.38709677419354838</v>
      </c>
      <c r="P89" s="4">
        <v>-0.18817204301075269</v>
      </c>
      <c r="Q89" s="4">
        <v>0.35483870967741937</v>
      </c>
      <c r="R89" s="4">
        <v>0</v>
      </c>
      <c r="S89" s="4">
        <v>0.35483870967741937</v>
      </c>
    </row>
    <row r="90" spans="1:19" x14ac:dyDescent="0.35">
      <c r="A90" s="4" t="s">
        <v>48</v>
      </c>
      <c r="B90" s="4">
        <v>0.33225806451612905</v>
      </c>
      <c r="C90" s="4">
        <v>0.29462365591397849</v>
      </c>
      <c r="D90" s="4">
        <v>3.763440860215056E-2</v>
      </c>
      <c r="E90" s="4">
        <v>0.5268817204301075</v>
      </c>
      <c r="F90" s="4">
        <v>0.23118279569892472</v>
      </c>
      <c r="G90" s="4">
        <v>0.29569892473118276</v>
      </c>
      <c r="H90" s="4">
        <v>1.0752688172043012E-2</v>
      </c>
      <c r="I90" s="4">
        <v>0.75806451612903225</v>
      </c>
      <c r="J90" s="4">
        <v>-0.74731182795698925</v>
      </c>
      <c r="K90" s="4">
        <v>0.15053763440860216</v>
      </c>
      <c r="L90" s="4">
        <v>0.4838709677419355</v>
      </c>
      <c r="M90" s="4">
        <v>-0.33333333333333337</v>
      </c>
      <c r="N90" s="4">
        <v>0.61827956989247312</v>
      </c>
      <c r="O90" s="4">
        <v>0</v>
      </c>
      <c r="P90" s="4">
        <v>0.61827956989247312</v>
      </c>
      <c r="Q90" s="4">
        <v>0.35483870967741937</v>
      </c>
      <c r="R90" s="4">
        <v>0</v>
      </c>
      <c r="S90" s="4">
        <v>0.35483870967741937</v>
      </c>
    </row>
    <row r="91" spans="1:19" x14ac:dyDescent="0.35">
      <c r="A91" s="4" t="s">
        <v>49</v>
      </c>
      <c r="B91" s="4">
        <v>0.33225806451612905</v>
      </c>
      <c r="C91" s="4">
        <v>0.29462365591397849</v>
      </c>
      <c r="D91" s="4">
        <v>3.763440860215056E-2</v>
      </c>
      <c r="E91" s="4">
        <v>0.5268817204301075</v>
      </c>
      <c r="F91" s="4">
        <v>0.23118279569892472</v>
      </c>
      <c r="G91" s="4">
        <v>0.29569892473118276</v>
      </c>
      <c r="H91" s="4">
        <v>1.0752688172043012E-2</v>
      </c>
      <c r="I91" s="4">
        <v>0.75806451612903225</v>
      </c>
      <c r="J91" s="4">
        <v>-0.74731182795698925</v>
      </c>
      <c r="K91" s="4">
        <v>0.15053763440860216</v>
      </c>
      <c r="L91" s="4">
        <v>0.4838709677419355</v>
      </c>
      <c r="M91" s="4">
        <v>-0.33333333333333337</v>
      </c>
      <c r="N91" s="4">
        <v>0.61827956989247312</v>
      </c>
      <c r="O91" s="4">
        <v>0</v>
      </c>
      <c r="P91" s="4">
        <v>0.61827956989247312</v>
      </c>
      <c r="Q91" s="4">
        <v>0.35483870967741937</v>
      </c>
      <c r="R91" s="4">
        <v>0</v>
      </c>
      <c r="S91" s="4">
        <v>0.35483870967741937</v>
      </c>
    </row>
    <row r="92" spans="1:19" x14ac:dyDescent="0.35">
      <c r="A92" s="4" t="s">
        <v>59</v>
      </c>
      <c r="B92" s="4">
        <v>0.33225806451612905</v>
      </c>
      <c r="C92" s="4">
        <v>0.29462365591397849</v>
      </c>
      <c r="D92" s="4">
        <v>3.763440860215056E-2</v>
      </c>
      <c r="E92" s="4">
        <v>0.5268817204301075</v>
      </c>
      <c r="F92" s="4">
        <v>0.23118279569892472</v>
      </c>
      <c r="G92" s="4">
        <v>0.29569892473118276</v>
      </c>
      <c r="H92" s="4">
        <v>1.0752688172043012E-2</v>
      </c>
      <c r="I92" s="4">
        <v>0.75806451612903225</v>
      </c>
      <c r="J92" s="4">
        <v>-0.74731182795698925</v>
      </c>
      <c r="K92" s="4">
        <v>0.15053763440860216</v>
      </c>
      <c r="L92" s="4">
        <v>0.4838709677419355</v>
      </c>
      <c r="M92" s="4">
        <v>-0.33333333333333337</v>
      </c>
      <c r="N92" s="4">
        <v>0.61827956989247312</v>
      </c>
      <c r="O92" s="4">
        <v>0</v>
      </c>
      <c r="P92" s="4">
        <v>0.61827956989247312</v>
      </c>
      <c r="Q92" s="4">
        <v>0.35483870967741937</v>
      </c>
      <c r="R92" s="4">
        <v>0</v>
      </c>
      <c r="S92" s="4">
        <v>0.35483870967741937</v>
      </c>
    </row>
    <row r="93" spans="1:19" x14ac:dyDescent="0.35">
      <c r="A93" s="4" t="s">
        <v>60</v>
      </c>
      <c r="B93" s="4">
        <v>0.33225806451612905</v>
      </c>
      <c r="C93" s="4">
        <v>0.29462365591397849</v>
      </c>
      <c r="D93" s="4">
        <v>3.763440860215056E-2</v>
      </c>
      <c r="E93" s="4">
        <v>0.5268817204301075</v>
      </c>
      <c r="F93" s="4">
        <v>0.23118279569892472</v>
      </c>
      <c r="G93" s="4">
        <v>0.29569892473118276</v>
      </c>
      <c r="H93" s="4">
        <v>1.0752688172043012E-2</v>
      </c>
      <c r="I93" s="4">
        <v>0.75806451612903225</v>
      </c>
      <c r="J93" s="4">
        <v>-0.74731182795698925</v>
      </c>
      <c r="K93" s="4">
        <v>0.15053763440860216</v>
      </c>
      <c r="L93" s="4">
        <v>0.4838709677419355</v>
      </c>
      <c r="M93" s="4">
        <v>-0.33333333333333337</v>
      </c>
      <c r="N93" s="4">
        <v>0.61827956989247312</v>
      </c>
      <c r="O93" s="4">
        <v>0</v>
      </c>
      <c r="P93" s="4">
        <v>0.61827956989247312</v>
      </c>
      <c r="Q93" s="4">
        <v>0.35483870967741937</v>
      </c>
      <c r="R93" s="4">
        <v>0</v>
      </c>
      <c r="S93" s="4">
        <v>0.35483870967741937</v>
      </c>
    </row>
    <row r="94" spans="1:19" x14ac:dyDescent="0.35">
      <c r="A94" s="4" t="s">
        <v>101</v>
      </c>
      <c r="B94" s="4">
        <v>0.33225806451612905</v>
      </c>
      <c r="C94" s="4">
        <v>0.29462365591397849</v>
      </c>
      <c r="D94" s="4">
        <v>3.763440860215056E-2</v>
      </c>
      <c r="E94" s="4">
        <v>0.5268817204301075</v>
      </c>
      <c r="F94" s="4">
        <v>0.23118279569892472</v>
      </c>
      <c r="G94" s="4">
        <v>0.29569892473118276</v>
      </c>
      <c r="H94" s="4">
        <v>1.0752688172043012E-2</v>
      </c>
      <c r="I94" s="4">
        <v>0.75806451612903225</v>
      </c>
      <c r="J94" s="4">
        <v>-0.74731182795698925</v>
      </c>
      <c r="K94" s="4">
        <v>0.15053763440860216</v>
      </c>
      <c r="L94" s="4">
        <v>0.4838709677419355</v>
      </c>
      <c r="M94" s="4">
        <v>-0.33333333333333337</v>
      </c>
      <c r="N94" s="4">
        <v>0.61827956989247312</v>
      </c>
      <c r="O94" s="4">
        <v>0</v>
      </c>
      <c r="P94" s="4">
        <v>0.61827956989247312</v>
      </c>
      <c r="Q94" s="4">
        <v>0.35483870967741937</v>
      </c>
      <c r="R94" s="4">
        <v>0</v>
      </c>
      <c r="S94" s="4">
        <v>0.35483870967741937</v>
      </c>
    </row>
    <row r="95" spans="1:19" x14ac:dyDescent="0.35">
      <c r="A95" s="4" t="s">
        <v>52</v>
      </c>
      <c r="B95" s="4">
        <v>0.33010752688172046</v>
      </c>
      <c r="C95" s="4">
        <v>0.29892473118279572</v>
      </c>
      <c r="D95" s="4">
        <v>3.1182795698924737E-2</v>
      </c>
      <c r="E95" s="4">
        <v>0</v>
      </c>
      <c r="F95" s="4">
        <v>0.86021505376344087</v>
      </c>
      <c r="G95" s="4">
        <v>-0.86021505376344087</v>
      </c>
      <c r="H95" s="4">
        <v>0.5268817204301075</v>
      </c>
      <c r="I95" s="4">
        <v>0.15053763440860216</v>
      </c>
      <c r="J95" s="4">
        <v>0.37634408602150538</v>
      </c>
      <c r="K95" s="4">
        <v>0.15053763440860216</v>
      </c>
      <c r="L95" s="4">
        <v>0.4838709677419355</v>
      </c>
      <c r="M95" s="4">
        <v>-0.33333333333333337</v>
      </c>
      <c r="N95" s="4">
        <v>0.61827956989247312</v>
      </c>
      <c r="O95" s="4">
        <v>0</v>
      </c>
      <c r="P95" s="4">
        <v>0.61827956989247312</v>
      </c>
      <c r="Q95" s="4">
        <v>0.35483870967741937</v>
      </c>
      <c r="R95" s="4">
        <v>0</v>
      </c>
      <c r="S95" s="4">
        <v>0.35483870967741937</v>
      </c>
    </row>
    <row r="96" spans="1:19" x14ac:dyDescent="0.35">
      <c r="A96" s="4" t="s">
        <v>63</v>
      </c>
      <c r="B96" s="4">
        <v>0.33010752688172046</v>
      </c>
      <c r="C96" s="4">
        <v>0.29892473118279572</v>
      </c>
      <c r="D96" s="4">
        <v>3.1182795698924737E-2</v>
      </c>
      <c r="E96" s="4">
        <v>0</v>
      </c>
      <c r="F96" s="4">
        <v>0.86021505376344087</v>
      </c>
      <c r="G96" s="4">
        <v>-0.86021505376344087</v>
      </c>
      <c r="H96" s="4">
        <v>0.5268817204301075</v>
      </c>
      <c r="I96" s="4">
        <v>0.15053763440860216</v>
      </c>
      <c r="J96" s="4">
        <v>0.37634408602150538</v>
      </c>
      <c r="K96" s="4">
        <v>0.15053763440860216</v>
      </c>
      <c r="L96" s="4">
        <v>0.4838709677419355</v>
      </c>
      <c r="M96" s="4">
        <v>-0.33333333333333337</v>
      </c>
      <c r="N96" s="4">
        <v>0.61827956989247312</v>
      </c>
      <c r="O96" s="4">
        <v>0</v>
      </c>
      <c r="P96" s="4">
        <v>0.61827956989247312</v>
      </c>
      <c r="Q96" s="4">
        <v>0.35483870967741937</v>
      </c>
      <c r="R96" s="4">
        <v>0</v>
      </c>
      <c r="S96" s="4">
        <v>0.35483870967741937</v>
      </c>
    </row>
    <row r="97" spans="1:19" x14ac:dyDescent="0.35">
      <c r="A97" s="4" t="s">
        <v>72</v>
      </c>
      <c r="B97" s="4">
        <v>0.35913978494623661</v>
      </c>
      <c r="C97" s="4">
        <v>0.34623655913978496</v>
      </c>
      <c r="D97" s="4">
        <v>1.2903225806451646E-2</v>
      </c>
      <c r="E97" s="4">
        <v>0.14516129032258066</v>
      </c>
      <c r="F97" s="4">
        <v>0.69354838709677424</v>
      </c>
      <c r="G97" s="4">
        <v>-0.54838709677419362</v>
      </c>
      <c r="H97" s="4">
        <v>0.85483870967741937</v>
      </c>
      <c r="I97" s="4">
        <v>0</v>
      </c>
      <c r="J97" s="4">
        <v>0.85483870967741937</v>
      </c>
      <c r="K97" s="4">
        <v>0.521505376344086</v>
      </c>
      <c r="L97" s="4">
        <v>0</v>
      </c>
      <c r="M97" s="4">
        <v>0.521505376344086</v>
      </c>
      <c r="N97" s="4">
        <v>0.19892473118279569</v>
      </c>
      <c r="O97" s="4">
        <v>0.38709677419354838</v>
      </c>
      <c r="P97" s="4">
        <v>-0.18817204301075269</v>
      </c>
      <c r="Q97" s="4">
        <v>7.5268817204301078E-2</v>
      </c>
      <c r="R97" s="4">
        <v>0.65053763440860213</v>
      </c>
      <c r="S97" s="4">
        <v>-0.57526881720430101</v>
      </c>
    </row>
    <row r="98" spans="1:19" x14ac:dyDescent="0.35">
      <c r="A98" s="4" t="s">
        <v>162</v>
      </c>
      <c r="B98" s="4">
        <v>0.35483870967741937</v>
      </c>
      <c r="C98" s="4">
        <v>0.34731182795698928</v>
      </c>
      <c r="D98" s="4">
        <v>7.5268817204300897E-3</v>
      </c>
      <c r="E98" s="4">
        <v>0</v>
      </c>
      <c r="F98" s="4">
        <v>0.86021505376344087</v>
      </c>
      <c r="G98" s="4">
        <v>-0.86021505376344087</v>
      </c>
      <c r="H98" s="4">
        <v>0.85483870967741937</v>
      </c>
      <c r="I98" s="4">
        <v>0</v>
      </c>
      <c r="J98" s="4">
        <v>0.85483870967741937</v>
      </c>
      <c r="K98" s="4">
        <v>0.521505376344086</v>
      </c>
      <c r="L98" s="4">
        <v>0</v>
      </c>
      <c r="M98" s="4">
        <v>0.521505376344086</v>
      </c>
      <c r="N98" s="4">
        <v>4.3010752688172046E-2</v>
      </c>
      <c r="O98" s="4">
        <v>0.87634408602150538</v>
      </c>
      <c r="P98" s="4">
        <v>-0.83333333333333337</v>
      </c>
      <c r="Q98" s="4">
        <v>0.35483870967741937</v>
      </c>
      <c r="R98" s="4">
        <v>0</v>
      </c>
      <c r="S98" s="4">
        <v>0.35483870967741937</v>
      </c>
    </row>
    <row r="99" spans="1:19" x14ac:dyDescent="0.35">
      <c r="A99" s="4" t="s">
        <v>161</v>
      </c>
      <c r="B99" s="4">
        <v>0.33548387096774196</v>
      </c>
      <c r="C99" s="4">
        <v>0.33010752688172046</v>
      </c>
      <c r="D99" s="4">
        <v>5.3763440860215006E-3</v>
      </c>
      <c r="E99" s="4">
        <v>0.14516129032258066</v>
      </c>
      <c r="F99" s="4">
        <v>0.69354838709677424</v>
      </c>
      <c r="G99" s="4">
        <v>-0.54838709677419362</v>
      </c>
      <c r="H99" s="4">
        <v>0.5268817204301075</v>
      </c>
      <c r="I99" s="4">
        <v>0.15053763440860216</v>
      </c>
      <c r="J99" s="4">
        <v>0.37634408602150538</v>
      </c>
      <c r="K99" s="4">
        <v>0.521505376344086</v>
      </c>
      <c r="L99" s="4">
        <v>0</v>
      </c>
      <c r="M99" s="4">
        <v>0.521505376344086</v>
      </c>
      <c r="N99" s="4">
        <v>0.12903225806451613</v>
      </c>
      <c r="O99" s="4">
        <v>0.80645161290322576</v>
      </c>
      <c r="P99" s="4">
        <v>-0.67741935483870963</v>
      </c>
      <c r="Q99" s="4">
        <v>0.35483870967741937</v>
      </c>
      <c r="R99" s="4">
        <v>0</v>
      </c>
      <c r="S99" s="4">
        <v>0.35483870967741937</v>
      </c>
    </row>
    <row r="100" spans="1:19" x14ac:dyDescent="0.35">
      <c r="A100" s="4" t="s">
        <v>70</v>
      </c>
      <c r="B100" s="4">
        <v>0.3268817204301076</v>
      </c>
      <c r="C100" s="4">
        <v>0.33333333333333337</v>
      </c>
      <c r="D100" s="4">
        <v>-6.4516129032257674E-3</v>
      </c>
      <c r="E100" s="4">
        <v>0.31182795698924731</v>
      </c>
      <c r="F100" s="4">
        <v>0.478494623655914</v>
      </c>
      <c r="G100" s="4">
        <v>-0.16666666666666669</v>
      </c>
      <c r="H100" s="4">
        <v>0.5268817204301075</v>
      </c>
      <c r="I100" s="4">
        <v>0.15053763440860216</v>
      </c>
      <c r="J100" s="4">
        <v>0.37634408602150538</v>
      </c>
      <c r="K100" s="4">
        <v>0.521505376344086</v>
      </c>
      <c r="L100" s="4">
        <v>0</v>
      </c>
      <c r="M100" s="4">
        <v>0.521505376344086</v>
      </c>
      <c r="N100" s="4">
        <v>0.19892473118279569</v>
      </c>
      <c r="O100" s="4">
        <v>0.38709677419354838</v>
      </c>
      <c r="P100" s="4">
        <v>-0.18817204301075269</v>
      </c>
      <c r="Q100" s="4">
        <v>7.5268817204301078E-2</v>
      </c>
      <c r="R100" s="4">
        <v>0.65053763440860213</v>
      </c>
      <c r="S100" s="4">
        <v>-0.57526881720430101</v>
      </c>
    </row>
    <row r="101" spans="1:19" x14ac:dyDescent="0.35">
      <c r="A101" s="4" t="s">
        <v>76</v>
      </c>
      <c r="B101" s="4">
        <v>0.3268817204301076</v>
      </c>
      <c r="C101" s="4">
        <v>0.33333333333333337</v>
      </c>
      <c r="D101" s="4">
        <v>-6.4516129032257674E-3</v>
      </c>
      <c r="E101" s="4">
        <v>0.31182795698924731</v>
      </c>
      <c r="F101" s="4">
        <v>0.478494623655914</v>
      </c>
      <c r="G101" s="4">
        <v>-0.16666666666666669</v>
      </c>
      <c r="H101" s="4">
        <v>0.5268817204301075</v>
      </c>
      <c r="I101" s="4">
        <v>0.15053763440860216</v>
      </c>
      <c r="J101" s="4">
        <v>0.37634408602150538</v>
      </c>
      <c r="K101" s="4">
        <v>0.521505376344086</v>
      </c>
      <c r="L101" s="4">
        <v>0</v>
      </c>
      <c r="M101" s="4">
        <v>0.521505376344086</v>
      </c>
      <c r="N101" s="4">
        <v>0.19892473118279569</v>
      </c>
      <c r="O101" s="4">
        <v>0.38709677419354838</v>
      </c>
      <c r="P101" s="4">
        <v>-0.18817204301075269</v>
      </c>
      <c r="Q101" s="4">
        <v>7.5268817204301078E-2</v>
      </c>
      <c r="R101" s="4">
        <v>0.65053763440860213</v>
      </c>
      <c r="S101" s="4">
        <v>-0.57526881720430101</v>
      </c>
    </row>
    <row r="102" spans="1:19" x14ac:dyDescent="0.35">
      <c r="A102" s="4" t="s">
        <v>81</v>
      </c>
      <c r="B102" s="4">
        <v>0.3268817204301076</v>
      </c>
      <c r="C102" s="4">
        <v>0.33333333333333337</v>
      </c>
      <c r="D102" s="4">
        <v>-6.4516129032257674E-3</v>
      </c>
      <c r="E102" s="4">
        <v>0.31182795698924731</v>
      </c>
      <c r="F102" s="4">
        <v>0.478494623655914</v>
      </c>
      <c r="G102" s="4">
        <v>-0.16666666666666669</v>
      </c>
      <c r="H102" s="4">
        <v>0.5268817204301075</v>
      </c>
      <c r="I102" s="4">
        <v>0.15053763440860216</v>
      </c>
      <c r="J102" s="4">
        <v>0.37634408602150538</v>
      </c>
      <c r="K102" s="4">
        <v>0.521505376344086</v>
      </c>
      <c r="L102" s="4">
        <v>0</v>
      </c>
      <c r="M102" s="4">
        <v>0.521505376344086</v>
      </c>
      <c r="N102" s="4">
        <v>0.19892473118279569</v>
      </c>
      <c r="O102" s="4">
        <v>0.38709677419354838</v>
      </c>
      <c r="P102" s="4">
        <v>-0.18817204301075269</v>
      </c>
      <c r="Q102" s="4">
        <v>7.5268817204301078E-2</v>
      </c>
      <c r="R102" s="4">
        <v>0.65053763440860213</v>
      </c>
      <c r="S102" s="4">
        <v>-0.57526881720430101</v>
      </c>
    </row>
    <row r="103" spans="1:19" x14ac:dyDescent="0.35">
      <c r="A103" s="4" t="s">
        <v>58</v>
      </c>
      <c r="B103" s="4">
        <v>0.36021505376344093</v>
      </c>
      <c r="C103" s="4">
        <v>0.37634408602150543</v>
      </c>
      <c r="D103" s="4">
        <v>-1.6129032258064502E-2</v>
      </c>
      <c r="E103" s="4">
        <v>0.77419354838709675</v>
      </c>
      <c r="F103" s="4">
        <v>0</v>
      </c>
      <c r="G103" s="4">
        <v>0.77419354838709675</v>
      </c>
      <c r="H103" s="4">
        <v>0.5268817204301075</v>
      </c>
      <c r="I103" s="4">
        <v>0.15053763440860216</v>
      </c>
      <c r="J103" s="4">
        <v>0.37634408602150538</v>
      </c>
      <c r="K103" s="4">
        <v>0.10215053763440861</v>
      </c>
      <c r="L103" s="4">
        <v>0.85483870967741937</v>
      </c>
      <c r="M103" s="4">
        <v>-0.75268817204301075</v>
      </c>
      <c r="N103" s="4">
        <v>4.3010752688172046E-2</v>
      </c>
      <c r="O103" s="4">
        <v>0.87634408602150538</v>
      </c>
      <c r="P103" s="4">
        <v>-0.83333333333333337</v>
      </c>
      <c r="Q103" s="4">
        <v>0.35483870967741937</v>
      </c>
      <c r="R103" s="4">
        <v>0</v>
      </c>
      <c r="S103" s="4">
        <v>0.35483870967741937</v>
      </c>
    </row>
    <row r="104" spans="1:19" x14ac:dyDescent="0.35">
      <c r="A104" s="4" t="s">
        <v>129</v>
      </c>
      <c r="B104" s="4">
        <v>0.32903225806451614</v>
      </c>
      <c r="C104" s="4">
        <v>0.34946236559139787</v>
      </c>
      <c r="D104" s="4">
        <v>-2.0430107526881736E-2</v>
      </c>
      <c r="E104" s="4">
        <v>0.14516129032258066</v>
      </c>
      <c r="F104" s="4">
        <v>0.69354838709677424</v>
      </c>
      <c r="G104" s="4">
        <v>-0.54838709677419362</v>
      </c>
      <c r="H104" s="4">
        <v>0.5268817204301075</v>
      </c>
      <c r="I104" s="4">
        <v>0.15053763440860216</v>
      </c>
      <c r="J104" s="4">
        <v>0.37634408602150538</v>
      </c>
      <c r="K104" s="4">
        <v>0</v>
      </c>
      <c r="L104" s="4">
        <v>0.90322580645161288</v>
      </c>
      <c r="M104" s="4">
        <v>-0.90322580645161288</v>
      </c>
      <c r="N104" s="4">
        <v>0.61827956989247312</v>
      </c>
      <c r="O104" s="4">
        <v>0</v>
      </c>
      <c r="P104" s="4">
        <v>0.61827956989247312</v>
      </c>
      <c r="Q104" s="4">
        <v>0.35483870967741937</v>
      </c>
      <c r="R104" s="4">
        <v>0</v>
      </c>
      <c r="S104" s="4">
        <v>0.35483870967741937</v>
      </c>
    </row>
    <row r="105" spans="1:19" x14ac:dyDescent="0.35">
      <c r="A105" s="4" t="s">
        <v>135</v>
      </c>
      <c r="B105" s="4">
        <v>0.32903225806451614</v>
      </c>
      <c r="C105" s="4">
        <v>0.34946236559139787</v>
      </c>
      <c r="D105" s="4">
        <v>-2.0430107526881736E-2</v>
      </c>
      <c r="E105" s="4">
        <v>0.14516129032258066</v>
      </c>
      <c r="F105" s="4">
        <v>0.69354838709677424</v>
      </c>
      <c r="G105" s="4">
        <v>-0.54838709677419362</v>
      </c>
      <c r="H105" s="4">
        <v>0.5268817204301075</v>
      </c>
      <c r="I105" s="4">
        <v>0.15053763440860216</v>
      </c>
      <c r="J105" s="4">
        <v>0.37634408602150538</v>
      </c>
      <c r="K105" s="4">
        <v>0</v>
      </c>
      <c r="L105" s="4">
        <v>0.90322580645161288</v>
      </c>
      <c r="M105" s="4">
        <v>-0.90322580645161288</v>
      </c>
      <c r="N105" s="4">
        <v>0.61827956989247312</v>
      </c>
      <c r="O105" s="4">
        <v>0</v>
      </c>
      <c r="P105" s="4">
        <v>0.61827956989247312</v>
      </c>
      <c r="Q105" s="4">
        <v>0.35483870967741937</v>
      </c>
      <c r="R105" s="4">
        <v>0</v>
      </c>
      <c r="S105" s="4">
        <v>0.35483870967741937</v>
      </c>
    </row>
    <row r="106" spans="1:19" x14ac:dyDescent="0.35">
      <c r="A106" s="4" t="s">
        <v>7</v>
      </c>
      <c r="B106" s="4">
        <v>0.33118279569892478</v>
      </c>
      <c r="C106" s="4">
        <v>0.35376344086021505</v>
      </c>
      <c r="D106" s="4">
        <v>-2.2580645161290269E-2</v>
      </c>
      <c r="E106" s="4">
        <v>0.77419354838709675</v>
      </c>
      <c r="F106" s="4">
        <v>0</v>
      </c>
      <c r="G106" s="4">
        <v>0.77419354838709675</v>
      </c>
      <c r="H106" s="4">
        <v>0.24731182795698925</v>
      </c>
      <c r="I106" s="4">
        <v>0.478494623655914</v>
      </c>
      <c r="J106" s="4">
        <v>-0.23118279569892475</v>
      </c>
      <c r="K106" s="4">
        <v>0.15053763440860216</v>
      </c>
      <c r="L106" s="4">
        <v>0.4838709677419355</v>
      </c>
      <c r="M106" s="4">
        <v>-0.33333333333333337</v>
      </c>
      <c r="N106" s="4">
        <v>0.12903225806451613</v>
      </c>
      <c r="O106" s="4">
        <v>0.80645161290322576</v>
      </c>
      <c r="P106" s="4">
        <v>-0.67741935483870963</v>
      </c>
      <c r="Q106" s="4">
        <v>0.35483870967741937</v>
      </c>
      <c r="R106" s="4">
        <v>0</v>
      </c>
      <c r="S106" s="4">
        <v>0.35483870967741937</v>
      </c>
    </row>
    <row r="107" spans="1:19" x14ac:dyDescent="0.35">
      <c r="A107" s="4" t="s">
        <v>17</v>
      </c>
      <c r="B107" s="4">
        <v>0.33118279569892478</v>
      </c>
      <c r="C107" s="4">
        <v>0.35376344086021505</v>
      </c>
      <c r="D107" s="4">
        <v>-2.2580645161290269E-2</v>
      </c>
      <c r="E107" s="4">
        <v>0.77419354838709675</v>
      </c>
      <c r="F107" s="4">
        <v>0</v>
      </c>
      <c r="G107" s="4">
        <v>0.77419354838709675</v>
      </c>
      <c r="H107" s="4">
        <v>0.24731182795698925</v>
      </c>
      <c r="I107" s="4">
        <v>0.478494623655914</v>
      </c>
      <c r="J107" s="4">
        <v>-0.23118279569892475</v>
      </c>
      <c r="K107" s="4">
        <v>0.15053763440860216</v>
      </c>
      <c r="L107" s="4">
        <v>0.4838709677419355</v>
      </c>
      <c r="M107" s="4">
        <v>-0.33333333333333337</v>
      </c>
      <c r="N107" s="4">
        <v>0.12903225806451613</v>
      </c>
      <c r="O107" s="4">
        <v>0.80645161290322576</v>
      </c>
      <c r="P107" s="4">
        <v>-0.67741935483870963</v>
      </c>
      <c r="Q107" s="4">
        <v>0.35483870967741937</v>
      </c>
      <c r="R107" s="4">
        <v>0</v>
      </c>
      <c r="S107" s="4">
        <v>0.35483870967741937</v>
      </c>
    </row>
    <row r="108" spans="1:19" x14ac:dyDescent="0.35">
      <c r="A108" s="4" t="s">
        <v>6</v>
      </c>
      <c r="B108" s="4">
        <v>0.2978494623655914</v>
      </c>
      <c r="C108" s="4">
        <v>0.32580645161290323</v>
      </c>
      <c r="D108" s="4">
        <v>-2.7956989247311825E-2</v>
      </c>
      <c r="E108" s="4">
        <v>0.77419354838709675</v>
      </c>
      <c r="F108" s="4">
        <v>0</v>
      </c>
      <c r="G108" s="4">
        <v>0.77419354838709675</v>
      </c>
      <c r="H108" s="4">
        <v>1.0752688172043012E-2</v>
      </c>
      <c r="I108" s="4">
        <v>0.75806451612903225</v>
      </c>
      <c r="J108" s="4">
        <v>-0.74731182795698925</v>
      </c>
      <c r="K108" s="4">
        <v>0.15053763440860216</v>
      </c>
      <c r="L108" s="4">
        <v>0.4838709677419355</v>
      </c>
      <c r="M108" s="4">
        <v>-0.33333333333333337</v>
      </c>
      <c r="N108" s="4">
        <v>0.19892473118279569</v>
      </c>
      <c r="O108" s="4">
        <v>0.38709677419354838</v>
      </c>
      <c r="P108" s="4">
        <v>-0.18817204301075269</v>
      </c>
      <c r="Q108" s="4">
        <v>0.35483870967741937</v>
      </c>
      <c r="R108" s="4">
        <v>0</v>
      </c>
      <c r="S108" s="4">
        <v>0.35483870967741937</v>
      </c>
    </row>
    <row r="109" spans="1:19" x14ac:dyDescent="0.35">
      <c r="A109" s="4" t="s">
        <v>69</v>
      </c>
      <c r="B109" s="4">
        <v>0.31397849462365596</v>
      </c>
      <c r="C109" s="4">
        <v>0.34946236559139787</v>
      </c>
      <c r="D109" s="4">
        <v>-3.5483870967741915E-2</v>
      </c>
      <c r="E109" s="4">
        <v>0.5268817204301075</v>
      </c>
      <c r="F109" s="4">
        <v>0.23118279569892472</v>
      </c>
      <c r="G109" s="4">
        <v>0.29569892473118276</v>
      </c>
      <c r="H109" s="4">
        <v>0.24731182795698925</v>
      </c>
      <c r="I109" s="4">
        <v>0.478494623655914</v>
      </c>
      <c r="J109" s="4">
        <v>-0.23118279569892475</v>
      </c>
      <c r="K109" s="4">
        <v>0.521505376344086</v>
      </c>
      <c r="L109" s="4">
        <v>0</v>
      </c>
      <c r="M109" s="4">
        <v>0.521505376344086</v>
      </c>
      <c r="N109" s="4">
        <v>0.19892473118279569</v>
      </c>
      <c r="O109" s="4">
        <v>0.38709677419354838</v>
      </c>
      <c r="P109" s="4">
        <v>-0.18817204301075269</v>
      </c>
      <c r="Q109" s="4">
        <v>7.5268817204301078E-2</v>
      </c>
      <c r="R109" s="4">
        <v>0.65053763440860213</v>
      </c>
      <c r="S109" s="4">
        <v>-0.57526881720430101</v>
      </c>
    </row>
    <row r="110" spans="1:19" x14ac:dyDescent="0.35">
      <c r="A110" s="4" t="s">
        <v>75</v>
      </c>
      <c r="B110" s="4">
        <v>0.31397849462365596</v>
      </c>
      <c r="C110" s="4">
        <v>0.34946236559139787</v>
      </c>
      <c r="D110" s="4">
        <v>-3.5483870967741915E-2</v>
      </c>
      <c r="E110" s="4">
        <v>0.5268817204301075</v>
      </c>
      <c r="F110" s="4">
        <v>0.23118279569892472</v>
      </c>
      <c r="G110" s="4">
        <v>0.29569892473118276</v>
      </c>
      <c r="H110" s="4">
        <v>0.24731182795698925</v>
      </c>
      <c r="I110" s="4">
        <v>0.478494623655914</v>
      </c>
      <c r="J110" s="4">
        <v>-0.23118279569892475</v>
      </c>
      <c r="K110" s="4">
        <v>0.521505376344086</v>
      </c>
      <c r="L110" s="4">
        <v>0</v>
      </c>
      <c r="M110" s="4">
        <v>0.521505376344086</v>
      </c>
      <c r="N110" s="4">
        <v>0.19892473118279569</v>
      </c>
      <c r="O110" s="4">
        <v>0.38709677419354838</v>
      </c>
      <c r="P110" s="4">
        <v>-0.18817204301075269</v>
      </c>
      <c r="Q110" s="4">
        <v>7.5268817204301078E-2</v>
      </c>
      <c r="R110" s="4">
        <v>0.65053763440860213</v>
      </c>
      <c r="S110" s="4">
        <v>-0.57526881720430101</v>
      </c>
    </row>
    <row r="111" spans="1:19" x14ac:dyDescent="0.35">
      <c r="A111" s="4" t="s">
        <v>80</v>
      </c>
      <c r="B111" s="4">
        <v>0.31397849462365596</v>
      </c>
      <c r="C111" s="4">
        <v>0.34946236559139787</v>
      </c>
      <c r="D111" s="4">
        <v>-3.5483870967741915E-2</v>
      </c>
      <c r="E111" s="4">
        <v>0.5268817204301075</v>
      </c>
      <c r="F111" s="4">
        <v>0.23118279569892472</v>
      </c>
      <c r="G111" s="4">
        <v>0.29569892473118276</v>
      </c>
      <c r="H111" s="4">
        <v>0.24731182795698925</v>
      </c>
      <c r="I111" s="4">
        <v>0.478494623655914</v>
      </c>
      <c r="J111" s="4">
        <v>-0.23118279569892475</v>
      </c>
      <c r="K111" s="4">
        <v>0.521505376344086</v>
      </c>
      <c r="L111" s="4">
        <v>0</v>
      </c>
      <c r="M111" s="4">
        <v>0.521505376344086</v>
      </c>
      <c r="N111" s="4">
        <v>0.19892473118279569</v>
      </c>
      <c r="O111" s="4">
        <v>0.38709677419354838</v>
      </c>
      <c r="P111" s="4">
        <v>-0.18817204301075269</v>
      </c>
      <c r="Q111" s="4">
        <v>7.5268817204301078E-2</v>
      </c>
      <c r="R111" s="4">
        <v>0.65053763440860213</v>
      </c>
      <c r="S111" s="4">
        <v>-0.57526881720430101</v>
      </c>
    </row>
    <row r="112" spans="1:19" x14ac:dyDescent="0.35">
      <c r="A112" s="4" t="s">
        <v>55</v>
      </c>
      <c r="B112" s="4">
        <v>0.37096774193548387</v>
      </c>
      <c r="C112" s="4">
        <v>0.41935483870967749</v>
      </c>
      <c r="D112" s="4">
        <v>-4.8387096774193616E-2</v>
      </c>
      <c r="E112" s="4">
        <v>0.77419354838709675</v>
      </c>
      <c r="F112" s="4">
        <v>0</v>
      </c>
      <c r="G112" s="4">
        <v>0.77419354838709675</v>
      </c>
      <c r="H112" s="4">
        <v>0.85483870967741937</v>
      </c>
      <c r="I112" s="4">
        <v>0</v>
      </c>
      <c r="J112" s="4">
        <v>0.85483870967741937</v>
      </c>
      <c r="K112" s="4">
        <v>0.15053763440860216</v>
      </c>
      <c r="L112" s="4">
        <v>0.4838709677419355</v>
      </c>
      <c r="M112" s="4">
        <v>-0.33333333333333337</v>
      </c>
      <c r="N112" s="4">
        <v>0</v>
      </c>
      <c r="O112" s="4">
        <v>0.9623655913978495</v>
      </c>
      <c r="P112" s="4">
        <v>-0.9623655913978495</v>
      </c>
      <c r="Q112" s="4">
        <v>7.5268817204301078E-2</v>
      </c>
      <c r="R112" s="4">
        <v>0.65053763440860213</v>
      </c>
      <c r="S112" s="4">
        <v>-0.57526881720430101</v>
      </c>
    </row>
    <row r="113" spans="1:19" x14ac:dyDescent="0.35">
      <c r="A113" s="4" t="s">
        <v>147</v>
      </c>
      <c r="B113" s="4">
        <v>0.37096774193548387</v>
      </c>
      <c r="C113" s="4">
        <v>0.41935483870967749</v>
      </c>
      <c r="D113" s="4">
        <v>-4.8387096774193616E-2</v>
      </c>
      <c r="E113" s="4">
        <v>0.77419354838709675</v>
      </c>
      <c r="F113" s="4">
        <v>0</v>
      </c>
      <c r="G113" s="4">
        <v>0.77419354838709675</v>
      </c>
      <c r="H113" s="4">
        <v>0.85483870967741937</v>
      </c>
      <c r="I113" s="4">
        <v>0</v>
      </c>
      <c r="J113" s="4">
        <v>0.85483870967741937</v>
      </c>
      <c r="K113" s="4">
        <v>0.15053763440860216</v>
      </c>
      <c r="L113" s="4">
        <v>0.4838709677419355</v>
      </c>
      <c r="M113" s="4">
        <v>-0.33333333333333337</v>
      </c>
      <c r="N113" s="4">
        <v>0</v>
      </c>
      <c r="O113" s="4">
        <v>0.9623655913978495</v>
      </c>
      <c r="P113" s="4">
        <v>-0.9623655913978495</v>
      </c>
      <c r="Q113" s="4">
        <v>7.5268817204301078E-2</v>
      </c>
      <c r="R113" s="4">
        <v>0.65053763440860213</v>
      </c>
      <c r="S113" s="4">
        <v>-0.57526881720430101</v>
      </c>
    </row>
    <row r="114" spans="1:19" x14ac:dyDescent="0.35">
      <c r="A114" s="4" t="s">
        <v>73</v>
      </c>
      <c r="B114" s="4">
        <v>0.33010752688172046</v>
      </c>
      <c r="C114" s="4">
        <v>0.37956989247311829</v>
      </c>
      <c r="D114" s="4">
        <v>-4.9462365591397828E-2</v>
      </c>
      <c r="E114" s="4">
        <v>0</v>
      </c>
      <c r="F114" s="4">
        <v>0.86021505376344087</v>
      </c>
      <c r="G114" s="4">
        <v>-0.86021505376344087</v>
      </c>
      <c r="H114" s="4">
        <v>0.85483870967741937</v>
      </c>
      <c r="I114" s="4">
        <v>0</v>
      </c>
      <c r="J114" s="4">
        <v>0.85483870967741937</v>
      </c>
      <c r="K114" s="4">
        <v>0.521505376344086</v>
      </c>
      <c r="L114" s="4">
        <v>0</v>
      </c>
      <c r="M114" s="4">
        <v>0.521505376344086</v>
      </c>
      <c r="N114" s="4">
        <v>0.19892473118279569</v>
      </c>
      <c r="O114" s="4">
        <v>0.38709677419354838</v>
      </c>
      <c r="P114" s="4">
        <v>-0.18817204301075269</v>
      </c>
      <c r="Q114" s="4">
        <v>7.5268817204301078E-2</v>
      </c>
      <c r="R114" s="4">
        <v>0.65053763440860213</v>
      </c>
      <c r="S114" s="4">
        <v>-0.57526881720430101</v>
      </c>
    </row>
    <row r="115" spans="1:19" x14ac:dyDescent="0.35">
      <c r="A115" s="4" t="s">
        <v>78</v>
      </c>
      <c r="B115" s="4">
        <v>0.33010752688172046</v>
      </c>
      <c r="C115" s="4">
        <v>0.37956989247311829</v>
      </c>
      <c r="D115" s="4">
        <v>-4.9462365591397828E-2</v>
      </c>
      <c r="E115" s="4">
        <v>0</v>
      </c>
      <c r="F115" s="4">
        <v>0.86021505376344087</v>
      </c>
      <c r="G115" s="4">
        <v>-0.86021505376344087</v>
      </c>
      <c r="H115" s="4">
        <v>0.85483870967741937</v>
      </c>
      <c r="I115" s="4">
        <v>0</v>
      </c>
      <c r="J115" s="4">
        <v>0.85483870967741937</v>
      </c>
      <c r="K115" s="4">
        <v>0.521505376344086</v>
      </c>
      <c r="L115" s="4">
        <v>0</v>
      </c>
      <c r="M115" s="4">
        <v>0.521505376344086</v>
      </c>
      <c r="N115" s="4">
        <v>0.19892473118279569</v>
      </c>
      <c r="O115" s="4">
        <v>0.38709677419354838</v>
      </c>
      <c r="P115" s="4">
        <v>-0.18817204301075269</v>
      </c>
      <c r="Q115" s="4">
        <v>7.5268817204301078E-2</v>
      </c>
      <c r="R115" s="4">
        <v>0.65053763440860213</v>
      </c>
      <c r="S115" s="4">
        <v>-0.57526881720430101</v>
      </c>
    </row>
    <row r="116" spans="1:19" x14ac:dyDescent="0.35">
      <c r="A116" s="4" t="s">
        <v>83</v>
      </c>
      <c r="B116" s="4">
        <v>0.33010752688172046</v>
      </c>
      <c r="C116" s="4">
        <v>0.37956989247311829</v>
      </c>
      <c r="D116" s="4">
        <v>-4.9462365591397828E-2</v>
      </c>
      <c r="E116" s="4">
        <v>0</v>
      </c>
      <c r="F116" s="4">
        <v>0.86021505376344087</v>
      </c>
      <c r="G116" s="4">
        <v>-0.86021505376344087</v>
      </c>
      <c r="H116" s="4">
        <v>0.85483870967741937</v>
      </c>
      <c r="I116" s="4">
        <v>0</v>
      </c>
      <c r="J116" s="4">
        <v>0.85483870967741937</v>
      </c>
      <c r="K116" s="4">
        <v>0.521505376344086</v>
      </c>
      <c r="L116" s="4">
        <v>0</v>
      </c>
      <c r="M116" s="4">
        <v>0.521505376344086</v>
      </c>
      <c r="N116" s="4">
        <v>0.19892473118279569</v>
      </c>
      <c r="O116" s="4">
        <v>0.38709677419354838</v>
      </c>
      <c r="P116" s="4">
        <v>-0.18817204301075269</v>
      </c>
      <c r="Q116" s="4">
        <v>7.5268817204301078E-2</v>
      </c>
      <c r="R116" s="4">
        <v>0.65053763440860213</v>
      </c>
      <c r="S116" s="4">
        <v>-0.57526881720430101</v>
      </c>
    </row>
    <row r="117" spans="1:19" x14ac:dyDescent="0.35">
      <c r="A117" s="4" t="s">
        <v>20</v>
      </c>
      <c r="B117" s="4">
        <v>0.31397849462365596</v>
      </c>
      <c r="C117" s="4">
        <v>0.36774193548387102</v>
      </c>
      <c r="D117" s="4">
        <v>-5.3763440860215062E-2</v>
      </c>
      <c r="E117" s="4">
        <v>0.77419354838709675</v>
      </c>
      <c r="F117" s="4">
        <v>0</v>
      </c>
      <c r="G117" s="4">
        <v>0.77419354838709675</v>
      </c>
      <c r="H117" s="4">
        <v>0.24731182795698925</v>
      </c>
      <c r="I117" s="4">
        <v>0.478494623655914</v>
      </c>
      <c r="J117" s="4">
        <v>-0.23118279569892475</v>
      </c>
      <c r="K117" s="4">
        <v>0.15053763440860216</v>
      </c>
      <c r="L117" s="4">
        <v>0.4838709677419355</v>
      </c>
      <c r="M117" s="4">
        <v>-0.33333333333333337</v>
      </c>
      <c r="N117" s="4">
        <v>4.3010752688172046E-2</v>
      </c>
      <c r="O117" s="4">
        <v>0.87634408602150538</v>
      </c>
      <c r="P117" s="4">
        <v>-0.83333333333333337</v>
      </c>
      <c r="Q117" s="4">
        <v>0.35483870967741937</v>
      </c>
      <c r="R117" s="4">
        <v>0</v>
      </c>
      <c r="S117" s="4">
        <v>0.35483870967741937</v>
      </c>
    </row>
    <row r="118" spans="1:19" x14ac:dyDescent="0.35">
      <c r="A118" s="4" t="s">
        <v>21</v>
      </c>
      <c r="B118" s="4">
        <v>0.31397849462365596</v>
      </c>
      <c r="C118" s="4">
        <v>0.36774193548387102</v>
      </c>
      <c r="D118" s="4">
        <v>-5.3763440860215062E-2</v>
      </c>
      <c r="E118" s="4">
        <v>0.77419354838709675</v>
      </c>
      <c r="F118" s="4">
        <v>0</v>
      </c>
      <c r="G118" s="4">
        <v>0.77419354838709675</v>
      </c>
      <c r="H118" s="4">
        <v>0.24731182795698925</v>
      </c>
      <c r="I118" s="4">
        <v>0.478494623655914</v>
      </c>
      <c r="J118" s="4">
        <v>-0.23118279569892475</v>
      </c>
      <c r="K118" s="4">
        <v>0.15053763440860216</v>
      </c>
      <c r="L118" s="4">
        <v>0.4838709677419355</v>
      </c>
      <c r="M118" s="4">
        <v>-0.33333333333333337</v>
      </c>
      <c r="N118" s="4">
        <v>4.3010752688172046E-2</v>
      </c>
      <c r="O118" s="4">
        <v>0.87634408602150538</v>
      </c>
      <c r="P118" s="4">
        <v>-0.83333333333333337</v>
      </c>
      <c r="Q118" s="4">
        <v>0.35483870967741937</v>
      </c>
      <c r="R118" s="4">
        <v>0</v>
      </c>
      <c r="S118" s="4">
        <v>0.35483870967741937</v>
      </c>
    </row>
    <row r="119" spans="1:19" x14ac:dyDescent="0.35">
      <c r="A119" s="4" t="s">
        <v>128</v>
      </c>
      <c r="B119" s="4">
        <v>0.30645161290322581</v>
      </c>
      <c r="C119" s="4">
        <v>0.3720430107526882</v>
      </c>
      <c r="D119" s="4">
        <v>-6.5591397849462385E-2</v>
      </c>
      <c r="E119" s="4">
        <v>0.31182795698924731</v>
      </c>
      <c r="F119" s="4">
        <v>0.478494623655914</v>
      </c>
      <c r="G119" s="4">
        <v>-0.16666666666666669</v>
      </c>
      <c r="H119" s="4">
        <v>0.24731182795698925</v>
      </c>
      <c r="I119" s="4">
        <v>0.478494623655914</v>
      </c>
      <c r="J119" s="4">
        <v>-0.23118279569892475</v>
      </c>
      <c r="K119" s="4">
        <v>0</v>
      </c>
      <c r="L119" s="4">
        <v>0.90322580645161288</v>
      </c>
      <c r="M119" s="4">
        <v>-0.90322580645161288</v>
      </c>
      <c r="N119" s="4">
        <v>0.61827956989247312</v>
      </c>
      <c r="O119" s="4">
        <v>0</v>
      </c>
      <c r="P119" s="4">
        <v>0.61827956989247312</v>
      </c>
      <c r="Q119" s="4">
        <v>0.35483870967741937</v>
      </c>
      <c r="R119" s="4">
        <v>0</v>
      </c>
      <c r="S119" s="4">
        <v>0.35483870967741937</v>
      </c>
    </row>
    <row r="120" spans="1:19" x14ac:dyDescent="0.35">
      <c r="A120" s="4" t="s">
        <v>133</v>
      </c>
      <c r="B120" s="4">
        <v>0.30645161290322581</v>
      </c>
      <c r="C120" s="4">
        <v>0.3720430107526882</v>
      </c>
      <c r="D120" s="4">
        <v>-6.5591397849462385E-2</v>
      </c>
      <c r="E120" s="4">
        <v>0.31182795698924731</v>
      </c>
      <c r="F120" s="4">
        <v>0.478494623655914</v>
      </c>
      <c r="G120" s="4">
        <v>-0.16666666666666669</v>
      </c>
      <c r="H120" s="4">
        <v>0.24731182795698925</v>
      </c>
      <c r="I120" s="4">
        <v>0.478494623655914</v>
      </c>
      <c r="J120" s="4">
        <v>-0.23118279569892475</v>
      </c>
      <c r="K120" s="4">
        <v>0</v>
      </c>
      <c r="L120" s="4">
        <v>0.90322580645161288</v>
      </c>
      <c r="M120" s="4">
        <v>-0.90322580645161288</v>
      </c>
      <c r="N120" s="4">
        <v>0.61827956989247312</v>
      </c>
      <c r="O120" s="4">
        <v>0</v>
      </c>
      <c r="P120" s="4">
        <v>0.61827956989247312</v>
      </c>
      <c r="Q120" s="4">
        <v>0.35483870967741937</v>
      </c>
      <c r="R120" s="4">
        <v>0</v>
      </c>
      <c r="S120" s="4">
        <v>0.35483870967741937</v>
      </c>
    </row>
    <row r="121" spans="1:19" x14ac:dyDescent="0.35">
      <c r="A121" s="4" t="s">
        <v>134</v>
      </c>
      <c r="B121" s="4">
        <v>0.30645161290322581</v>
      </c>
      <c r="C121" s="4">
        <v>0.3720430107526882</v>
      </c>
      <c r="D121" s="4">
        <v>-6.5591397849462385E-2</v>
      </c>
      <c r="E121" s="4">
        <v>0.31182795698924731</v>
      </c>
      <c r="F121" s="4">
        <v>0.478494623655914</v>
      </c>
      <c r="G121" s="4">
        <v>-0.16666666666666669</v>
      </c>
      <c r="H121" s="4">
        <v>0.24731182795698925</v>
      </c>
      <c r="I121" s="4">
        <v>0.478494623655914</v>
      </c>
      <c r="J121" s="4">
        <v>-0.23118279569892475</v>
      </c>
      <c r="K121" s="4">
        <v>0</v>
      </c>
      <c r="L121" s="4">
        <v>0.90322580645161288</v>
      </c>
      <c r="M121" s="4">
        <v>-0.90322580645161288</v>
      </c>
      <c r="N121" s="4">
        <v>0.61827956989247312</v>
      </c>
      <c r="O121" s="4">
        <v>0</v>
      </c>
      <c r="P121" s="4">
        <v>0.61827956989247312</v>
      </c>
      <c r="Q121" s="4">
        <v>0.35483870967741937</v>
      </c>
      <c r="R121" s="4">
        <v>0</v>
      </c>
      <c r="S121" s="4">
        <v>0.35483870967741937</v>
      </c>
    </row>
    <row r="122" spans="1:19" x14ac:dyDescent="0.35">
      <c r="A122" s="4" t="s">
        <v>99</v>
      </c>
      <c r="B122" s="4">
        <v>0.27526881720430108</v>
      </c>
      <c r="C122" s="4">
        <v>0.34301075268817205</v>
      </c>
      <c r="D122" s="4">
        <v>-6.7741935483870974E-2</v>
      </c>
      <c r="E122" s="4">
        <v>0.14516129032258066</v>
      </c>
      <c r="F122" s="4">
        <v>0.69354838709677424</v>
      </c>
      <c r="G122" s="4">
        <v>-0.54838709677419362</v>
      </c>
      <c r="H122" s="4">
        <v>0.5268817204301075</v>
      </c>
      <c r="I122" s="4">
        <v>0.15053763440860216</v>
      </c>
      <c r="J122" s="4">
        <v>0.37634408602150538</v>
      </c>
      <c r="K122" s="4">
        <v>0.15053763440860216</v>
      </c>
      <c r="L122" s="4">
        <v>0.4838709677419355</v>
      </c>
      <c r="M122" s="4">
        <v>-0.33333333333333337</v>
      </c>
      <c r="N122" s="4">
        <v>0.19892473118279569</v>
      </c>
      <c r="O122" s="4">
        <v>0.38709677419354838</v>
      </c>
      <c r="P122" s="4">
        <v>-0.18817204301075269</v>
      </c>
      <c r="Q122" s="4">
        <v>0.35483870967741937</v>
      </c>
      <c r="R122" s="4">
        <v>0</v>
      </c>
      <c r="S122" s="4">
        <v>0.35483870967741937</v>
      </c>
    </row>
    <row r="123" spans="1:19" x14ac:dyDescent="0.35">
      <c r="A123" s="4" t="s">
        <v>126</v>
      </c>
      <c r="B123" s="4">
        <v>0.30215053763440863</v>
      </c>
      <c r="C123" s="4">
        <v>0.37849462365591402</v>
      </c>
      <c r="D123" s="4">
        <v>-7.6344086021505386E-2</v>
      </c>
      <c r="E123" s="4">
        <v>0.5268817204301075</v>
      </c>
      <c r="F123" s="4">
        <v>0.23118279569892472</v>
      </c>
      <c r="G123" s="4">
        <v>0.29569892473118276</v>
      </c>
      <c r="H123" s="4">
        <v>1.0752688172043012E-2</v>
      </c>
      <c r="I123" s="4">
        <v>0.75806451612903225</v>
      </c>
      <c r="J123" s="4">
        <v>-0.74731182795698925</v>
      </c>
      <c r="K123" s="4">
        <v>0</v>
      </c>
      <c r="L123" s="4">
        <v>0.90322580645161288</v>
      </c>
      <c r="M123" s="4">
        <v>-0.90322580645161288</v>
      </c>
      <c r="N123" s="4">
        <v>0.61827956989247312</v>
      </c>
      <c r="O123" s="4">
        <v>0</v>
      </c>
      <c r="P123" s="4">
        <v>0.61827956989247312</v>
      </c>
      <c r="Q123" s="4">
        <v>0.35483870967741937</v>
      </c>
      <c r="R123" s="4">
        <v>0</v>
      </c>
      <c r="S123" s="4">
        <v>0.35483870967741937</v>
      </c>
    </row>
    <row r="124" spans="1:19" x14ac:dyDescent="0.35">
      <c r="A124" s="4" t="s">
        <v>127</v>
      </c>
      <c r="B124" s="4">
        <v>0.30215053763440863</v>
      </c>
      <c r="C124" s="4">
        <v>0.37849462365591402</v>
      </c>
      <c r="D124" s="4">
        <v>-7.6344086021505386E-2</v>
      </c>
      <c r="E124" s="4">
        <v>0.5268817204301075</v>
      </c>
      <c r="F124" s="4">
        <v>0.23118279569892472</v>
      </c>
      <c r="G124" s="4">
        <v>0.29569892473118276</v>
      </c>
      <c r="H124" s="4">
        <v>1.0752688172043012E-2</v>
      </c>
      <c r="I124" s="4">
        <v>0.75806451612903225</v>
      </c>
      <c r="J124" s="4">
        <v>-0.74731182795698925</v>
      </c>
      <c r="K124" s="4">
        <v>0</v>
      </c>
      <c r="L124" s="4">
        <v>0.90322580645161288</v>
      </c>
      <c r="M124" s="4">
        <v>-0.90322580645161288</v>
      </c>
      <c r="N124" s="4">
        <v>0.61827956989247312</v>
      </c>
      <c r="O124" s="4">
        <v>0</v>
      </c>
      <c r="P124" s="4">
        <v>0.61827956989247312</v>
      </c>
      <c r="Q124" s="4">
        <v>0.35483870967741937</v>
      </c>
      <c r="R124" s="4">
        <v>0</v>
      </c>
      <c r="S124" s="4">
        <v>0.35483870967741937</v>
      </c>
    </row>
    <row r="125" spans="1:19" x14ac:dyDescent="0.35">
      <c r="A125" s="4" t="s">
        <v>131</v>
      </c>
      <c r="B125" s="4">
        <v>0.30215053763440863</v>
      </c>
      <c r="C125" s="4">
        <v>0.37849462365591402</v>
      </c>
      <c r="D125" s="4">
        <v>-7.6344086021505386E-2</v>
      </c>
      <c r="E125" s="4">
        <v>0.5268817204301075</v>
      </c>
      <c r="F125" s="4">
        <v>0.23118279569892472</v>
      </c>
      <c r="G125" s="4">
        <v>0.29569892473118276</v>
      </c>
      <c r="H125" s="4">
        <v>1.0752688172043012E-2</v>
      </c>
      <c r="I125" s="4">
        <v>0.75806451612903225</v>
      </c>
      <c r="J125" s="4">
        <v>-0.74731182795698925</v>
      </c>
      <c r="K125" s="4">
        <v>0</v>
      </c>
      <c r="L125" s="4">
        <v>0.90322580645161288</v>
      </c>
      <c r="M125" s="4">
        <v>-0.90322580645161288</v>
      </c>
      <c r="N125" s="4">
        <v>0.61827956989247312</v>
      </c>
      <c r="O125" s="4">
        <v>0</v>
      </c>
      <c r="P125" s="4">
        <v>0.61827956989247312</v>
      </c>
      <c r="Q125" s="4">
        <v>0.35483870967741937</v>
      </c>
      <c r="R125" s="4">
        <v>0</v>
      </c>
      <c r="S125" s="4">
        <v>0.35483870967741937</v>
      </c>
    </row>
    <row r="126" spans="1:19" x14ac:dyDescent="0.35">
      <c r="A126" s="4" t="s">
        <v>132</v>
      </c>
      <c r="B126" s="4">
        <v>0.30215053763440863</v>
      </c>
      <c r="C126" s="4">
        <v>0.37849462365591402</v>
      </c>
      <c r="D126" s="4">
        <v>-7.6344086021505386E-2</v>
      </c>
      <c r="E126" s="4">
        <v>0.5268817204301075</v>
      </c>
      <c r="F126" s="4">
        <v>0.23118279569892472</v>
      </c>
      <c r="G126" s="4">
        <v>0.29569892473118276</v>
      </c>
      <c r="H126" s="4">
        <v>1.0752688172043012E-2</v>
      </c>
      <c r="I126" s="4">
        <v>0.75806451612903225</v>
      </c>
      <c r="J126" s="4">
        <v>-0.74731182795698925</v>
      </c>
      <c r="K126" s="4">
        <v>0</v>
      </c>
      <c r="L126" s="4">
        <v>0.90322580645161288</v>
      </c>
      <c r="M126" s="4">
        <v>-0.90322580645161288</v>
      </c>
      <c r="N126" s="4">
        <v>0.61827956989247312</v>
      </c>
      <c r="O126" s="4">
        <v>0</v>
      </c>
      <c r="P126" s="4">
        <v>0.61827956989247312</v>
      </c>
      <c r="Q126" s="4">
        <v>0.35483870967741937</v>
      </c>
      <c r="R126" s="4">
        <v>0</v>
      </c>
      <c r="S126" s="4">
        <v>0.35483870967741937</v>
      </c>
    </row>
    <row r="127" spans="1:19" x14ac:dyDescent="0.35">
      <c r="A127" s="4" t="s">
        <v>16</v>
      </c>
      <c r="B127" s="4">
        <v>0.29569892473118281</v>
      </c>
      <c r="C127" s="4">
        <v>0.37311827956989252</v>
      </c>
      <c r="D127" s="4">
        <v>-7.7419354838709709E-2</v>
      </c>
      <c r="E127" s="4">
        <v>0.77419354838709675</v>
      </c>
      <c r="F127" s="4">
        <v>0</v>
      </c>
      <c r="G127" s="4">
        <v>0.77419354838709675</v>
      </c>
      <c r="H127" s="4">
        <v>0</v>
      </c>
      <c r="I127" s="4">
        <v>0.9946236559139785</v>
      </c>
      <c r="J127" s="4">
        <v>-0.9946236559139785</v>
      </c>
      <c r="K127" s="4">
        <v>0.15053763440860216</v>
      </c>
      <c r="L127" s="4">
        <v>0.4838709677419355</v>
      </c>
      <c r="M127" s="4">
        <v>-0.33333333333333337</v>
      </c>
      <c r="N127" s="4">
        <v>0.19892473118279569</v>
      </c>
      <c r="O127" s="4">
        <v>0.38709677419354838</v>
      </c>
      <c r="P127" s="4">
        <v>-0.18817204301075269</v>
      </c>
      <c r="Q127" s="4">
        <v>0.35483870967741937</v>
      </c>
      <c r="R127" s="4">
        <v>0</v>
      </c>
      <c r="S127" s="4">
        <v>0.35483870967741937</v>
      </c>
    </row>
    <row r="128" spans="1:19" x14ac:dyDescent="0.35">
      <c r="A128" s="4" t="s">
        <v>71</v>
      </c>
      <c r="B128" s="4">
        <v>0.29354838709677422</v>
      </c>
      <c r="C128" s="4">
        <v>0.37634408602150538</v>
      </c>
      <c r="D128" s="4">
        <v>-8.2795698924731154E-2</v>
      </c>
      <c r="E128" s="4">
        <v>0.14516129032258066</v>
      </c>
      <c r="F128" s="4">
        <v>0.69354838709677424</v>
      </c>
      <c r="G128" s="4">
        <v>-0.54838709677419362</v>
      </c>
      <c r="H128" s="4">
        <v>0.5268817204301075</v>
      </c>
      <c r="I128" s="4">
        <v>0.15053763440860216</v>
      </c>
      <c r="J128" s="4">
        <v>0.37634408602150538</v>
      </c>
      <c r="K128" s="4">
        <v>0.521505376344086</v>
      </c>
      <c r="L128" s="4">
        <v>0</v>
      </c>
      <c r="M128" s="4">
        <v>0.521505376344086</v>
      </c>
      <c r="N128" s="4">
        <v>0.19892473118279569</v>
      </c>
      <c r="O128" s="4">
        <v>0.38709677419354838</v>
      </c>
      <c r="P128" s="4">
        <v>-0.18817204301075269</v>
      </c>
      <c r="Q128" s="4">
        <v>7.5268817204301078E-2</v>
      </c>
      <c r="R128" s="4">
        <v>0.65053763440860213</v>
      </c>
      <c r="S128" s="4">
        <v>-0.57526881720430101</v>
      </c>
    </row>
    <row r="129" spans="1:19" x14ac:dyDescent="0.35">
      <c r="A129" s="4" t="s">
        <v>77</v>
      </c>
      <c r="B129" s="4">
        <v>0.29354838709677422</v>
      </c>
      <c r="C129" s="4">
        <v>0.37634408602150538</v>
      </c>
      <c r="D129" s="4">
        <v>-8.2795698924731154E-2</v>
      </c>
      <c r="E129" s="4">
        <v>0.14516129032258066</v>
      </c>
      <c r="F129" s="4">
        <v>0.69354838709677424</v>
      </c>
      <c r="G129" s="4">
        <v>-0.54838709677419362</v>
      </c>
      <c r="H129" s="4">
        <v>0.5268817204301075</v>
      </c>
      <c r="I129" s="4">
        <v>0.15053763440860216</v>
      </c>
      <c r="J129" s="4">
        <v>0.37634408602150538</v>
      </c>
      <c r="K129" s="4">
        <v>0.521505376344086</v>
      </c>
      <c r="L129" s="4">
        <v>0</v>
      </c>
      <c r="M129" s="4">
        <v>0.521505376344086</v>
      </c>
      <c r="N129" s="4">
        <v>0.19892473118279569</v>
      </c>
      <c r="O129" s="4">
        <v>0.38709677419354838</v>
      </c>
      <c r="P129" s="4">
        <v>-0.18817204301075269</v>
      </c>
      <c r="Q129" s="4">
        <v>7.5268817204301078E-2</v>
      </c>
      <c r="R129" s="4">
        <v>0.65053763440860213</v>
      </c>
      <c r="S129" s="4">
        <v>-0.57526881720430101</v>
      </c>
    </row>
    <row r="130" spans="1:19" x14ac:dyDescent="0.35">
      <c r="A130" s="4" t="s">
        <v>82</v>
      </c>
      <c r="B130" s="4">
        <v>0.29354838709677422</v>
      </c>
      <c r="C130" s="4">
        <v>0.37634408602150538</v>
      </c>
      <c r="D130" s="4">
        <v>-8.2795698924731154E-2</v>
      </c>
      <c r="E130" s="4">
        <v>0.14516129032258066</v>
      </c>
      <c r="F130" s="4">
        <v>0.69354838709677424</v>
      </c>
      <c r="G130" s="4">
        <v>-0.54838709677419362</v>
      </c>
      <c r="H130" s="4">
        <v>0.5268817204301075</v>
      </c>
      <c r="I130" s="4">
        <v>0.15053763440860216</v>
      </c>
      <c r="J130" s="4">
        <v>0.37634408602150538</v>
      </c>
      <c r="K130" s="4">
        <v>0.521505376344086</v>
      </c>
      <c r="L130" s="4">
        <v>0</v>
      </c>
      <c r="M130" s="4">
        <v>0.521505376344086</v>
      </c>
      <c r="N130" s="4">
        <v>0.19892473118279569</v>
      </c>
      <c r="O130" s="4">
        <v>0.38709677419354838</v>
      </c>
      <c r="P130" s="4">
        <v>-0.18817204301075269</v>
      </c>
      <c r="Q130" s="4">
        <v>7.5268817204301078E-2</v>
      </c>
      <c r="R130" s="4">
        <v>0.65053763440860213</v>
      </c>
      <c r="S130" s="4">
        <v>-0.57526881720430101</v>
      </c>
    </row>
    <row r="131" spans="1:19" x14ac:dyDescent="0.35">
      <c r="A131" s="4" t="s">
        <v>109</v>
      </c>
      <c r="B131" s="4">
        <v>0.29354838709677422</v>
      </c>
      <c r="C131" s="4">
        <v>0.37634408602150538</v>
      </c>
      <c r="D131" s="4">
        <v>-8.2795698924731154E-2</v>
      </c>
      <c r="E131" s="4">
        <v>0.14516129032258066</v>
      </c>
      <c r="F131" s="4">
        <v>0.69354838709677424</v>
      </c>
      <c r="G131" s="4">
        <v>-0.54838709677419362</v>
      </c>
      <c r="H131" s="4">
        <v>0.5268817204301075</v>
      </c>
      <c r="I131" s="4">
        <v>0.15053763440860216</v>
      </c>
      <c r="J131" s="4">
        <v>0.37634408602150538</v>
      </c>
      <c r="K131" s="4">
        <v>0.521505376344086</v>
      </c>
      <c r="L131" s="4">
        <v>0</v>
      </c>
      <c r="M131" s="4">
        <v>0.521505376344086</v>
      </c>
      <c r="N131" s="4">
        <v>0.19892473118279569</v>
      </c>
      <c r="O131" s="4">
        <v>0.38709677419354838</v>
      </c>
      <c r="P131" s="4">
        <v>-0.18817204301075269</v>
      </c>
      <c r="Q131" s="4">
        <v>7.5268817204301078E-2</v>
      </c>
      <c r="R131" s="4">
        <v>0.65053763440860213</v>
      </c>
      <c r="S131" s="4">
        <v>-0.57526881720430101</v>
      </c>
    </row>
    <row r="132" spans="1:19" x14ac:dyDescent="0.35">
      <c r="A132" s="4" t="s">
        <v>130</v>
      </c>
      <c r="B132" s="4">
        <v>0.3</v>
      </c>
      <c r="C132" s="4">
        <v>0.3827956989247312</v>
      </c>
      <c r="D132" s="4">
        <v>-8.2795698924731209E-2</v>
      </c>
      <c r="E132" s="4">
        <v>0</v>
      </c>
      <c r="F132" s="4">
        <v>0.86021505376344087</v>
      </c>
      <c r="G132" s="4">
        <v>-0.86021505376344087</v>
      </c>
      <c r="H132" s="4">
        <v>0.5268817204301075</v>
      </c>
      <c r="I132" s="4">
        <v>0.15053763440860216</v>
      </c>
      <c r="J132" s="4">
        <v>0.37634408602150538</v>
      </c>
      <c r="K132" s="4">
        <v>0</v>
      </c>
      <c r="L132" s="4">
        <v>0.90322580645161288</v>
      </c>
      <c r="M132" s="4">
        <v>-0.90322580645161288</v>
      </c>
      <c r="N132" s="4">
        <v>0.61827956989247312</v>
      </c>
      <c r="O132" s="4">
        <v>0</v>
      </c>
      <c r="P132" s="4">
        <v>0.61827956989247312</v>
      </c>
      <c r="Q132" s="4">
        <v>0.35483870967741937</v>
      </c>
      <c r="R132" s="4">
        <v>0</v>
      </c>
      <c r="S132" s="4">
        <v>0.35483870967741937</v>
      </c>
    </row>
    <row r="133" spans="1:19" x14ac:dyDescent="0.35">
      <c r="A133" s="4" t="s">
        <v>57</v>
      </c>
      <c r="B133" s="4">
        <v>0.32150537634408605</v>
      </c>
      <c r="C133" s="4">
        <v>0.42795698924731185</v>
      </c>
      <c r="D133" s="4">
        <v>-0.1064516129032258</v>
      </c>
      <c r="E133" s="4">
        <v>0.77419354838709675</v>
      </c>
      <c r="F133" s="4">
        <v>0</v>
      </c>
      <c r="G133" s="4">
        <v>0.77419354838709675</v>
      </c>
      <c r="H133" s="4">
        <v>0.24731182795698925</v>
      </c>
      <c r="I133" s="4">
        <v>0.478494623655914</v>
      </c>
      <c r="J133" s="4">
        <v>-0.23118279569892475</v>
      </c>
      <c r="K133" s="4">
        <v>0.10215053763440861</v>
      </c>
      <c r="L133" s="4">
        <v>0.85483870967741937</v>
      </c>
      <c r="M133" s="4">
        <v>-0.75268817204301075</v>
      </c>
      <c r="N133" s="4">
        <v>0.12903225806451613</v>
      </c>
      <c r="O133" s="4">
        <v>0.80645161290322576</v>
      </c>
      <c r="P133" s="4">
        <v>-0.67741935483870963</v>
      </c>
      <c r="Q133" s="4">
        <v>0.35483870967741937</v>
      </c>
      <c r="R133" s="4">
        <v>0</v>
      </c>
      <c r="S133" s="4">
        <v>0.35483870967741937</v>
      </c>
    </row>
    <row r="134" spans="1:19" x14ac:dyDescent="0.35">
      <c r="A134" s="4" t="s">
        <v>56</v>
      </c>
      <c r="B134" s="4">
        <v>0.28817204301075272</v>
      </c>
      <c r="C134" s="4">
        <v>0.4</v>
      </c>
      <c r="D134" s="4">
        <v>-0.1118279569892473</v>
      </c>
      <c r="E134" s="4">
        <v>0.77419354838709675</v>
      </c>
      <c r="F134" s="4">
        <v>0</v>
      </c>
      <c r="G134" s="4">
        <v>0.77419354838709675</v>
      </c>
      <c r="H134" s="4">
        <v>1.0752688172043012E-2</v>
      </c>
      <c r="I134" s="4">
        <v>0.75806451612903225</v>
      </c>
      <c r="J134" s="4">
        <v>-0.74731182795698925</v>
      </c>
      <c r="K134" s="4">
        <v>0.10215053763440861</v>
      </c>
      <c r="L134" s="4">
        <v>0.85483870967741937</v>
      </c>
      <c r="M134" s="4">
        <v>-0.75268817204301075</v>
      </c>
      <c r="N134" s="4">
        <v>0.19892473118279569</v>
      </c>
      <c r="O134" s="4">
        <v>0.38709677419354838</v>
      </c>
      <c r="P134" s="4">
        <v>-0.18817204301075269</v>
      </c>
      <c r="Q134" s="4">
        <v>0.35483870967741937</v>
      </c>
      <c r="R134" s="4">
        <v>0</v>
      </c>
      <c r="S134" s="4">
        <v>0.35483870967741937</v>
      </c>
    </row>
    <row r="135" spans="1:19" x14ac:dyDescent="0.35">
      <c r="A135" s="4" t="s">
        <v>98</v>
      </c>
      <c r="B135" s="4">
        <v>0.25268817204301081</v>
      </c>
      <c r="C135" s="4">
        <v>0.36559139784946237</v>
      </c>
      <c r="D135" s="4">
        <v>-0.11290322580645157</v>
      </c>
      <c r="E135" s="4">
        <v>0.31182795698924731</v>
      </c>
      <c r="F135" s="4">
        <v>0.478494623655914</v>
      </c>
      <c r="G135" s="4">
        <v>-0.16666666666666669</v>
      </c>
      <c r="H135" s="4">
        <v>0.24731182795698925</v>
      </c>
      <c r="I135" s="4">
        <v>0.478494623655914</v>
      </c>
      <c r="J135" s="4">
        <v>-0.23118279569892475</v>
      </c>
      <c r="K135" s="4">
        <v>0.15053763440860216</v>
      </c>
      <c r="L135" s="4">
        <v>0.4838709677419355</v>
      </c>
      <c r="M135" s="4">
        <v>-0.33333333333333337</v>
      </c>
      <c r="N135" s="4">
        <v>0.19892473118279569</v>
      </c>
      <c r="O135" s="4">
        <v>0.38709677419354838</v>
      </c>
      <c r="P135" s="4">
        <v>-0.18817204301075269</v>
      </c>
      <c r="Q135" s="4">
        <v>0.35483870967741937</v>
      </c>
      <c r="R135" s="4">
        <v>0</v>
      </c>
      <c r="S135" s="4">
        <v>0.35483870967741937</v>
      </c>
    </row>
    <row r="136" spans="1:19" x14ac:dyDescent="0.35">
      <c r="A136" s="4" t="s">
        <v>54</v>
      </c>
      <c r="B136" s="4">
        <v>0.31397849462365596</v>
      </c>
      <c r="C136" s="4">
        <v>0.43225806451612903</v>
      </c>
      <c r="D136" s="4">
        <v>-0.11827956989247307</v>
      </c>
      <c r="E136" s="4">
        <v>0.77419354838709675</v>
      </c>
      <c r="F136" s="4">
        <v>0</v>
      </c>
      <c r="G136" s="4">
        <v>0.77419354838709675</v>
      </c>
      <c r="H136" s="4">
        <v>0.5268817204301075</v>
      </c>
      <c r="I136" s="4">
        <v>0.15053763440860216</v>
      </c>
      <c r="J136" s="4">
        <v>0.37634408602150538</v>
      </c>
      <c r="K136" s="4">
        <v>0.15053763440860216</v>
      </c>
      <c r="L136" s="4">
        <v>0.4838709677419355</v>
      </c>
      <c r="M136" s="4">
        <v>-0.33333333333333337</v>
      </c>
      <c r="N136" s="4">
        <v>4.3010752688172046E-2</v>
      </c>
      <c r="O136" s="4">
        <v>0.87634408602150538</v>
      </c>
      <c r="P136" s="4">
        <v>-0.83333333333333337</v>
      </c>
      <c r="Q136" s="4">
        <v>7.5268817204301078E-2</v>
      </c>
      <c r="R136" s="4">
        <v>0.65053763440860213</v>
      </c>
      <c r="S136" s="4">
        <v>-0.57526881720430101</v>
      </c>
    </row>
    <row r="137" spans="1:19" x14ac:dyDescent="0.35">
      <c r="A137" s="4" t="s">
        <v>145</v>
      </c>
      <c r="B137" s="4">
        <v>0.31397849462365596</v>
      </c>
      <c r="C137" s="4">
        <v>0.43225806451612903</v>
      </c>
      <c r="D137" s="4">
        <v>-0.11827956989247307</v>
      </c>
      <c r="E137" s="4">
        <v>0.77419354838709675</v>
      </c>
      <c r="F137" s="4">
        <v>0</v>
      </c>
      <c r="G137" s="4">
        <v>0.77419354838709675</v>
      </c>
      <c r="H137" s="4">
        <v>0.5268817204301075</v>
      </c>
      <c r="I137" s="4">
        <v>0.15053763440860216</v>
      </c>
      <c r="J137" s="4">
        <v>0.37634408602150538</v>
      </c>
      <c r="K137" s="4">
        <v>0.15053763440860216</v>
      </c>
      <c r="L137" s="4">
        <v>0.4838709677419355</v>
      </c>
      <c r="M137" s="4">
        <v>-0.33333333333333337</v>
      </c>
      <c r="N137" s="4">
        <v>4.3010752688172046E-2</v>
      </c>
      <c r="O137" s="4">
        <v>0.87634408602150538</v>
      </c>
      <c r="P137" s="4">
        <v>-0.83333333333333337</v>
      </c>
      <c r="Q137" s="4">
        <v>7.5268817204301078E-2</v>
      </c>
      <c r="R137" s="4">
        <v>0.65053763440860213</v>
      </c>
      <c r="S137" s="4">
        <v>-0.57526881720430101</v>
      </c>
    </row>
    <row r="138" spans="1:19" x14ac:dyDescent="0.35">
      <c r="A138" s="4" t="s">
        <v>146</v>
      </c>
      <c r="B138" s="4">
        <v>0.31397849462365596</v>
      </c>
      <c r="C138" s="4">
        <v>0.43225806451612903</v>
      </c>
      <c r="D138" s="4">
        <v>-0.11827956989247307</v>
      </c>
      <c r="E138" s="4">
        <v>0.77419354838709675</v>
      </c>
      <c r="F138" s="4">
        <v>0</v>
      </c>
      <c r="G138" s="4">
        <v>0.77419354838709675</v>
      </c>
      <c r="H138" s="4">
        <v>0.5268817204301075</v>
      </c>
      <c r="I138" s="4">
        <v>0.15053763440860216</v>
      </c>
      <c r="J138" s="4">
        <v>0.37634408602150538</v>
      </c>
      <c r="K138" s="4">
        <v>0.15053763440860216</v>
      </c>
      <c r="L138" s="4">
        <v>0.4838709677419355</v>
      </c>
      <c r="M138" s="4">
        <v>-0.33333333333333337</v>
      </c>
      <c r="N138" s="4">
        <v>4.3010752688172046E-2</v>
      </c>
      <c r="O138" s="4">
        <v>0.87634408602150538</v>
      </c>
      <c r="P138" s="4">
        <v>-0.83333333333333337</v>
      </c>
      <c r="Q138" s="4">
        <v>7.5268817204301078E-2</v>
      </c>
      <c r="R138" s="4">
        <v>0.65053763440860213</v>
      </c>
      <c r="S138" s="4">
        <v>-0.57526881720430101</v>
      </c>
    </row>
    <row r="139" spans="1:19" x14ac:dyDescent="0.35">
      <c r="A139" s="4" t="s">
        <v>96</v>
      </c>
      <c r="B139" s="4">
        <v>0.24838709677419357</v>
      </c>
      <c r="C139" s="4">
        <v>0.3720430107526882</v>
      </c>
      <c r="D139" s="4">
        <v>-0.12365591397849462</v>
      </c>
      <c r="E139" s="4">
        <v>0.5268817204301075</v>
      </c>
      <c r="F139" s="4">
        <v>0.23118279569892472</v>
      </c>
      <c r="G139" s="4">
        <v>0.29569892473118276</v>
      </c>
      <c r="H139" s="4">
        <v>1.0752688172043012E-2</v>
      </c>
      <c r="I139" s="4">
        <v>0.75806451612903225</v>
      </c>
      <c r="J139" s="4">
        <v>-0.74731182795698925</v>
      </c>
      <c r="K139" s="4">
        <v>0.15053763440860216</v>
      </c>
      <c r="L139" s="4">
        <v>0.4838709677419355</v>
      </c>
      <c r="M139" s="4">
        <v>-0.33333333333333337</v>
      </c>
      <c r="N139" s="4">
        <v>0.19892473118279569</v>
      </c>
      <c r="O139" s="4">
        <v>0.38709677419354838</v>
      </c>
      <c r="P139" s="4">
        <v>-0.18817204301075269</v>
      </c>
      <c r="Q139" s="4">
        <v>0.35483870967741937</v>
      </c>
      <c r="R139" s="4">
        <v>0</v>
      </c>
      <c r="S139" s="4">
        <v>0.35483870967741937</v>
      </c>
    </row>
    <row r="140" spans="1:19" x14ac:dyDescent="0.35">
      <c r="A140" s="4" t="s">
        <v>97</v>
      </c>
      <c r="B140" s="4">
        <v>0.24838709677419357</v>
      </c>
      <c r="C140" s="4">
        <v>0.3720430107526882</v>
      </c>
      <c r="D140" s="4">
        <v>-0.12365591397849462</v>
      </c>
      <c r="E140" s="4">
        <v>0.5268817204301075</v>
      </c>
      <c r="F140" s="4">
        <v>0.23118279569892472</v>
      </c>
      <c r="G140" s="4">
        <v>0.29569892473118276</v>
      </c>
      <c r="H140" s="4">
        <v>1.0752688172043012E-2</v>
      </c>
      <c r="I140" s="4">
        <v>0.75806451612903225</v>
      </c>
      <c r="J140" s="4">
        <v>-0.74731182795698925</v>
      </c>
      <c r="K140" s="4">
        <v>0.15053763440860216</v>
      </c>
      <c r="L140" s="4">
        <v>0.4838709677419355</v>
      </c>
      <c r="M140" s="4">
        <v>-0.33333333333333337</v>
      </c>
      <c r="N140" s="4">
        <v>0.19892473118279569</v>
      </c>
      <c r="O140" s="4">
        <v>0.38709677419354838</v>
      </c>
      <c r="P140" s="4">
        <v>-0.18817204301075269</v>
      </c>
      <c r="Q140" s="4">
        <v>0.35483870967741937</v>
      </c>
      <c r="R140" s="4">
        <v>0</v>
      </c>
      <c r="S140" s="4">
        <v>0.35483870967741937</v>
      </c>
    </row>
    <row r="141" spans="1:19" x14ac:dyDescent="0.35">
      <c r="A141" s="4" t="s">
        <v>19</v>
      </c>
      <c r="B141" s="4">
        <v>0.28387096774193549</v>
      </c>
      <c r="C141" s="4">
        <v>0.4096774193548387</v>
      </c>
      <c r="D141" s="4">
        <v>-0.12580645161290321</v>
      </c>
      <c r="E141" s="4">
        <v>0.77419354838709675</v>
      </c>
      <c r="F141" s="4">
        <v>0</v>
      </c>
      <c r="G141" s="4">
        <v>0.77419354838709675</v>
      </c>
      <c r="H141" s="4">
        <v>1.0752688172043012E-2</v>
      </c>
      <c r="I141" s="4">
        <v>0.75806451612903225</v>
      </c>
      <c r="J141" s="4">
        <v>-0.74731182795698925</v>
      </c>
      <c r="K141" s="4">
        <v>0.15053763440860216</v>
      </c>
      <c r="L141" s="4">
        <v>0.4838709677419355</v>
      </c>
      <c r="M141" s="4">
        <v>-0.33333333333333337</v>
      </c>
      <c r="N141" s="4">
        <v>0.12903225806451613</v>
      </c>
      <c r="O141" s="4">
        <v>0.80645161290322576</v>
      </c>
      <c r="P141" s="4">
        <v>-0.67741935483870963</v>
      </c>
      <c r="Q141" s="4">
        <v>0.35483870967741937</v>
      </c>
      <c r="R141" s="4">
        <v>0</v>
      </c>
      <c r="S141" s="4">
        <v>0.35483870967741937</v>
      </c>
    </row>
    <row r="142" spans="1:19" x14ac:dyDescent="0.35">
      <c r="A142" s="4" t="s">
        <v>108</v>
      </c>
      <c r="B142" s="4">
        <v>0.2709677419354839</v>
      </c>
      <c r="C142" s="4">
        <v>0.3989247311827957</v>
      </c>
      <c r="D142" s="4">
        <v>-0.1279569892473118</v>
      </c>
      <c r="E142" s="4">
        <v>0.31182795698924731</v>
      </c>
      <c r="F142" s="4">
        <v>0.478494623655914</v>
      </c>
      <c r="G142" s="4">
        <v>-0.16666666666666669</v>
      </c>
      <c r="H142" s="4">
        <v>0.24731182795698925</v>
      </c>
      <c r="I142" s="4">
        <v>0.478494623655914</v>
      </c>
      <c r="J142" s="4">
        <v>-0.23118279569892475</v>
      </c>
      <c r="K142" s="4">
        <v>0.521505376344086</v>
      </c>
      <c r="L142" s="4">
        <v>0</v>
      </c>
      <c r="M142" s="4">
        <v>0.521505376344086</v>
      </c>
      <c r="N142" s="4">
        <v>0.19892473118279569</v>
      </c>
      <c r="O142" s="4">
        <v>0.38709677419354838</v>
      </c>
      <c r="P142" s="4">
        <v>-0.18817204301075269</v>
      </c>
      <c r="Q142" s="4">
        <v>7.5268817204301078E-2</v>
      </c>
      <c r="R142" s="4">
        <v>0.65053763440860213</v>
      </c>
      <c r="S142" s="4">
        <v>-0.57526881720430101</v>
      </c>
    </row>
    <row r="143" spans="1:19" x14ac:dyDescent="0.35">
      <c r="A143" s="4" t="s">
        <v>190</v>
      </c>
      <c r="B143" s="4">
        <v>0.35591397849462364</v>
      </c>
      <c r="C143" s="4">
        <v>0.48387096774193555</v>
      </c>
      <c r="D143" s="4">
        <v>-0.12795698924731191</v>
      </c>
      <c r="E143" s="4">
        <v>0.77419354838709675</v>
      </c>
      <c r="F143" s="4">
        <v>0</v>
      </c>
      <c r="G143" s="4">
        <v>0.77419354838709675</v>
      </c>
      <c r="H143" s="4">
        <v>0.85483870967741937</v>
      </c>
      <c r="I143" s="4">
        <v>0</v>
      </c>
      <c r="J143" s="4">
        <v>0.85483870967741937</v>
      </c>
      <c r="K143" s="4">
        <v>0.15053763440860216</v>
      </c>
      <c r="L143" s="4">
        <v>0.4838709677419355</v>
      </c>
      <c r="M143" s="4">
        <v>-0.33333333333333337</v>
      </c>
      <c r="N143" s="4">
        <v>0</v>
      </c>
      <c r="O143" s="4">
        <v>0.9623655913978495</v>
      </c>
      <c r="P143" s="4">
        <v>-0.9623655913978495</v>
      </c>
      <c r="Q143" s="4">
        <v>0</v>
      </c>
      <c r="R143" s="4">
        <v>0.9731182795698925</v>
      </c>
      <c r="S143" s="4">
        <v>-0.9731182795698925</v>
      </c>
    </row>
    <row r="144" spans="1:19" x14ac:dyDescent="0.35">
      <c r="A144" s="4" t="s">
        <v>100</v>
      </c>
      <c r="B144" s="4">
        <v>0.24623655913978498</v>
      </c>
      <c r="C144" s="4">
        <v>0.37634408602150538</v>
      </c>
      <c r="D144" s="4">
        <v>-0.13010752688172039</v>
      </c>
      <c r="E144" s="4">
        <v>0</v>
      </c>
      <c r="F144" s="4">
        <v>0.86021505376344087</v>
      </c>
      <c r="G144" s="4">
        <v>-0.86021505376344087</v>
      </c>
      <c r="H144" s="4">
        <v>0.5268817204301075</v>
      </c>
      <c r="I144" s="4">
        <v>0.15053763440860216</v>
      </c>
      <c r="J144" s="4">
        <v>0.37634408602150538</v>
      </c>
      <c r="K144" s="4">
        <v>0.15053763440860216</v>
      </c>
      <c r="L144" s="4">
        <v>0.4838709677419355</v>
      </c>
      <c r="M144" s="4">
        <v>-0.33333333333333337</v>
      </c>
      <c r="N144" s="4">
        <v>0.19892473118279569</v>
      </c>
      <c r="O144" s="4">
        <v>0.38709677419354838</v>
      </c>
      <c r="P144" s="4">
        <v>-0.18817204301075269</v>
      </c>
      <c r="Q144" s="4">
        <v>0.35483870967741937</v>
      </c>
      <c r="R144" s="4">
        <v>0</v>
      </c>
      <c r="S144" s="4">
        <v>0.35483870967741937</v>
      </c>
    </row>
    <row r="145" spans="1:19" x14ac:dyDescent="0.35">
      <c r="A145" s="4" t="s">
        <v>174</v>
      </c>
      <c r="B145" s="4">
        <v>0.28064516129032263</v>
      </c>
      <c r="C145" s="4">
        <v>0.41827956989247317</v>
      </c>
      <c r="D145" s="4">
        <v>-0.13763440860215054</v>
      </c>
      <c r="E145" s="4">
        <v>0.31182795698924731</v>
      </c>
      <c r="F145" s="4">
        <v>0.478494623655914</v>
      </c>
      <c r="G145" s="4">
        <v>-0.16666666666666669</v>
      </c>
      <c r="H145" s="4">
        <v>0.24731182795698925</v>
      </c>
      <c r="I145" s="4">
        <v>0.478494623655914</v>
      </c>
      <c r="J145" s="4">
        <v>-0.23118279569892475</v>
      </c>
      <c r="K145" s="4">
        <v>0.15053763440860216</v>
      </c>
      <c r="L145" s="4">
        <v>0.4838709677419355</v>
      </c>
      <c r="M145" s="4">
        <v>-0.33333333333333337</v>
      </c>
      <c r="N145" s="4">
        <v>0.61827956989247312</v>
      </c>
      <c r="O145" s="4">
        <v>0</v>
      </c>
      <c r="P145" s="4">
        <v>0.61827956989247312</v>
      </c>
      <c r="Q145" s="4">
        <v>7.5268817204301078E-2</v>
      </c>
      <c r="R145" s="4">
        <v>0.65053763440860213</v>
      </c>
      <c r="S145" s="4">
        <v>-0.57526881720430101</v>
      </c>
    </row>
    <row r="146" spans="1:19" x14ac:dyDescent="0.35">
      <c r="A146" s="4" t="s">
        <v>74</v>
      </c>
      <c r="B146" s="4">
        <v>0.26666666666666672</v>
      </c>
      <c r="C146" s="4">
        <v>0.40537634408602152</v>
      </c>
      <c r="D146" s="4">
        <v>-0.1387096774193548</v>
      </c>
      <c r="E146" s="4">
        <v>0.5268817204301075</v>
      </c>
      <c r="F146" s="4">
        <v>0.23118279569892472</v>
      </c>
      <c r="G146" s="4">
        <v>0.29569892473118276</v>
      </c>
      <c r="H146" s="4">
        <v>1.0752688172043012E-2</v>
      </c>
      <c r="I146" s="4">
        <v>0.75806451612903225</v>
      </c>
      <c r="J146" s="4">
        <v>-0.74731182795698925</v>
      </c>
      <c r="K146" s="4">
        <v>0.521505376344086</v>
      </c>
      <c r="L146" s="4">
        <v>0</v>
      </c>
      <c r="M146" s="4">
        <v>0.521505376344086</v>
      </c>
      <c r="N146" s="4">
        <v>0.19892473118279569</v>
      </c>
      <c r="O146" s="4">
        <v>0.38709677419354838</v>
      </c>
      <c r="P146" s="4">
        <v>-0.18817204301075269</v>
      </c>
      <c r="Q146" s="4">
        <v>7.5268817204301078E-2</v>
      </c>
      <c r="R146" s="4">
        <v>0.65053763440860213</v>
      </c>
      <c r="S146" s="4">
        <v>-0.57526881720430101</v>
      </c>
    </row>
    <row r="147" spans="1:19" x14ac:dyDescent="0.35">
      <c r="A147" s="4" t="s">
        <v>79</v>
      </c>
      <c r="B147" s="4">
        <v>0.26666666666666672</v>
      </c>
      <c r="C147" s="4">
        <v>0.40537634408602152</v>
      </c>
      <c r="D147" s="4">
        <v>-0.1387096774193548</v>
      </c>
      <c r="E147" s="4">
        <v>0.5268817204301075</v>
      </c>
      <c r="F147" s="4">
        <v>0.23118279569892472</v>
      </c>
      <c r="G147" s="4">
        <v>0.29569892473118276</v>
      </c>
      <c r="H147" s="4">
        <v>1.0752688172043012E-2</v>
      </c>
      <c r="I147" s="4">
        <v>0.75806451612903225</v>
      </c>
      <c r="J147" s="4">
        <v>-0.74731182795698925</v>
      </c>
      <c r="K147" s="4">
        <v>0.521505376344086</v>
      </c>
      <c r="L147" s="4">
        <v>0</v>
      </c>
      <c r="M147" s="4">
        <v>0.521505376344086</v>
      </c>
      <c r="N147" s="4">
        <v>0.19892473118279569</v>
      </c>
      <c r="O147" s="4">
        <v>0.38709677419354838</v>
      </c>
      <c r="P147" s="4">
        <v>-0.18817204301075269</v>
      </c>
      <c r="Q147" s="4">
        <v>7.5268817204301078E-2</v>
      </c>
      <c r="R147" s="4">
        <v>0.65053763440860213</v>
      </c>
      <c r="S147" s="4">
        <v>-0.57526881720430101</v>
      </c>
    </row>
    <row r="148" spans="1:19" x14ac:dyDescent="0.35">
      <c r="A148" s="4" t="s">
        <v>106</v>
      </c>
      <c r="B148" s="4">
        <v>0.26666666666666672</v>
      </c>
      <c r="C148" s="4">
        <v>0.40537634408602152</v>
      </c>
      <c r="D148" s="4">
        <v>-0.1387096774193548</v>
      </c>
      <c r="E148" s="4">
        <v>0.5268817204301075</v>
      </c>
      <c r="F148" s="4">
        <v>0.23118279569892472</v>
      </c>
      <c r="G148" s="4">
        <v>0.29569892473118276</v>
      </c>
      <c r="H148" s="4">
        <v>1.0752688172043012E-2</v>
      </c>
      <c r="I148" s="4">
        <v>0.75806451612903225</v>
      </c>
      <c r="J148" s="4">
        <v>-0.74731182795698925</v>
      </c>
      <c r="K148" s="4">
        <v>0.521505376344086</v>
      </c>
      <c r="L148" s="4">
        <v>0</v>
      </c>
      <c r="M148" s="4">
        <v>0.521505376344086</v>
      </c>
      <c r="N148" s="4">
        <v>0.19892473118279569</v>
      </c>
      <c r="O148" s="4">
        <v>0.38709677419354838</v>
      </c>
      <c r="P148" s="4">
        <v>-0.18817204301075269</v>
      </c>
      <c r="Q148" s="4">
        <v>7.5268817204301078E-2</v>
      </c>
      <c r="R148" s="4">
        <v>0.65053763440860213</v>
      </c>
      <c r="S148" s="4">
        <v>-0.57526881720430101</v>
      </c>
    </row>
    <row r="149" spans="1:19" x14ac:dyDescent="0.35">
      <c r="A149" s="4" t="s">
        <v>107</v>
      </c>
      <c r="B149" s="4">
        <v>0.26666666666666672</v>
      </c>
      <c r="C149" s="4">
        <v>0.40537634408602152</v>
      </c>
      <c r="D149" s="4">
        <v>-0.1387096774193548</v>
      </c>
      <c r="E149" s="4">
        <v>0.5268817204301075</v>
      </c>
      <c r="F149" s="4">
        <v>0.23118279569892472</v>
      </c>
      <c r="G149" s="4">
        <v>0.29569892473118276</v>
      </c>
      <c r="H149" s="4">
        <v>1.0752688172043012E-2</v>
      </c>
      <c r="I149" s="4">
        <v>0.75806451612903225</v>
      </c>
      <c r="J149" s="4">
        <v>-0.74731182795698925</v>
      </c>
      <c r="K149" s="4">
        <v>0.521505376344086</v>
      </c>
      <c r="L149" s="4">
        <v>0</v>
      </c>
      <c r="M149" s="4">
        <v>0.521505376344086</v>
      </c>
      <c r="N149" s="4">
        <v>0.19892473118279569</v>
      </c>
      <c r="O149" s="4">
        <v>0.38709677419354838</v>
      </c>
      <c r="P149" s="4">
        <v>-0.18817204301075269</v>
      </c>
      <c r="Q149" s="4">
        <v>7.5268817204301078E-2</v>
      </c>
      <c r="R149" s="4">
        <v>0.65053763440860213</v>
      </c>
      <c r="S149" s="4">
        <v>-0.57526881720430101</v>
      </c>
    </row>
    <row r="150" spans="1:19" x14ac:dyDescent="0.35">
      <c r="A150" s="4" t="s">
        <v>110</v>
      </c>
      <c r="B150" s="4">
        <v>0.26451612903225807</v>
      </c>
      <c r="C150" s="4">
        <v>0.4096774193548387</v>
      </c>
      <c r="D150" s="4">
        <v>-0.14516129032258063</v>
      </c>
      <c r="E150" s="4">
        <v>0</v>
      </c>
      <c r="F150" s="4">
        <v>0.86021505376344087</v>
      </c>
      <c r="G150" s="4">
        <v>-0.86021505376344087</v>
      </c>
      <c r="H150" s="4">
        <v>0.5268817204301075</v>
      </c>
      <c r="I150" s="4">
        <v>0.15053763440860216</v>
      </c>
      <c r="J150" s="4">
        <v>0.37634408602150538</v>
      </c>
      <c r="K150" s="4">
        <v>0.521505376344086</v>
      </c>
      <c r="L150" s="4">
        <v>0</v>
      </c>
      <c r="M150" s="4">
        <v>0.521505376344086</v>
      </c>
      <c r="N150" s="4">
        <v>0.19892473118279569</v>
      </c>
      <c r="O150" s="4">
        <v>0.38709677419354838</v>
      </c>
      <c r="P150" s="4">
        <v>-0.18817204301075269</v>
      </c>
      <c r="Q150" s="4">
        <v>7.5268817204301078E-2</v>
      </c>
      <c r="R150" s="4">
        <v>0.65053763440860213</v>
      </c>
      <c r="S150" s="4">
        <v>-0.57526881720430101</v>
      </c>
    </row>
    <row r="151" spans="1:19" x14ac:dyDescent="0.35">
      <c r="A151" s="4" t="s">
        <v>173</v>
      </c>
      <c r="B151" s="4">
        <v>0.2763440860215054</v>
      </c>
      <c r="C151" s="4">
        <v>0.42473118279569888</v>
      </c>
      <c r="D151" s="4">
        <v>-0.14838709677419348</v>
      </c>
      <c r="E151" s="4">
        <v>0.5268817204301075</v>
      </c>
      <c r="F151" s="4">
        <v>0.23118279569892472</v>
      </c>
      <c r="G151" s="4">
        <v>0.29569892473118276</v>
      </c>
      <c r="H151" s="4">
        <v>1.0752688172043012E-2</v>
      </c>
      <c r="I151" s="4">
        <v>0.75806451612903225</v>
      </c>
      <c r="J151" s="4">
        <v>-0.74731182795698925</v>
      </c>
      <c r="K151" s="4">
        <v>0.15053763440860216</v>
      </c>
      <c r="L151" s="4">
        <v>0.4838709677419355</v>
      </c>
      <c r="M151" s="4">
        <v>-0.33333333333333337</v>
      </c>
      <c r="N151" s="4">
        <v>0.61827956989247312</v>
      </c>
      <c r="O151" s="4">
        <v>0</v>
      </c>
      <c r="P151" s="4">
        <v>0.61827956989247312</v>
      </c>
      <c r="Q151" s="4">
        <v>7.5268817204301078E-2</v>
      </c>
      <c r="R151" s="4">
        <v>0.65053763440860213</v>
      </c>
      <c r="S151" s="4">
        <v>-0.57526881720430101</v>
      </c>
    </row>
    <row r="152" spans="1:19" x14ac:dyDescent="0.35">
      <c r="A152" s="4" t="s">
        <v>189</v>
      </c>
      <c r="B152" s="4">
        <v>0.29892473118279572</v>
      </c>
      <c r="C152" s="4">
        <v>0.49677419354838714</v>
      </c>
      <c r="D152" s="4">
        <v>-0.19784946236559142</v>
      </c>
      <c r="E152" s="4">
        <v>0.77419354838709675</v>
      </c>
      <c r="F152" s="4">
        <v>0</v>
      </c>
      <c r="G152" s="4">
        <v>0.77419354838709675</v>
      </c>
      <c r="H152" s="4">
        <v>0.5268817204301075</v>
      </c>
      <c r="I152" s="4">
        <v>0.15053763440860216</v>
      </c>
      <c r="J152" s="4">
        <v>0.37634408602150538</v>
      </c>
      <c r="K152" s="4">
        <v>0.15053763440860216</v>
      </c>
      <c r="L152" s="4">
        <v>0.4838709677419355</v>
      </c>
      <c r="M152" s="4">
        <v>-0.33333333333333337</v>
      </c>
      <c r="N152" s="4">
        <v>4.3010752688172046E-2</v>
      </c>
      <c r="O152" s="4">
        <v>0.87634408602150538</v>
      </c>
      <c r="P152" s="4">
        <v>-0.83333333333333337</v>
      </c>
      <c r="Q152" s="4">
        <v>0</v>
      </c>
      <c r="R152" s="4">
        <v>0.9731182795698925</v>
      </c>
      <c r="S152" s="4">
        <v>-0.9731182795698925</v>
      </c>
    </row>
    <row r="153" spans="1:19" x14ac:dyDescent="0.35">
      <c r="A153" s="4" t="s">
        <v>53</v>
      </c>
      <c r="B153" s="4">
        <v>0.27526881720430113</v>
      </c>
      <c r="C153" s="4">
        <v>0.4838709677419355</v>
      </c>
      <c r="D153" s="4">
        <v>-0.20860215053763437</v>
      </c>
      <c r="E153" s="4">
        <v>0.77419354838709675</v>
      </c>
      <c r="F153" s="4">
        <v>0</v>
      </c>
      <c r="G153" s="4">
        <v>0.77419354838709675</v>
      </c>
      <c r="H153" s="4">
        <v>0.24731182795698925</v>
      </c>
      <c r="I153" s="4">
        <v>0.478494623655914</v>
      </c>
      <c r="J153" s="4">
        <v>-0.23118279569892475</v>
      </c>
      <c r="K153" s="4">
        <v>0.15053763440860216</v>
      </c>
      <c r="L153" s="4">
        <v>0.4838709677419355</v>
      </c>
      <c r="M153" s="4">
        <v>-0.33333333333333337</v>
      </c>
      <c r="N153" s="4">
        <v>0.12903225806451613</v>
      </c>
      <c r="O153" s="4">
        <v>0.80645161290322576</v>
      </c>
      <c r="P153" s="4">
        <v>-0.67741935483870963</v>
      </c>
      <c r="Q153" s="4">
        <v>7.5268817204301078E-2</v>
      </c>
      <c r="R153" s="4">
        <v>0.65053763440860213</v>
      </c>
      <c r="S153" s="4">
        <v>-0.57526881720430101</v>
      </c>
    </row>
    <row r="154" spans="1:19" x14ac:dyDescent="0.35">
      <c r="A154" s="4" t="s">
        <v>144</v>
      </c>
      <c r="B154" s="4">
        <v>0.27526881720430113</v>
      </c>
      <c r="C154" s="4">
        <v>0.4838709677419355</v>
      </c>
      <c r="D154" s="4">
        <v>-0.20860215053763437</v>
      </c>
      <c r="E154" s="4">
        <v>0.77419354838709675</v>
      </c>
      <c r="F154" s="4">
        <v>0</v>
      </c>
      <c r="G154" s="4">
        <v>0.77419354838709675</v>
      </c>
      <c r="H154" s="4">
        <v>0.24731182795698925</v>
      </c>
      <c r="I154" s="4">
        <v>0.478494623655914</v>
      </c>
      <c r="J154" s="4">
        <v>-0.23118279569892475</v>
      </c>
      <c r="K154" s="4">
        <v>0.15053763440860216</v>
      </c>
      <c r="L154" s="4">
        <v>0.4838709677419355</v>
      </c>
      <c r="M154" s="4">
        <v>-0.33333333333333337</v>
      </c>
      <c r="N154" s="4">
        <v>0.12903225806451613</v>
      </c>
      <c r="O154" s="4">
        <v>0.80645161290322576</v>
      </c>
      <c r="P154" s="4">
        <v>-0.67741935483870963</v>
      </c>
      <c r="Q154" s="4">
        <v>7.5268817204301078E-2</v>
      </c>
      <c r="R154" s="4">
        <v>0.65053763440860213</v>
      </c>
      <c r="S154" s="4">
        <v>-0.57526881720430101</v>
      </c>
    </row>
    <row r="155" spans="1:19" x14ac:dyDescent="0.35">
      <c r="A155" s="4" t="s">
        <v>142</v>
      </c>
      <c r="B155" s="4">
        <v>0.25591397849462372</v>
      </c>
      <c r="C155" s="4">
        <v>0.47634408602150546</v>
      </c>
      <c r="D155" s="4">
        <v>-0.22043010752688175</v>
      </c>
      <c r="E155" s="4">
        <v>0</v>
      </c>
      <c r="F155" s="4">
        <v>0.86021505376344087</v>
      </c>
      <c r="G155" s="4">
        <v>-0.86021505376344087</v>
      </c>
      <c r="H155" s="4">
        <v>0.85483870967741937</v>
      </c>
      <c r="I155" s="4">
        <v>0</v>
      </c>
      <c r="J155" s="4">
        <v>0.85483870967741937</v>
      </c>
      <c r="K155" s="4">
        <v>0.15053763440860216</v>
      </c>
      <c r="L155" s="4">
        <v>0.4838709677419355</v>
      </c>
      <c r="M155" s="4">
        <v>-0.33333333333333337</v>
      </c>
      <c r="N155" s="4">
        <v>0.19892473118279569</v>
      </c>
      <c r="O155" s="4">
        <v>0.38709677419354838</v>
      </c>
      <c r="P155" s="4">
        <v>-0.18817204301075269</v>
      </c>
      <c r="Q155" s="4">
        <v>7.5268817204301078E-2</v>
      </c>
      <c r="R155" s="4">
        <v>0.65053763440860213</v>
      </c>
      <c r="S155" s="4">
        <v>-0.57526881720430101</v>
      </c>
    </row>
    <row r="156" spans="1:19" x14ac:dyDescent="0.35">
      <c r="A156" s="4" t="s">
        <v>15</v>
      </c>
      <c r="B156" s="4">
        <v>0.21935483870967742</v>
      </c>
      <c r="C156" s="4">
        <v>0.4731182795698925</v>
      </c>
      <c r="D156" s="4">
        <v>-0.25376344086021507</v>
      </c>
      <c r="E156" s="4">
        <v>0.14516129032258066</v>
      </c>
      <c r="F156" s="4">
        <v>0.69354838709677424</v>
      </c>
      <c r="G156" s="4">
        <v>-0.54838709677419362</v>
      </c>
      <c r="H156" s="4">
        <v>0.5268817204301075</v>
      </c>
      <c r="I156" s="4">
        <v>0.15053763440860216</v>
      </c>
      <c r="J156" s="4">
        <v>0.37634408602150538</v>
      </c>
      <c r="K156" s="4">
        <v>0.15053763440860216</v>
      </c>
      <c r="L156" s="4">
        <v>0.4838709677419355</v>
      </c>
      <c r="M156" s="4">
        <v>-0.33333333333333337</v>
      </c>
      <c r="N156" s="4">
        <v>0.19892473118279569</v>
      </c>
      <c r="O156" s="4">
        <v>0.38709677419354838</v>
      </c>
      <c r="P156" s="4">
        <v>-0.18817204301075269</v>
      </c>
      <c r="Q156" s="4">
        <v>7.5268817204301078E-2</v>
      </c>
      <c r="R156" s="4">
        <v>0.65053763440860213</v>
      </c>
      <c r="S156" s="4">
        <v>-0.57526881720430101</v>
      </c>
    </row>
    <row r="157" spans="1:19" x14ac:dyDescent="0.35">
      <c r="A157" s="4" t="s">
        <v>94</v>
      </c>
      <c r="B157" s="4">
        <v>0.21935483870967742</v>
      </c>
      <c r="C157" s="4">
        <v>0.4731182795698925</v>
      </c>
      <c r="D157" s="4">
        <v>-0.25376344086021507</v>
      </c>
      <c r="E157" s="4">
        <v>0.14516129032258066</v>
      </c>
      <c r="F157" s="4">
        <v>0.69354838709677424</v>
      </c>
      <c r="G157" s="4">
        <v>-0.54838709677419362</v>
      </c>
      <c r="H157" s="4">
        <v>0.5268817204301075</v>
      </c>
      <c r="I157" s="4">
        <v>0.15053763440860216</v>
      </c>
      <c r="J157" s="4">
        <v>0.37634408602150538</v>
      </c>
      <c r="K157" s="4">
        <v>0.15053763440860216</v>
      </c>
      <c r="L157" s="4">
        <v>0.4838709677419355</v>
      </c>
      <c r="M157" s="4">
        <v>-0.33333333333333337</v>
      </c>
      <c r="N157" s="4">
        <v>0.19892473118279569</v>
      </c>
      <c r="O157" s="4">
        <v>0.38709677419354838</v>
      </c>
      <c r="P157" s="4">
        <v>-0.18817204301075269</v>
      </c>
      <c r="Q157" s="4">
        <v>7.5268817204301078E-2</v>
      </c>
      <c r="R157" s="4">
        <v>0.65053763440860213</v>
      </c>
      <c r="S157" s="4">
        <v>-0.57526881720430101</v>
      </c>
    </row>
    <row r="158" spans="1:19" x14ac:dyDescent="0.35">
      <c r="A158" s="4" t="s">
        <v>141</v>
      </c>
      <c r="B158" s="4">
        <v>0.21935483870967742</v>
      </c>
      <c r="C158" s="4">
        <v>0.4731182795698925</v>
      </c>
      <c r="D158" s="4">
        <v>-0.25376344086021507</v>
      </c>
      <c r="E158" s="4">
        <v>0.14516129032258066</v>
      </c>
      <c r="F158" s="4">
        <v>0.69354838709677424</v>
      </c>
      <c r="G158" s="4">
        <v>-0.54838709677419362</v>
      </c>
      <c r="H158" s="4">
        <v>0.5268817204301075</v>
      </c>
      <c r="I158" s="4">
        <v>0.15053763440860216</v>
      </c>
      <c r="J158" s="4">
        <v>0.37634408602150538</v>
      </c>
      <c r="K158" s="4">
        <v>0.15053763440860216</v>
      </c>
      <c r="L158" s="4">
        <v>0.4838709677419355</v>
      </c>
      <c r="M158" s="4">
        <v>-0.33333333333333337</v>
      </c>
      <c r="N158" s="4">
        <v>0.19892473118279569</v>
      </c>
      <c r="O158" s="4">
        <v>0.38709677419354838</v>
      </c>
      <c r="P158" s="4">
        <v>-0.18817204301075269</v>
      </c>
      <c r="Q158" s="4">
        <v>7.5268817204301078E-2</v>
      </c>
      <c r="R158" s="4">
        <v>0.65053763440860213</v>
      </c>
      <c r="S158" s="4">
        <v>-0.57526881720430101</v>
      </c>
    </row>
    <row r="159" spans="1:19" x14ac:dyDescent="0.35">
      <c r="A159" s="4" t="s">
        <v>192</v>
      </c>
      <c r="B159" s="4">
        <v>0.21935483870967742</v>
      </c>
      <c r="C159" s="4">
        <v>0.4731182795698925</v>
      </c>
      <c r="D159" s="4">
        <v>-0.25376344086021507</v>
      </c>
      <c r="E159" s="4">
        <v>0.14516129032258066</v>
      </c>
      <c r="F159" s="4">
        <v>0.69354838709677424</v>
      </c>
      <c r="G159" s="4">
        <v>-0.54838709677419362</v>
      </c>
      <c r="H159" s="4">
        <v>0.5268817204301075</v>
      </c>
      <c r="I159" s="4">
        <v>0.15053763440860216</v>
      </c>
      <c r="J159" s="4">
        <v>0.37634408602150538</v>
      </c>
      <c r="K159" s="4">
        <v>0.15053763440860216</v>
      </c>
      <c r="L159" s="4">
        <v>0.4838709677419355</v>
      </c>
      <c r="M159" s="4">
        <v>-0.33333333333333337</v>
      </c>
      <c r="N159" s="4">
        <v>0.19892473118279569</v>
      </c>
      <c r="O159" s="4">
        <v>0.38709677419354838</v>
      </c>
      <c r="P159" s="4">
        <v>-0.18817204301075269</v>
      </c>
      <c r="Q159" s="4">
        <v>7.5268817204301078E-2</v>
      </c>
      <c r="R159" s="4">
        <v>0.65053763440860213</v>
      </c>
      <c r="S159" s="4">
        <v>-0.57526881720430101</v>
      </c>
    </row>
    <row r="160" spans="1:19" x14ac:dyDescent="0.35">
      <c r="A160" s="4" t="s">
        <v>12</v>
      </c>
      <c r="B160" s="4">
        <v>0.24946236559139787</v>
      </c>
      <c r="C160" s="4">
        <v>0.51505376344086029</v>
      </c>
      <c r="D160" s="4">
        <v>-0.2655913978494624</v>
      </c>
      <c r="E160" s="4">
        <v>0.77419354838709675</v>
      </c>
      <c r="F160" s="4">
        <v>0</v>
      </c>
      <c r="G160" s="4">
        <v>0.77419354838709675</v>
      </c>
      <c r="H160" s="4">
        <v>0.24731182795698925</v>
      </c>
      <c r="I160" s="4">
        <v>0.478494623655914</v>
      </c>
      <c r="J160" s="4">
        <v>-0.23118279569892475</v>
      </c>
      <c r="K160" s="4">
        <v>0.15053763440860216</v>
      </c>
      <c r="L160" s="4">
        <v>0.4838709677419355</v>
      </c>
      <c r="M160" s="4">
        <v>-0.33333333333333337</v>
      </c>
      <c r="N160" s="4">
        <v>0</v>
      </c>
      <c r="O160" s="4">
        <v>0.9623655913978495</v>
      </c>
      <c r="P160" s="4">
        <v>-0.9623655913978495</v>
      </c>
      <c r="Q160" s="4">
        <v>7.5268817204301078E-2</v>
      </c>
      <c r="R160" s="4">
        <v>0.65053763440860213</v>
      </c>
      <c r="S160" s="4">
        <v>-0.57526881720430101</v>
      </c>
    </row>
    <row r="161" spans="1:19" x14ac:dyDescent="0.35">
      <c r="A161" s="4" t="s">
        <v>14</v>
      </c>
      <c r="B161" s="4">
        <v>0.19677419354838713</v>
      </c>
      <c r="C161" s="4">
        <v>0.49569892473118282</v>
      </c>
      <c r="D161" s="4">
        <v>-0.29892473118279572</v>
      </c>
      <c r="E161" s="4">
        <v>0.31182795698924731</v>
      </c>
      <c r="F161" s="4">
        <v>0.478494623655914</v>
      </c>
      <c r="G161" s="4">
        <v>-0.16666666666666669</v>
      </c>
      <c r="H161" s="4">
        <v>0.24731182795698925</v>
      </c>
      <c r="I161" s="4">
        <v>0.478494623655914</v>
      </c>
      <c r="J161" s="4">
        <v>-0.23118279569892475</v>
      </c>
      <c r="K161" s="4">
        <v>0.15053763440860216</v>
      </c>
      <c r="L161" s="4">
        <v>0.4838709677419355</v>
      </c>
      <c r="M161" s="4">
        <v>-0.33333333333333337</v>
      </c>
      <c r="N161" s="4">
        <v>0.19892473118279569</v>
      </c>
      <c r="O161" s="4">
        <v>0.38709677419354838</v>
      </c>
      <c r="P161" s="4">
        <v>-0.18817204301075269</v>
      </c>
      <c r="Q161" s="4">
        <v>7.5268817204301078E-2</v>
      </c>
      <c r="R161" s="4">
        <v>0.65053763440860213</v>
      </c>
      <c r="S161" s="4">
        <v>-0.57526881720430101</v>
      </c>
    </row>
    <row r="162" spans="1:19" x14ac:dyDescent="0.35">
      <c r="A162" s="4" t="s">
        <v>93</v>
      </c>
      <c r="B162" s="4">
        <v>0.19677419354838713</v>
      </c>
      <c r="C162" s="4">
        <v>0.49569892473118282</v>
      </c>
      <c r="D162" s="4">
        <v>-0.29892473118279572</v>
      </c>
      <c r="E162" s="4">
        <v>0.31182795698924731</v>
      </c>
      <c r="F162" s="4">
        <v>0.478494623655914</v>
      </c>
      <c r="G162" s="4">
        <v>-0.16666666666666669</v>
      </c>
      <c r="H162" s="4">
        <v>0.24731182795698925</v>
      </c>
      <c r="I162" s="4">
        <v>0.478494623655914</v>
      </c>
      <c r="J162" s="4">
        <v>-0.23118279569892475</v>
      </c>
      <c r="K162" s="4">
        <v>0.15053763440860216</v>
      </c>
      <c r="L162" s="4">
        <v>0.4838709677419355</v>
      </c>
      <c r="M162" s="4">
        <v>-0.33333333333333337</v>
      </c>
      <c r="N162" s="4">
        <v>0.19892473118279569</v>
      </c>
      <c r="O162" s="4">
        <v>0.38709677419354838</v>
      </c>
      <c r="P162" s="4">
        <v>-0.18817204301075269</v>
      </c>
      <c r="Q162" s="4">
        <v>7.5268817204301078E-2</v>
      </c>
      <c r="R162" s="4">
        <v>0.65053763440860213</v>
      </c>
      <c r="S162" s="4">
        <v>-0.57526881720430101</v>
      </c>
    </row>
    <row r="163" spans="1:19" x14ac:dyDescent="0.35">
      <c r="A163" s="4" t="s">
        <v>140</v>
      </c>
      <c r="B163" s="4">
        <v>0.19677419354838713</v>
      </c>
      <c r="C163" s="4">
        <v>0.49569892473118282</v>
      </c>
      <c r="D163" s="4">
        <v>-0.29892473118279572</v>
      </c>
      <c r="E163" s="4">
        <v>0.31182795698924731</v>
      </c>
      <c r="F163" s="4">
        <v>0.478494623655914</v>
      </c>
      <c r="G163" s="4">
        <v>-0.16666666666666669</v>
      </c>
      <c r="H163" s="4">
        <v>0.24731182795698925</v>
      </c>
      <c r="I163" s="4">
        <v>0.478494623655914</v>
      </c>
      <c r="J163" s="4">
        <v>-0.23118279569892475</v>
      </c>
      <c r="K163" s="4">
        <v>0.15053763440860216</v>
      </c>
      <c r="L163" s="4">
        <v>0.4838709677419355</v>
      </c>
      <c r="M163" s="4">
        <v>-0.33333333333333337</v>
      </c>
      <c r="N163" s="4">
        <v>0.19892473118279569</v>
      </c>
      <c r="O163" s="4">
        <v>0.38709677419354838</v>
      </c>
      <c r="P163" s="4">
        <v>-0.18817204301075269</v>
      </c>
      <c r="Q163" s="4">
        <v>7.5268817204301078E-2</v>
      </c>
      <c r="R163" s="4">
        <v>0.65053763440860213</v>
      </c>
      <c r="S163" s="4">
        <v>-0.57526881720430101</v>
      </c>
    </row>
    <row r="164" spans="1:19" x14ac:dyDescent="0.35">
      <c r="A164" s="4" t="s">
        <v>187</v>
      </c>
      <c r="B164" s="4">
        <v>0.19677419354838713</v>
      </c>
      <c r="C164" s="4">
        <v>0.49569892473118282</v>
      </c>
      <c r="D164" s="4">
        <v>-0.29892473118279572</v>
      </c>
      <c r="E164" s="4">
        <v>0.31182795698924731</v>
      </c>
      <c r="F164" s="4">
        <v>0.478494623655914</v>
      </c>
      <c r="G164" s="4">
        <v>-0.16666666666666669</v>
      </c>
      <c r="H164" s="4">
        <v>0.24731182795698925</v>
      </c>
      <c r="I164" s="4">
        <v>0.478494623655914</v>
      </c>
      <c r="J164" s="4">
        <v>-0.23118279569892475</v>
      </c>
      <c r="K164" s="4">
        <v>0.15053763440860216</v>
      </c>
      <c r="L164" s="4">
        <v>0.4838709677419355</v>
      </c>
      <c r="M164" s="4">
        <v>-0.33333333333333337</v>
      </c>
      <c r="N164" s="4">
        <v>0.19892473118279569</v>
      </c>
      <c r="O164" s="4">
        <v>0.38709677419354838</v>
      </c>
      <c r="P164" s="4">
        <v>-0.18817204301075269</v>
      </c>
      <c r="Q164" s="4">
        <v>7.5268817204301078E-2</v>
      </c>
      <c r="R164" s="4">
        <v>0.65053763440860213</v>
      </c>
      <c r="S164" s="4">
        <v>-0.57526881720430101</v>
      </c>
    </row>
    <row r="165" spans="1:19" x14ac:dyDescent="0.35">
      <c r="A165" s="4" t="s">
        <v>191</v>
      </c>
      <c r="B165" s="4">
        <v>0.19677419354838713</v>
      </c>
      <c r="C165" s="4">
        <v>0.49569892473118282</v>
      </c>
      <c r="D165" s="4">
        <v>-0.29892473118279572</v>
      </c>
      <c r="E165" s="4">
        <v>0.31182795698924731</v>
      </c>
      <c r="F165" s="4">
        <v>0.478494623655914</v>
      </c>
      <c r="G165" s="4">
        <v>-0.16666666666666669</v>
      </c>
      <c r="H165" s="4">
        <v>0.24731182795698925</v>
      </c>
      <c r="I165" s="4">
        <v>0.478494623655914</v>
      </c>
      <c r="J165" s="4">
        <v>-0.23118279569892475</v>
      </c>
      <c r="K165" s="4">
        <v>0.15053763440860216</v>
      </c>
      <c r="L165" s="4">
        <v>0.4838709677419355</v>
      </c>
      <c r="M165" s="4">
        <v>-0.33333333333333337</v>
      </c>
      <c r="N165" s="4">
        <v>0.19892473118279569</v>
      </c>
      <c r="O165" s="4">
        <v>0.38709677419354838</v>
      </c>
      <c r="P165" s="4">
        <v>-0.18817204301075269</v>
      </c>
      <c r="Q165" s="4">
        <v>7.5268817204301078E-2</v>
      </c>
      <c r="R165" s="4">
        <v>0.65053763440860213</v>
      </c>
      <c r="S165" s="4">
        <v>-0.57526881720430101</v>
      </c>
    </row>
    <row r="166" spans="1:19" x14ac:dyDescent="0.35">
      <c r="A166" s="4" t="s">
        <v>13</v>
      </c>
      <c r="B166" s="4">
        <v>0.19247311827956989</v>
      </c>
      <c r="C166" s="4">
        <v>0.50215053763440864</v>
      </c>
      <c r="D166" s="4">
        <v>-0.30967741935483872</v>
      </c>
      <c r="E166" s="4">
        <v>0.5268817204301075</v>
      </c>
      <c r="F166" s="4">
        <v>0.23118279569892472</v>
      </c>
      <c r="G166" s="4">
        <v>0.29569892473118276</v>
      </c>
      <c r="H166" s="4">
        <v>1.0752688172043012E-2</v>
      </c>
      <c r="I166" s="4">
        <v>0.75806451612903225</v>
      </c>
      <c r="J166" s="4">
        <v>-0.74731182795698925</v>
      </c>
      <c r="K166" s="4">
        <v>0.15053763440860216</v>
      </c>
      <c r="L166" s="4">
        <v>0.4838709677419355</v>
      </c>
      <c r="M166" s="4">
        <v>-0.33333333333333337</v>
      </c>
      <c r="N166" s="4">
        <v>0.19892473118279569</v>
      </c>
      <c r="O166" s="4">
        <v>0.38709677419354838</v>
      </c>
      <c r="P166" s="4">
        <v>-0.18817204301075269</v>
      </c>
      <c r="Q166" s="4">
        <v>7.5268817204301078E-2</v>
      </c>
      <c r="R166" s="4">
        <v>0.65053763440860213</v>
      </c>
      <c r="S166" s="4">
        <v>-0.57526881720430101</v>
      </c>
    </row>
    <row r="167" spans="1:19" x14ac:dyDescent="0.35">
      <c r="A167" s="4" t="s">
        <v>91</v>
      </c>
      <c r="B167" s="4">
        <v>0.19247311827956989</v>
      </c>
      <c r="C167" s="4">
        <v>0.50215053763440864</v>
      </c>
      <c r="D167" s="4">
        <v>-0.30967741935483872</v>
      </c>
      <c r="E167" s="4">
        <v>0.5268817204301075</v>
      </c>
      <c r="F167" s="4">
        <v>0.23118279569892472</v>
      </c>
      <c r="G167" s="4">
        <v>0.29569892473118276</v>
      </c>
      <c r="H167" s="4">
        <v>1.0752688172043012E-2</v>
      </c>
      <c r="I167" s="4">
        <v>0.75806451612903225</v>
      </c>
      <c r="J167" s="4">
        <v>-0.74731182795698925</v>
      </c>
      <c r="K167" s="4">
        <v>0.15053763440860216</v>
      </c>
      <c r="L167" s="4">
        <v>0.4838709677419355</v>
      </c>
      <c r="M167" s="4">
        <v>-0.33333333333333337</v>
      </c>
      <c r="N167" s="4">
        <v>0.19892473118279569</v>
      </c>
      <c r="O167" s="4">
        <v>0.38709677419354838</v>
      </c>
      <c r="P167" s="4">
        <v>-0.18817204301075269</v>
      </c>
      <c r="Q167" s="4">
        <v>7.5268817204301078E-2</v>
      </c>
      <c r="R167" s="4">
        <v>0.65053763440860213</v>
      </c>
      <c r="S167" s="4">
        <v>-0.57526881720430101</v>
      </c>
    </row>
    <row r="168" spans="1:19" x14ac:dyDescent="0.35">
      <c r="A168" s="4" t="s">
        <v>92</v>
      </c>
      <c r="B168" s="4">
        <v>0.19247311827956989</v>
      </c>
      <c r="C168" s="4">
        <v>0.50215053763440864</v>
      </c>
      <c r="D168" s="4">
        <v>-0.30967741935483872</v>
      </c>
      <c r="E168" s="4">
        <v>0.5268817204301075</v>
      </c>
      <c r="F168" s="4">
        <v>0.23118279569892472</v>
      </c>
      <c r="G168" s="4">
        <v>0.29569892473118276</v>
      </c>
      <c r="H168" s="4">
        <v>1.0752688172043012E-2</v>
      </c>
      <c r="I168" s="4">
        <v>0.75806451612903225</v>
      </c>
      <c r="J168" s="4">
        <v>-0.74731182795698925</v>
      </c>
      <c r="K168" s="4">
        <v>0.15053763440860216</v>
      </c>
      <c r="L168" s="4">
        <v>0.4838709677419355</v>
      </c>
      <c r="M168" s="4">
        <v>-0.33333333333333337</v>
      </c>
      <c r="N168" s="4">
        <v>0.19892473118279569</v>
      </c>
      <c r="O168" s="4">
        <v>0.38709677419354838</v>
      </c>
      <c r="P168" s="4">
        <v>-0.18817204301075269</v>
      </c>
      <c r="Q168" s="4">
        <v>7.5268817204301078E-2</v>
      </c>
      <c r="R168" s="4">
        <v>0.65053763440860213</v>
      </c>
      <c r="S168" s="4">
        <v>-0.57526881720430101</v>
      </c>
    </row>
    <row r="169" spans="1:19" x14ac:dyDescent="0.35">
      <c r="A169" s="4" t="s">
        <v>143</v>
      </c>
      <c r="B169" s="4">
        <v>0.22795698924731184</v>
      </c>
      <c r="C169" s="4">
        <v>0.53978494623655915</v>
      </c>
      <c r="D169" s="4">
        <v>-0.31182795698924731</v>
      </c>
      <c r="E169" s="4">
        <v>0.77419354838709675</v>
      </c>
      <c r="F169" s="4">
        <v>0</v>
      </c>
      <c r="G169" s="4">
        <v>0.77419354838709675</v>
      </c>
      <c r="H169" s="4">
        <v>1.0752688172043012E-2</v>
      </c>
      <c r="I169" s="4">
        <v>0.75806451612903225</v>
      </c>
      <c r="J169" s="4">
        <v>-0.74731182795698925</v>
      </c>
      <c r="K169" s="4">
        <v>0.15053763440860216</v>
      </c>
      <c r="L169" s="4">
        <v>0.4838709677419355</v>
      </c>
      <c r="M169" s="4">
        <v>-0.33333333333333337</v>
      </c>
      <c r="N169" s="4">
        <v>0.12903225806451613</v>
      </c>
      <c r="O169" s="4">
        <v>0.80645161290322576</v>
      </c>
      <c r="P169" s="4">
        <v>-0.67741935483870963</v>
      </c>
      <c r="Q169" s="4">
        <v>7.5268817204301078E-2</v>
      </c>
      <c r="R169" s="4">
        <v>0.65053763440860213</v>
      </c>
      <c r="S169" s="4">
        <v>-0.57526881720430101</v>
      </c>
    </row>
    <row r="170" spans="1:19" x14ac:dyDescent="0.35">
      <c r="A170" s="4" t="s">
        <v>95</v>
      </c>
      <c r="B170" s="4">
        <v>0.1903225806451613</v>
      </c>
      <c r="C170" s="4">
        <v>0.50645161290322582</v>
      </c>
      <c r="D170" s="4">
        <v>-0.31612903225806455</v>
      </c>
      <c r="E170" s="4">
        <v>0</v>
      </c>
      <c r="F170" s="4">
        <v>0.86021505376344087</v>
      </c>
      <c r="G170" s="4">
        <v>-0.86021505376344087</v>
      </c>
      <c r="H170" s="4">
        <v>0.5268817204301075</v>
      </c>
      <c r="I170" s="4">
        <v>0.15053763440860216</v>
      </c>
      <c r="J170" s="4">
        <v>0.37634408602150538</v>
      </c>
      <c r="K170" s="4">
        <v>0.15053763440860216</v>
      </c>
      <c r="L170" s="4">
        <v>0.4838709677419355</v>
      </c>
      <c r="M170" s="4">
        <v>-0.33333333333333337</v>
      </c>
      <c r="N170" s="4">
        <v>0.19892473118279569</v>
      </c>
      <c r="O170" s="4">
        <v>0.38709677419354838</v>
      </c>
      <c r="P170" s="4">
        <v>-0.18817204301075269</v>
      </c>
      <c r="Q170" s="4">
        <v>7.5268817204301078E-2</v>
      </c>
      <c r="R170" s="4">
        <v>0.65053763440860213</v>
      </c>
      <c r="S170" s="4">
        <v>-0.57526881720430101</v>
      </c>
    </row>
    <row r="171" spans="1:19" x14ac:dyDescent="0.35">
      <c r="A171" s="4" t="s">
        <v>188</v>
      </c>
      <c r="B171" s="4">
        <v>0.1903225806451613</v>
      </c>
      <c r="C171" s="4">
        <v>0.50645161290322582</v>
      </c>
      <c r="D171" s="4">
        <v>-0.31612903225806455</v>
      </c>
      <c r="E171" s="4">
        <v>0</v>
      </c>
      <c r="F171" s="4">
        <v>0.86021505376344087</v>
      </c>
      <c r="G171" s="4">
        <v>-0.86021505376344087</v>
      </c>
      <c r="H171" s="4">
        <v>0.5268817204301075</v>
      </c>
      <c r="I171" s="4">
        <v>0.15053763440860216</v>
      </c>
      <c r="J171" s="4">
        <v>0.37634408602150538</v>
      </c>
      <c r="K171" s="4">
        <v>0.15053763440860216</v>
      </c>
      <c r="L171" s="4">
        <v>0.4838709677419355</v>
      </c>
      <c r="M171" s="4">
        <v>-0.33333333333333337</v>
      </c>
      <c r="N171" s="4">
        <v>0.19892473118279569</v>
      </c>
      <c r="O171" s="4">
        <v>0.38709677419354838</v>
      </c>
      <c r="P171" s="4">
        <v>-0.18817204301075269</v>
      </c>
      <c r="Q171" s="4">
        <v>7.5268817204301078E-2</v>
      </c>
      <c r="R171" s="4">
        <v>0.65053763440860213</v>
      </c>
      <c r="S171" s="4">
        <v>-0.57526881720430101</v>
      </c>
    </row>
    <row r="172" spans="1:19" x14ac:dyDescent="0.35">
      <c r="A172" s="4" t="s">
        <v>89</v>
      </c>
      <c r="B172" s="4">
        <v>0.23440860215053763</v>
      </c>
      <c r="C172" s="4">
        <v>0.56021505376344094</v>
      </c>
      <c r="D172" s="4">
        <v>-0.32580645161290334</v>
      </c>
      <c r="E172" s="4">
        <v>0.31182795698924731</v>
      </c>
      <c r="F172" s="4">
        <v>0.478494623655914</v>
      </c>
      <c r="G172" s="4">
        <v>-0.16666666666666669</v>
      </c>
      <c r="H172" s="4">
        <v>0.5268817204301075</v>
      </c>
      <c r="I172" s="4">
        <v>0.15053763440860216</v>
      </c>
      <c r="J172" s="4">
        <v>0.37634408602150538</v>
      </c>
      <c r="K172" s="4">
        <v>0.10215053763440861</v>
      </c>
      <c r="L172" s="4">
        <v>0.85483870967741937</v>
      </c>
      <c r="M172" s="4">
        <v>-0.75268817204301075</v>
      </c>
      <c r="N172" s="4">
        <v>0.19892473118279569</v>
      </c>
      <c r="O172" s="4">
        <v>0.38709677419354838</v>
      </c>
      <c r="P172" s="4">
        <v>-0.18817204301075269</v>
      </c>
      <c r="Q172" s="4">
        <v>3.2258064516129031E-2</v>
      </c>
      <c r="R172" s="4">
        <v>0.93010752688172038</v>
      </c>
      <c r="S172" s="4">
        <v>-0.89784946236559138</v>
      </c>
    </row>
    <row r="173" spans="1:19" x14ac:dyDescent="0.35">
      <c r="A173" s="4" t="s">
        <v>11</v>
      </c>
      <c r="B173" s="4">
        <v>0.21075268817204301</v>
      </c>
      <c r="C173" s="4">
        <v>0.55376344086021512</v>
      </c>
      <c r="D173" s="4">
        <v>-0.3430107526881721</v>
      </c>
      <c r="E173" s="4">
        <v>0.77419354838709675</v>
      </c>
      <c r="F173" s="4">
        <v>0</v>
      </c>
      <c r="G173" s="4">
        <v>0.77419354838709675</v>
      </c>
      <c r="H173" s="4">
        <v>1.0752688172043012E-2</v>
      </c>
      <c r="I173" s="4">
        <v>0.75806451612903225</v>
      </c>
      <c r="J173" s="4">
        <v>-0.74731182795698925</v>
      </c>
      <c r="K173" s="4">
        <v>0.15053763440860216</v>
      </c>
      <c r="L173" s="4">
        <v>0.4838709677419355</v>
      </c>
      <c r="M173" s="4">
        <v>-0.33333333333333337</v>
      </c>
      <c r="N173" s="4">
        <v>4.3010752688172046E-2</v>
      </c>
      <c r="O173" s="4">
        <v>0.87634408602150538</v>
      </c>
      <c r="P173" s="4">
        <v>-0.83333333333333337</v>
      </c>
      <c r="Q173" s="4">
        <v>7.5268817204301078E-2</v>
      </c>
      <c r="R173" s="4">
        <v>0.65053763440860213</v>
      </c>
      <c r="S173" s="4">
        <v>-0.57526881720430101</v>
      </c>
    </row>
    <row r="174" spans="1:19" x14ac:dyDescent="0.35">
      <c r="A174" s="4" t="s">
        <v>175</v>
      </c>
      <c r="B174" s="4">
        <v>0.18817204301075272</v>
      </c>
      <c r="C174" s="4">
        <v>0.55161290322580647</v>
      </c>
      <c r="D174" s="4">
        <v>-0.36344086021505373</v>
      </c>
      <c r="E174" s="4">
        <v>0.31182795698924731</v>
      </c>
      <c r="F174" s="4">
        <v>0.478494623655914</v>
      </c>
      <c r="G174" s="4">
        <v>-0.16666666666666669</v>
      </c>
      <c r="H174" s="4">
        <v>0.24731182795698925</v>
      </c>
      <c r="I174" s="4">
        <v>0.478494623655914</v>
      </c>
      <c r="J174" s="4">
        <v>-0.23118279569892475</v>
      </c>
      <c r="K174" s="4">
        <v>0.15053763440860216</v>
      </c>
      <c r="L174" s="4">
        <v>0.4838709677419355</v>
      </c>
      <c r="M174" s="4">
        <v>-0.33333333333333337</v>
      </c>
      <c r="N174" s="4">
        <v>0.19892473118279569</v>
      </c>
      <c r="O174" s="4">
        <v>0.38709677419354838</v>
      </c>
      <c r="P174" s="4">
        <v>-0.18817204301075269</v>
      </c>
      <c r="Q174" s="4">
        <v>3.2258064516129031E-2</v>
      </c>
      <c r="R174" s="4">
        <v>0.93010752688172038</v>
      </c>
      <c r="S174" s="4">
        <v>-0.89784946236559138</v>
      </c>
    </row>
    <row r="175" spans="1:19" x14ac:dyDescent="0.35">
      <c r="A175" s="4" t="s">
        <v>90</v>
      </c>
      <c r="B175" s="4">
        <v>0.23763440860215054</v>
      </c>
      <c r="C175" s="4">
        <v>0.6064516129032258</v>
      </c>
      <c r="D175" s="4">
        <v>-0.36881720430107523</v>
      </c>
      <c r="E175" s="4">
        <v>0</v>
      </c>
      <c r="F175" s="4">
        <v>0.86021505376344087</v>
      </c>
      <c r="G175" s="4">
        <v>-0.86021505376344087</v>
      </c>
      <c r="H175" s="4">
        <v>0.85483870967741937</v>
      </c>
      <c r="I175" s="4">
        <v>0</v>
      </c>
      <c r="J175" s="4">
        <v>0.85483870967741937</v>
      </c>
      <c r="K175" s="4">
        <v>0.10215053763440861</v>
      </c>
      <c r="L175" s="4">
        <v>0.85483870967741937</v>
      </c>
      <c r="M175" s="4">
        <v>-0.75268817204301075</v>
      </c>
      <c r="N175" s="4">
        <v>0.19892473118279569</v>
      </c>
      <c r="O175" s="4">
        <v>0.38709677419354838</v>
      </c>
      <c r="P175" s="4">
        <v>-0.18817204301075269</v>
      </c>
      <c r="Q175" s="4">
        <v>3.2258064516129031E-2</v>
      </c>
      <c r="R175" s="4">
        <v>0.93010752688172038</v>
      </c>
      <c r="S175" s="4">
        <v>-0.89784946236559138</v>
      </c>
    </row>
    <row r="176" spans="1:19" x14ac:dyDescent="0.35">
      <c r="A176" s="4" t="s">
        <v>30</v>
      </c>
      <c r="B176" s="4">
        <v>0.26236559139784948</v>
      </c>
      <c r="C176" s="4">
        <v>0.63655913978494638</v>
      </c>
      <c r="D176" s="4">
        <v>-0.3741935483870969</v>
      </c>
      <c r="E176" s="4">
        <v>0.31182795698924731</v>
      </c>
      <c r="F176" s="4">
        <v>0.478494623655914</v>
      </c>
      <c r="G176" s="4">
        <v>-0.16666666666666669</v>
      </c>
      <c r="H176" s="4">
        <v>0.85483870967741937</v>
      </c>
      <c r="I176" s="4">
        <v>0</v>
      </c>
      <c r="J176" s="4">
        <v>0.85483870967741937</v>
      </c>
      <c r="K176" s="4">
        <v>0.10215053763440861</v>
      </c>
      <c r="L176" s="4">
        <v>0.85483870967741937</v>
      </c>
      <c r="M176" s="4">
        <v>-0.75268817204301075</v>
      </c>
      <c r="N176" s="4">
        <v>4.3010752688172046E-2</v>
      </c>
      <c r="O176" s="4">
        <v>0.87634408602150538</v>
      </c>
      <c r="P176" s="4">
        <v>-0.83333333333333337</v>
      </c>
      <c r="Q176" s="4">
        <v>0</v>
      </c>
      <c r="R176" s="4">
        <v>0.9731182795698925</v>
      </c>
      <c r="S176" s="4">
        <v>-0.9731182795698925</v>
      </c>
    </row>
    <row r="177" spans="1:19" x14ac:dyDescent="0.35">
      <c r="A177" s="4" t="s">
        <v>176</v>
      </c>
      <c r="B177" s="4">
        <v>0.18172043010752689</v>
      </c>
      <c r="C177" s="4">
        <v>0.56236559139784947</v>
      </c>
      <c r="D177" s="4">
        <v>-0.38064516129032255</v>
      </c>
      <c r="E177" s="4">
        <v>0</v>
      </c>
      <c r="F177" s="4">
        <v>0.86021505376344087</v>
      </c>
      <c r="G177" s="4">
        <v>-0.86021505376344087</v>
      </c>
      <c r="H177" s="4">
        <v>0.5268817204301075</v>
      </c>
      <c r="I177" s="4">
        <v>0.15053763440860216</v>
      </c>
      <c r="J177" s="4">
        <v>0.37634408602150538</v>
      </c>
      <c r="K177" s="4">
        <v>0.15053763440860216</v>
      </c>
      <c r="L177" s="4">
        <v>0.4838709677419355</v>
      </c>
      <c r="M177" s="4">
        <v>-0.33333333333333337</v>
      </c>
      <c r="N177" s="4">
        <v>0.19892473118279569</v>
      </c>
      <c r="O177" s="4">
        <v>0.38709677419354838</v>
      </c>
      <c r="P177" s="4">
        <v>-0.18817204301075269</v>
      </c>
      <c r="Q177" s="4">
        <v>3.2258064516129031E-2</v>
      </c>
      <c r="R177" s="4">
        <v>0.93010752688172038</v>
      </c>
      <c r="S177" s="4">
        <v>-0.89784946236559138</v>
      </c>
    </row>
    <row r="178" spans="1:19" x14ac:dyDescent="0.35">
      <c r="A178" s="4" t="s">
        <v>123</v>
      </c>
      <c r="B178" s="4">
        <v>0.16666666666666669</v>
      </c>
      <c r="C178" s="4">
        <v>0.5795698924731183</v>
      </c>
      <c r="D178" s="4">
        <v>-0.41290322580645161</v>
      </c>
      <c r="E178" s="4">
        <v>0.31182795698924731</v>
      </c>
      <c r="F178" s="4">
        <v>0.478494623655914</v>
      </c>
      <c r="G178" s="4">
        <v>-0.16666666666666669</v>
      </c>
      <c r="H178" s="4">
        <v>0.24731182795698925</v>
      </c>
      <c r="I178" s="4">
        <v>0.478494623655914</v>
      </c>
      <c r="J178" s="4">
        <v>-0.23118279569892475</v>
      </c>
      <c r="K178" s="4">
        <v>0</v>
      </c>
      <c r="L178" s="4">
        <v>0.90322580645161288</v>
      </c>
      <c r="M178" s="4">
        <v>-0.90322580645161288</v>
      </c>
      <c r="N178" s="4">
        <v>0.19892473118279569</v>
      </c>
      <c r="O178" s="4">
        <v>0.38709677419354838</v>
      </c>
      <c r="P178" s="4">
        <v>-0.18817204301075269</v>
      </c>
      <c r="Q178" s="4">
        <v>7.5268817204301078E-2</v>
      </c>
      <c r="R178" s="4">
        <v>0.65053763440860213</v>
      </c>
      <c r="S178" s="4">
        <v>-0.57526881720430101</v>
      </c>
    </row>
    <row r="179" spans="1:19" x14ac:dyDescent="0.35">
      <c r="A179" s="4" t="s">
        <v>122</v>
      </c>
      <c r="B179" s="4">
        <v>0.16236559139784945</v>
      </c>
      <c r="C179" s="4">
        <v>0.58602150537634412</v>
      </c>
      <c r="D179" s="4">
        <v>-0.42365591397849467</v>
      </c>
      <c r="E179" s="4">
        <v>0.5268817204301075</v>
      </c>
      <c r="F179" s="4">
        <v>0.23118279569892472</v>
      </c>
      <c r="G179" s="4">
        <v>0.29569892473118276</v>
      </c>
      <c r="H179" s="4">
        <v>1.0752688172043012E-2</v>
      </c>
      <c r="I179" s="4">
        <v>0.75806451612903225</v>
      </c>
      <c r="J179" s="4">
        <v>-0.74731182795698925</v>
      </c>
      <c r="K179" s="4">
        <v>0</v>
      </c>
      <c r="L179" s="4">
        <v>0.90322580645161288</v>
      </c>
      <c r="M179" s="4">
        <v>-0.90322580645161288</v>
      </c>
      <c r="N179" s="4">
        <v>0.19892473118279569</v>
      </c>
      <c r="O179" s="4">
        <v>0.38709677419354838</v>
      </c>
      <c r="P179" s="4">
        <v>-0.18817204301075269</v>
      </c>
      <c r="Q179" s="4">
        <v>7.5268817204301078E-2</v>
      </c>
      <c r="R179" s="4">
        <v>0.65053763440860213</v>
      </c>
      <c r="S179" s="4">
        <v>-0.57526881720430101</v>
      </c>
    </row>
    <row r="180" spans="1:19" x14ac:dyDescent="0.35">
      <c r="A180" s="4" t="s">
        <v>125</v>
      </c>
      <c r="B180" s="4">
        <v>0.16021505376344086</v>
      </c>
      <c r="C180" s="4">
        <v>0.5903225806451613</v>
      </c>
      <c r="D180" s="4">
        <v>-0.43010752688172044</v>
      </c>
      <c r="E180" s="4">
        <v>0</v>
      </c>
      <c r="F180" s="4">
        <v>0.86021505376344087</v>
      </c>
      <c r="G180" s="4">
        <v>-0.86021505376344087</v>
      </c>
      <c r="H180" s="4">
        <v>0.5268817204301075</v>
      </c>
      <c r="I180" s="4">
        <v>0.15053763440860216</v>
      </c>
      <c r="J180" s="4">
        <v>0.37634408602150538</v>
      </c>
      <c r="K180" s="4">
        <v>0</v>
      </c>
      <c r="L180" s="4">
        <v>0.90322580645161288</v>
      </c>
      <c r="M180" s="4">
        <v>-0.90322580645161288</v>
      </c>
      <c r="N180" s="4">
        <v>0.19892473118279569</v>
      </c>
      <c r="O180" s="4">
        <v>0.38709677419354838</v>
      </c>
      <c r="P180" s="4">
        <v>-0.18817204301075269</v>
      </c>
      <c r="Q180" s="4">
        <v>7.5268817204301078E-2</v>
      </c>
      <c r="R180" s="4">
        <v>0.65053763440860213</v>
      </c>
      <c r="S180" s="4">
        <v>-0.57526881720430101</v>
      </c>
    </row>
    <row r="181" spans="1:19" x14ac:dyDescent="0.35">
      <c r="A181" s="4" t="s">
        <v>137</v>
      </c>
      <c r="B181" s="4">
        <v>0.18064516129032257</v>
      </c>
      <c r="C181" s="4">
        <v>0.61290322580645162</v>
      </c>
      <c r="D181" s="4">
        <v>-0.43225806451612903</v>
      </c>
      <c r="E181" s="4">
        <v>0.14516129032258066</v>
      </c>
      <c r="F181" s="4">
        <v>0.69354838709677424</v>
      </c>
      <c r="G181" s="4">
        <v>-0.54838709677419362</v>
      </c>
      <c r="H181" s="4">
        <v>0.5268817204301075</v>
      </c>
      <c r="I181" s="4">
        <v>0.15053763440860216</v>
      </c>
      <c r="J181" s="4">
        <v>0.37634408602150538</v>
      </c>
      <c r="K181" s="4">
        <v>0</v>
      </c>
      <c r="L181" s="4">
        <v>0.90322580645161288</v>
      </c>
      <c r="M181" s="4">
        <v>-0.90322580645161288</v>
      </c>
      <c r="N181" s="4">
        <v>0.19892473118279569</v>
      </c>
      <c r="O181" s="4">
        <v>0.38709677419354838</v>
      </c>
      <c r="P181" s="4">
        <v>-0.18817204301075269</v>
      </c>
      <c r="Q181" s="4">
        <v>3.2258064516129031E-2</v>
      </c>
      <c r="R181" s="4">
        <v>0.93010752688172038</v>
      </c>
      <c r="S181" s="4">
        <v>-0.89784946236559138</v>
      </c>
    </row>
    <row r="182" spans="1:19" x14ac:dyDescent="0.35">
      <c r="A182" s="4" t="s">
        <v>139</v>
      </c>
      <c r="B182" s="4">
        <v>0.18064516129032257</v>
      </c>
      <c r="C182" s="4">
        <v>0.61290322580645162</v>
      </c>
      <c r="D182" s="4">
        <v>-0.43225806451612903</v>
      </c>
      <c r="E182" s="4">
        <v>0.14516129032258066</v>
      </c>
      <c r="F182" s="4">
        <v>0.69354838709677424</v>
      </c>
      <c r="G182" s="4">
        <v>-0.54838709677419362</v>
      </c>
      <c r="H182" s="4">
        <v>0.5268817204301075</v>
      </c>
      <c r="I182" s="4">
        <v>0.15053763440860216</v>
      </c>
      <c r="J182" s="4">
        <v>0.37634408602150538</v>
      </c>
      <c r="K182" s="4">
        <v>0</v>
      </c>
      <c r="L182" s="4">
        <v>0.90322580645161288</v>
      </c>
      <c r="M182" s="4">
        <v>-0.90322580645161288</v>
      </c>
      <c r="N182" s="4">
        <v>0.19892473118279569</v>
      </c>
      <c r="O182" s="4">
        <v>0.38709677419354838</v>
      </c>
      <c r="P182" s="4">
        <v>-0.18817204301075269</v>
      </c>
      <c r="Q182" s="4">
        <v>3.2258064516129031E-2</v>
      </c>
      <c r="R182" s="4">
        <v>0.93010752688172038</v>
      </c>
      <c r="S182" s="4">
        <v>-0.89784946236559138</v>
      </c>
    </row>
    <row r="183" spans="1:19" x14ac:dyDescent="0.35">
      <c r="A183" s="4" t="s">
        <v>31</v>
      </c>
      <c r="B183" s="4">
        <v>0.17204301075268819</v>
      </c>
      <c r="C183" s="4">
        <v>0.63440860215053774</v>
      </c>
      <c r="D183" s="4">
        <v>-0.46236559139784955</v>
      </c>
      <c r="E183" s="4">
        <v>0.31182795698924731</v>
      </c>
      <c r="F183" s="4">
        <v>0.478494623655914</v>
      </c>
      <c r="G183" s="4">
        <v>-0.16666666666666669</v>
      </c>
      <c r="H183" s="4">
        <v>0.24731182795698925</v>
      </c>
      <c r="I183" s="4">
        <v>0.478494623655914</v>
      </c>
      <c r="J183" s="4">
        <v>-0.23118279569892475</v>
      </c>
      <c r="K183" s="4">
        <v>0.10215053763440861</v>
      </c>
      <c r="L183" s="4">
        <v>0.85483870967741937</v>
      </c>
      <c r="M183" s="4">
        <v>-0.75268817204301075</v>
      </c>
      <c r="N183" s="4">
        <v>0.19892473118279569</v>
      </c>
      <c r="O183" s="4">
        <v>0.38709677419354838</v>
      </c>
      <c r="P183" s="4">
        <v>-0.18817204301075269</v>
      </c>
      <c r="Q183" s="4">
        <v>0</v>
      </c>
      <c r="R183" s="4">
        <v>0.9731182795698925</v>
      </c>
      <c r="S183" s="4">
        <v>-0.9731182795698925</v>
      </c>
    </row>
    <row r="184" spans="1:19" x14ac:dyDescent="0.35">
      <c r="A184" s="4" t="s">
        <v>29</v>
      </c>
      <c r="B184" s="4">
        <v>0.20107526881720433</v>
      </c>
      <c r="C184" s="4">
        <v>0.66881720430107539</v>
      </c>
      <c r="D184" s="4">
        <v>-0.46774193548387105</v>
      </c>
      <c r="E184" s="4">
        <v>0.5268817204301075</v>
      </c>
      <c r="F184" s="4">
        <v>0.23118279569892472</v>
      </c>
      <c r="G184" s="4">
        <v>0.29569892473118276</v>
      </c>
      <c r="H184" s="4">
        <v>0.24731182795698925</v>
      </c>
      <c r="I184" s="4">
        <v>0.478494623655914</v>
      </c>
      <c r="J184" s="4">
        <v>-0.23118279569892475</v>
      </c>
      <c r="K184" s="4">
        <v>0.10215053763440861</v>
      </c>
      <c r="L184" s="4">
        <v>0.85483870967741937</v>
      </c>
      <c r="M184" s="4">
        <v>-0.75268817204301075</v>
      </c>
      <c r="N184" s="4">
        <v>0.12903225806451613</v>
      </c>
      <c r="O184" s="4">
        <v>0.80645161290322576</v>
      </c>
      <c r="P184" s="4">
        <v>-0.67741935483870963</v>
      </c>
      <c r="Q184" s="4">
        <v>0</v>
      </c>
      <c r="R184" s="4">
        <v>0.9731182795698925</v>
      </c>
      <c r="S184" s="4">
        <v>-0.9731182795698925</v>
      </c>
    </row>
    <row r="185" spans="1:19" x14ac:dyDescent="0.35">
      <c r="A185" s="4" t="s">
        <v>121</v>
      </c>
      <c r="B185" s="4">
        <v>0.16021505376344086</v>
      </c>
      <c r="C185" s="4">
        <v>0.63333333333333341</v>
      </c>
      <c r="D185" s="4">
        <v>-0.47311827956989255</v>
      </c>
      <c r="E185" s="4">
        <v>0.5268817204301075</v>
      </c>
      <c r="F185" s="4">
        <v>0.23118279569892472</v>
      </c>
      <c r="G185" s="4">
        <v>0.29569892473118276</v>
      </c>
      <c r="H185" s="4">
        <v>0</v>
      </c>
      <c r="I185" s="4">
        <v>0.9946236559139785</v>
      </c>
      <c r="J185" s="4">
        <v>-0.9946236559139785</v>
      </c>
      <c r="K185" s="4">
        <v>0</v>
      </c>
      <c r="L185" s="4">
        <v>0.90322580645161288</v>
      </c>
      <c r="M185" s="4">
        <v>-0.90322580645161288</v>
      </c>
      <c r="N185" s="4">
        <v>0.19892473118279569</v>
      </c>
      <c r="O185" s="4">
        <v>0.38709677419354838</v>
      </c>
      <c r="P185" s="4">
        <v>-0.18817204301075269</v>
      </c>
      <c r="Q185" s="4">
        <v>7.5268817204301078E-2</v>
      </c>
      <c r="R185" s="4">
        <v>0.65053763440860213</v>
      </c>
      <c r="S185" s="4">
        <v>-0.57526881720430101</v>
      </c>
    </row>
    <row r="186" spans="1:19" x14ac:dyDescent="0.35">
      <c r="A186" s="4" t="s">
        <v>136</v>
      </c>
      <c r="B186" s="4">
        <v>0.15806451612903227</v>
      </c>
      <c r="C186" s="4">
        <v>0.63548387096774195</v>
      </c>
      <c r="D186" s="4">
        <v>-0.47741935483870968</v>
      </c>
      <c r="E186" s="4">
        <v>0.31182795698924731</v>
      </c>
      <c r="F186" s="4">
        <v>0.478494623655914</v>
      </c>
      <c r="G186" s="4">
        <v>-0.16666666666666669</v>
      </c>
      <c r="H186" s="4">
        <v>0.24731182795698925</v>
      </c>
      <c r="I186" s="4">
        <v>0.478494623655914</v>
      </c>
      <c r="J186" s="4">
        <v>-0.23118279569892475</v>
      </c>
      <c r="K186" s="4">
        <v>0</v>
      </c>
      <c r="L186" s="4">
        <v>0.90322580645161288</v>
      </c>
      <c r="M186" s="4">
        <v>-0.90322580645161288</v>
      </c>
      <c r="N186" s="4">
        <v>0.19892473118279569</v>
      </c>
      <c r="O186" s="4">
        <v>0.38709677419354838</v>
      </c>
      <c r="P186" s="4">
        <v>-0.18817204301075269</v>
      </c>
      <c r="Q186" s="4">
        <v>3.2258064516129031E-2</v>
      </c>
      <c r="R186" s="4">
        <v>0.93010752688172038</v>
      </c>
      <c r="S186" s="4">
        <v>-0.89784946236559138</v>
      </c>
    </row>
    <row r="187" spans="1:19" x14ac:dyDescent="0.35">
      <c r="A187" s="4" t="s">
        <v>138</v>
      </c>
      <c r="B187" s="4">
        <v>0.15806451612903227</v>
      </c>
      <c r="C187" s="4">
        <v>0.63548387096774195</v>
      </c>
      <c r="D187" s="4">
        <v>-0.47741935483870968</v>
      </c>
      <c r="E187" s="4">
        <v>0.31182795698924731</v>
      </c>
      <c r="F187" s="4">
        <v>0.478494623655914</v>
      </c>
      <c r="G187" s="4">
        <v>-0.16666666666666669</v>
      </c>
      <c r="H187" s="4">
        <v>0.24731182795698925</v>
      </c>
      <c r="I187" s="4">
        <v>0.478494623655914</v>
      </c>
      <c r="J187" s="4">
        <v>-0.23118279569892475</v>
      </c>
      <c r="K187" s="4">
        <v>0</v>
      </c>
      <c r="L187" s="4">
        <v>0.90322580645161288</v>
      </c>
      <c r="M187" s="4">
        <v>-0.90322580645161288</v>
      </c>
      <c r="N187" s="4">
        <v>0.19892473118279569</v>
      </c>
      <c r="O187" s="4">
        <v>0.38709677419354838</v>
      </c>
      <c r="P187" s="4">
        <v>-0.18817204301075269</v>
      </c>
      <c r="Q187" s="4">
        <v>3.2258064516129031E-2</v>
      </c>
      <c r="R187" s="4">
        <v>0.93010752688172038</v>
      </c>
      <c r="S187" s="4">
        <v>-0.89784946236559138</v>
      </c>
    </row>
    <row r="188" spans="1:19" x14ac:dyDescent="0.35">
      <c r="A188" s="4" t="s">
        <v>32</v>
      </c>
      <c r="B188" s="4">
        <v>0.16559139784946236</v>
      </c>
      <c r="C188" s="4">
        <v>0.64516129032258074</v>
      </c>
      <c r="D188" s="4">
        <v>-0.47956989247311838</v>
      </c>
      <c r="E188" s="4">
        <v>0</v>
      </c>
      <c r="F188" s="4">
        <v>0.86021505376344087</v>
      </c>
      <c r="G188" s="4">
        <v>-0.86021505376344087</v>
      </c>
      <c r="H188" s="4">
        <v>0.5268817204301075</v>
      </c>
      <c r="I188" s="4">
        <v>0.15053763440860216</v>
      </c>
      <c r="J188" s="4">
        <v>0.37634408602150538</v>
      </c>
      <c r="K188" s="4">
        <v>0.10215053763440861</v>
      </c>
      <c r="L188" s="4">
        <v>0.85483870967741937</v>
      </c>
      <c r="M188" s="4">
        <v>-0.75268817204301075</v>
      </c>
      <c r="N188" s="4">
        <v>0.19892473118279569</v>
      </c>
      <c r="O188" s="4">
        <v>0.38709677419354838</v>
      </c>
      <c r="P188" s="4">
        <v>-0.18817204301075269</v>
      </c>
      <c r="Q188" s="4">
        <v>0</v>
      </c>
      <c r="R188" s="4">
        <v>0.9731182795698925</v>
      </c>
      <c r="S188" s="4">
        <v>-0.9731182795698925</v>
      </c>
    </row>
    <row r="189" spans="1:19" x14ac:dyDescent="0.35">
      <c r="A189" s="4" t="s">
        <v>124</v>
      </c>
      <c r="B189" s="4">
        <v>0.13333333333333333</v>
      </c>
      <c r="C189" s="4">
        <v>0.62258064516129041</v>
      </c>
      <c r="D189" s="4">
        <v>-0.48924731182795711</v>
      </c>
      <c r="E189" s="4">
        <v>0.14516129032258066</v>
      </c>
      <c r="F189" s="4">
        <v>0.69354838709677424</v>
      </c>
      <c r="G189" s="4">
        <v>-0.54838709677419362</v>
      </c>
      <c r="H189" s="4">
        <v>0.24731182795698925</v>
      </c>
      <c r="I189" s="4">
        <v>0.478494623655914</v>
      </c>
      <c r="J189" s="4">
        <v>-0.23118279569892475</v>
      </c>
      <c r="K189" s="4">
        <v>0</v>
      </c>
      <c r="L189" s="4">
        <v>0.90322580645161288</v>
      </c>
      <c r="M189" s="4">
        <v>-0.90322580645161288</v>
      </c>
      <c r="N189" s="4">
        <v>0.19892473118279569</v>
      </c>
      <c r="O189" s="4">
        <v>0.38709677419354838</v>
      </c>
      <c r="P189" s="4">
        <v>-0.18817204301075269</v>
      </c>
      <c r="Q189" s="4">
        <v>7.5268817204301078E-2</v>
      </c>
      <c r="R189" s="4">
        <v>0.65053763440860213</v>
      </c>
      <c r="S189" s="4">
        <v>-0.57526881720430101</v>
      </c>
    </row>
  </sheetData>
  <autoFilter ref="A1:S189" xr:uid="{D21ABB36-D546-4A1D-99D1-338E890110A5}">
    <sortState xmlns:xlrd2="http://schemas.microsoft.com/office/spreadsheetml/2017/richdata2" ref="A2:S189">
      <sortCondition descending="1" ref="D1:D18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F0503-3E88-4134-AC58-51FC3AD3CFE0}">
  <dimension ref="A1:W188"/>
  <sheetViews>
    <sheetView workbookViewId="0">
      <selection activeCell="H184" sqref="H184"/>
    </sheetView>
  </sheetViews>
  <sheetFormatPr defaultRowHeight="14.5" x14ac:dyDescent="0.35"/>
  <sheetData>
    <row r="1" spans="1:23" ht="15.5" x14ac:dyDescent="0.35">
      <c r="A1" s="4"/>
      <c r="B1" s="4"/>
      <c r="D1" s="4" t="s">
        <v>209</v>
      </c>
      <c r="E1" s="4" t="s">
        <v>212</v>
      </c>
      <c r="F1" t="s">
        <v>213</v>
      </c>
      <c r="G1" s="5" t="s">
        <v>216</v>
      </c>
      <c r="H1" s="5" t="s">
        <v>217</v>
      </c>
      <c r="I1" s="5" t="s">
        <v>218</v>
      </c>
      <c r="J1" s="5" t="s">
        <v>219</v>
      </c>
      <c r="K1" s="5" t="s">
        <v>220</v>
      </c>
      <c r="L1" s="5" t="s">
        <v>221</v>
      </c>
      <c r="M1" s="5" t="s">
        <v>222</v>
      </c>
      <c r="N1" s="5" t="s">
        <v>223</v>
      </c>
      <c r="O1" s="5" t="s">
        <v>224</v>
      </c>
      <c r="P1" s="5" t="s">
        <v>225</v>
      </c>
      <c r="Q1" s="5" t="s">
        <v>226</v>
      </c>
      <c r="R1" s="5" t="s">
        <v>227</v>
      </c>
      <c r="S1" s="5" t="s">
        <v>228</v>
      </c>
      <c r="T1" s="5" t="s">
        <v>229</v>
      </c>
      <c r="U1" s="5" t="s">
        <v>230</v>
      </c>
      <c r="V1" s="5" t="s">
        <v>231</v>
      </c>
      <c r="W1" s="5" t="s">
        <v>232</v>
      </c>
    </row>
    <row r="2" spans="1:23" ht="15.5" x14ac:dyDescent="0.35">
      <c r="A2" s="4" t="s">
        <v>214</v>
      </c>
      <c r="B2" s="4">
        <v>1</v>
      </c>
      <c r="C2">
        <v>4</v>
      </c>
      <c r="D2" s="4" t="s">
        <v>9</v>
      </c>
      <c r="E2" s="4">
        <v>0.13763440860215048</v>
      </c>
      <c r="F2">
        <f>E2-$E$121</f>
        <v>0.62688172043010759</v>
      </c>
      <c r="G2" s="6">
        <v>0.2</v>
      </c>
      <c r="H2" s="6">
        <v>0.2</v>
      </c>
      <c r="I2" s="6">
        <v>0.2</v>
      </c>
      <c r="J2" s="7"/>
      <c r="K2" s="6">
        <v>0.2</v>
      </c>
      <c r="L2" s="6">
        <v>0.2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5.5" x14ac:dyDescent="0.35">
      <c r="A3" s="4" t="s">
        <v>214</v>
      </c>
      <c r="B3" s="4">
        <v>1</v>
      </c>
      <c r="C3">
        <v>5</v>
      </c>
      <c r="D3" s="4" t="s">
        <v>10</v>
      </c>
      <c r="E3" s="4">
        <v>0.13763440860215048</v>
      </c>
      <c r="F3">
        <f t="shared" ref="F3:F66" si="0">E3-$E$121</f>
        <v>0.62688172043010759</v>
      </c>
      <c r="G3" s="6">
        <v>0.2</v>
      </c>
      <c r="H3" s="6">
        <v>0.2</v>
      </c>
      <c r="I3" s="6">
        <v>0.2</v>
      </c>
      <c r="J3" s="7"/>
      <c r="K3" s="6">
        <v>0.2</v>
      </c>
      <c r="L3" s="6">
        <v>0.2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ht="15.5" x14ac:dyDescent="0.35">
      <c r="A4" s="4" t="s">
        <v>214</v>
      </c>
      <c r="B4" s="4">
        <v>1</v>
      </c>
      <c r="C4">
        <v>3</v>
      </c>
      <c r="D4" s="4" t="s">
        <v>8</v>
      </c>
      <c r="E4" s="4">
        <v>6.7741935483870974E-2</v>
      </c>
      <c r="F4">
        <f t="shared" si="0"/>
        <v>0.55698924731182808</v>
      </c>
      <c r="G4" s="6">
        <v>0.2</v>
      </c>
      <c r="H4" s="6">
        <v>0.2</v>
      </c>
      <c r="I4" s="6">
        <v>0.2</v>
      </c>
      <c r="J4" s="7"/>
      <c r="K4" s="6">
        <v>0.2</v>
      </c>
      <c r="L4" s="6">
        <v>0.2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15.5" x14ac:dyDescent="0.35">
      <c r="A5" s="4" t="s">
        <v>214</v>
      </c>
      <c r="B5" s="4">
        <v>1</v>
      </c>
      <c r="C5">
        <v>2</v>
      </c>
      <c r="D5" s="4" t="s">
        <v>7</v>
      </c>
      <c r="E5" s="4">
        <v>-2.2580645161290269E-2</v>
      </c>
      <c r="F5">
        <f t="shared" si="0"/>
        <v>0.46666666666666684</v>
      </c>
      <c r="G5" s="6">
        <v>0.2</v>
      </c>
      <c r="H5" s="6">
        <v>0.2</v>
      </c>
      <c r="I5" s="6">
        <v>0.2</v>
      </c>
      <c r="J5" s="7"/>
      <c r="K5" s="6">
        <v>0.2</v>
      </c>
      <c r="L5" s="6">
        <v>0.2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5.5" x14ac:dyDescent="0.35">
      <c r="A6" s="4" t="s">
        <v>214</v>
      </c>
      <c r="B6" s="4">
        <v>1</v>
      </c>
      <c r="C6">
        <v>1</v>
      </c>
      <c r="D6" s="4" t="s">
        <v>6</v>
      </c>
      <c r="E6" s="4">
        <v>-2.7956989247311825E-2</v>
      </c>
      <c r="F6">
        <f t="shared" si="0"/>
        <v>0.46129032258064528</v>
      </c>
      <c r="G6" s="6">
        <v>0.2</v>
      </c>
      <c r="H6" s="6">
        <v>0.2</v>
      </c>
      <c r="I6" s="6">
        <v>0.2</v>
      </c>
      <c r="J6" s="7"/>
      <c r="K6" s="6">
        <v>0.2</v>
      </c>
      <c r="L6" s="6">
        <v>0.2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5.5" x14ac:dyDescent="0.35">
      <c r="A7" s="4" t="s">
        <v>215</v>
      </c>
      <c r="B7" s="4">
        <v>2</v>
      </c>
      <c r="C7">
        <v>5</v>
      </c>
      <c r="D7" s="4" t="s">
        <v>12</v>
      </c>
      <c r="E7" s="4">
        <v>-0.2655913978494624</v>
      </c>
      <c r="F7">
        <f t="shared" si="0"/>
        <v>0.22365591397849471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6">
        <v>0.25</v>
      </c>
      <c r="U7" s="6">
        <v>0.25</v>
      </c>
      <c r="V7" s="6">
        <v>0.25</v>
      </c>
      <c r="W7" s="6">
        <v>0.25</v>
      </c>
    </row>
    <row r="8" spans="1:23" ht="15.5" x14ac:dyDescent="0.35">
      <c r="A8" s="4" t="s">
        <v>215</v>
      </c>
      <c r="B8" s="4">
        <v>2</v>
      </c>
      <c r="C8">
        <v>4</v>
      </c>
      <c r="D8" s="4" t="s">
        <v>11</v>
      </c>
      <c r="E8" s="4">
        <v>-0.3430107526881721</v>
      </c>
      <c r="F8">
        <f t="shared" si="0"/>
        <v>0.14623655913978501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6">
        <v>0.25</v>
      </c>
      <c r="U8" s="6">
        <v>0.25</v>
      </c>
      <c r="V8" s="6">
        <v>0.25</v>
      </c>
      <c r="W8" s="6">
        <v>0.25</v>
      </c>
    </row>
    <row r="9" spans="1:23" ht="15.5" x14ac:dyDescent="0.35">
      <c r="A9" s="4" t="s">
        <v>214</v>
      </c>
      <c r="B9" s="4">
        <v>3</v>
      </c>
      <c r="C9">
        <v>3</v>
      </c>
      <c r="D9" s="4" t="s">
        <v>15</v>
      </c>
      <c r="E9" s="4">
        <v>-0.25376344086021507</v>
      </c>
      <c r="F9">
        <f t="shared" si="0"/>
        <v>0.23548387096774204</v>
      </c>
      <c r="G9" s="7"/>
      <c r="H9" s="7"/>
      <c r="I9" s="7"/>
      <c r="J9" s="7"/>
      <c r="K9" s="7"/>
      <c r="L9" s="6">
        <v>1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5.5" x14ac:dyDescent="0.35">
      <c r="A10" s="4" t="s">
        <v>214</v>
      </c>
      <c r="B10" s="4">
        <v>3</v>
      </c>
      <c r="C10">
        <v>2</v>
      </c>
      <c r="D10" s="4" t="s">
        <v>14</v>
      </c>
      <c r="E10" s="4">
        <v>-0.29892473118279572</v>
      </c>
      <c r="F10">
        <f t="shared" si="0"/>
        <v>0.19032258064516139</v>
      </c>
      <c r="G10" s="7"/>
      <c r="H10" s="7"/>
      <c r="I10" s="7"/>
      <c r="J10" s="7"/>
      <c r="K10" s="7"/>
      <c r="L10" s="6">
        <v>1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5.5" x14ac:dyDescent="0.35">
      <c r="A11" s="4" t="s">
        <v>214</v>
      </c>
      <c r="B11" s="4">
        <v>3</v>
      </c>
      <c r="C11">
        <v>1</v>
      </c>
      <c r="D11" s="4" t="s">
        <v>13</v>
      </c>
      <c r="E11" s="4">
        <v>-0.30967741935483872</v>
      </c>
      <c r="F11">
        <f t="shared" si="0"/>
        <v>0.17956989247311839</v>
      </c>
      <c r="G11" s="7"/>
      <c r="H11" s="7"/>
      <c r="I11" s="7"/>
      <c r="J11" s="7"/>
      <c r="K11" s="7"/>
      <c r="L11" s="6">
        <v>1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5.5" x14ac:dyDescent="0.35">
      <c r="A12" s="4" t="s">
        <v>214</v>
      </c>
      <c r="B12" s="4">
        <v>4</v>
      </c>
      <c r="C12">
        <v>5</v>
      </c>
      <c r="D12" s="4" t="s">
        <v>18</v>
      </c>
      <c r="E12" s="4">
        <v>6.7741935483870974E-2</v>
      </c>
      <c r="F12">
        <f t="shared" si="0"/>
        <v>0.55698924731182808</v>
      </c>
      <c r="G12" s="6">
        <v>0.2</v>
      </c>
      <c r="H12" s="6">
        <v>0.2</v>
      </c>
      <c r="I12" s="6">
        <v>0.2</v>
      </c>
      <c r="J12" s="7"/>
      <c r="K12" s="6">
        <v>0.2</v>
      </c>
      <c r="L12" s="6">
        <v>0.2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15.5" x14ac:dyDescent="0.35">
      <c r="A13" s="4" t="s">
        <v>214</v>
      </c>
      <c r="B13" s="4">
        <v>4</v>
      </c>
      <c r="C13">
        <v>4</v>
      </c>
      <c r="D13" s="4" t="s">
        <v>17</v>
      </c>
      <c r="E13" s="4">
        <v>-2.2580645161290269E-2</v>
      </c>
      <c r="F13">
        <f t="shared" si="0"/>
        <v>0.46666666666666684</v>
      </c>
      <c r="G13" s="6">
        <v>0.2</v>
      </c>
      <c r="H13" s="6">
        <v>0.2</v>
      </c>
      <c r="I13" s="6">
        <v>0.2</v>
      </c>
      <c r="J13" s="7"/>
      <c r="K13" s="6">
        <v>0.2</v>
      </c>
      <c r="L13" s="6">
        <v>0.2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15.5" x14ac:dyDescent="0.35">
      <c r="A14" s="4" t="s">
        <v>214</v>
      </c>
      <c r="B14" s="4">
        <v>4</v>
      </c>
      <c r="C14">
        <v>3</v>
      </c>
      <c r="D14" s="4" t="s">
        <v>16</v>
      </c>
      <c r="E14" s="4">
        <v>-7.7419354838709709E-2</v>
      </c>
      <c r="F14">
        <f t="shared" si="0"/>
        <v>0.4118279569892474</v>
      </c>
      <c r="G14" s="6">
        <v>0.2</v>
      </c>
      <c r="H14" s="6">
        <v>0.2</v>
      </c>
      <c r="I14" s="6">
        <v>0.2</v>
      </c>
      <c r="J14" s="7"/>
      <c r="K14" s="6">
        <v>0.2</v>
      </c>
      <c r="L14" s="6">
        <v>0.2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5.5" x14ac:dyDescent="0.35">
      <c r="A15" s="4" t="s">
        <v>214</v>
      </c>
      <c r="B15" s="4">
        <v>5</v>
      </c>
      <c r="C15">
        <v>5</v>
      </c>
      <c r="D15" s="4" t="s">
        <v>23</v>
      </c>
      <c r="E15" s="4">
        <v>0.13763440860215048</v>
      </c>
      <c r="F15">
        <f t="shared" si="0"/>
        <v>0.62688172043010759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6">
        <v>0.25</v>
      </c>
      <c r="U15" s="6">
        <v>0.25</v>
      </c>
      <c r="V15" s="6">
        <v>0.25</v>
      </c>
      <c r="W15" s="6">
        <v>0.25</v>
      </c>
    </row>
    <row r="16" spans="1:23" ht="15.5" x14ac:dyDescent="0.35">
      <c r="A16" s="4" t="s">
        <v>214</v>
      </c>
      <c r="B16" s="4">
        <v>5</v>
      </c>
      <c r="C16">
        <v>4</v>
      </c>
      <c r="D16" s="4" t="s">
        <v>22</v>
      </c>
      <c r="E16" s="4">
        <v>4.1935483870967738E-2</v>
      </c>
      <c r="F16">
        <f t="shared" si="0"/>
        <v>0.53118279569892479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6">
        <v>0.25</v>
      </c>
      <c r="U16" s="6">
        <v>0.25</v>
      </c>
      <c r="V16" s="6">
        <v>0.25</v>
      </c>
      <c r="W16" s="6">
        <v>0.25</v>
      </c>
    </row>
    <row r="17" spans="1:23" ht="15.5" x14ac:dyDescent="0.35">
      <c r="A17" s="4" t="s">
        <v>214</v>
      </c>
      <c r="B17" s="4">
        <v>5</v>
      </c>
      <c r="C17">
        <v>2</v>
      </c>
      <c r="D17" s="4" t="s">
        <v>20</v>
      </c>
      <c r="E17" s="4">
        <v>-5.3763440860215062E-2</v>
      </c>
      <c r="F17">
        <f t="shared" si="0"/>
        <v>0.43548387096774205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6">
        <v>0.25</v>
      </c>
      <c r="U17" s="6">
        <v>0.25</v>
      </c>
      <c r="V17" s="6">
        <v>0.25</v>
      </c>
      <c r="W17" s="6">
        <v>0.25</v>
      </c>
    </row>
    <row r="18" spans="1:23" ht="15.5" x14ac:dyDescent="0.35">
      <c r="A18" s="4" t="s">
        <v>214</v>
      </c>
      <c r="B18" s="4">
        <v>5</v>
      </c>
      <c r="C18">
        <v>3</v>
      </c>
      <c r="D18" s="4" t="s">
        <v>21</v>
      </c>
      <c r="E18" s="4">
        <v>-5.3763440860215062E-2</v>
      </c>
      <c r="F18">
        <f t="shared" si="0"/>
        <v>0.43548387096774205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6">
        <v>0.25</v>
      </c>
      <c r="U18" s="6">
        <v>0.25</v>
      </c>
      <c r="V18" s="6">
        <v>0.25</v>
      </c>
      <c r="W18" s="6">
        <v>0.25</v>
      </c>
    </row>
    <row r="19" spans="1:23" ht="15.5" x14ac:dyDescent="0.35">
      <c r="A19" s="4" t="s">
        <v>214</v>
      </c>
      <c r="B19" s="4">
        <v>5</v>
      </c>
      <c r="C19">
        <v>1</v>
      </c>
      <c r="D19" s="4" t="s">
        <v>19</v>
      </c>
      <c r="E19" s="4">
        <v>-0.12580645161290321</v>
      </c>
      <c r="F19">
        <f t="shared" si="0"/>
        <v>0.3634408602150539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6">
        <v>0.25</v>
      </c>
      <c r="U19" s="6">
        <v>0.25</v>
      </c>
      <c r="V19" s="6">
        <v>0.25</v>
      </c>
      <c r="W19" s="6">
        <v>0.25</v>
      </c>
    </row>
    <row r="20" spans="1:23" ht="15.5" x14ac:dyDescent="0.35">
      <c r="A20" s="4" t="s">
        <v>214</v>
      </c>
      <c r="B20" s="4">
        <v>6</v>
      </c>
      <c r="C20">
        <v>4</v>
      </c>
      <c r="D20" s="4" t="s">
        <v>27</v>
      </c>
      <c r="E20" s="4">
        <v>0.16344086021505372</v>
      </c>
      <c r="F20">
        <f t="shared" si="0"/>
        <v>0.65268817204301088</v>
      </c>
      <c r="G20" s="7"/>
      <c r="H20" s="7"/>
      <c r="I20" s="7"/>
      <c r="J20" s="6">
        <v>0.1</v>
      </c>
      <c r="K20" s="6">
        <v>0.1</v>
      </c>
      <c r="L20" s="6">
        <v>0.1</v>
      </c>
      <c r="M20" s="6">
        <v>0.1</v>
      </c>
      <c r="N20" s="6">
        <v>0.1</v>
      </c>
      <c r="O20" s="6">
        <v>0.1</v>
      </c>
      <c r="P20" s="6">
        <v>0.1</v>
      </c>
      <c r="Q20" s="6">
        <v>0.1</v>
      </c>
      <c r="R20" s="6">
        <v>0.1</v>
      </c>
      <c r="S20" s="6">
        <v>0.1</v>
      </c>
      <c r="T20" s="7"/>
      <c r="U20" s="7"/>
      <c r="V20" s="7"/>
      <c r="W20" s="7"/>
    </row>
    <row r="21" spans="1:23" ht="15.5" x14ac:dyDescent="0.35">
      <c r="A21" s="4" t="s">
        <v>214</v>
      </c>
      <c r="B21" s="4">
        <v>6</v>
      </c>
      <c r="C21">
        <v>5</v>
      </c>
      <c r="D21" s="4" t="s">
        <v>28</v>
      </c>
      <c r="E21" s="4">
        <v>0.16344086021505372</v>
      </c>
      <c r="F21">
        <f t="shared" si="0"/>
        <v>0.65268817204301088</v>
      </c>
      <c r="G21" s="7"/>
      <c r="H21" s="7"/>
      <c r="I21" s="7"/>
      <c r="J21" s="6">
        <v>0.1</v>
      </c>
      <c r="K21" s="6">
        <v>0.1</v>
      </c>
      <c r="L21" s="6">
        <v>0.1</v>
      </c>
      <c r="M21" s="6">
        <v>0.1</v>
      </c>
      <c r="N21" s="6">
        <v>0.1</v>
      </c>
      <c r="O21" s="6">
        <v>0.1</v>
      </c>
      <c r="P21" s="6">
        <v>0.1</v>
      </c>
      <c r="Q21" s="6">
        <v>0.1</v>
      </c>
      <c r="R21" s="6">
        <v>0.1</v>
      </c>
      <c r="S21" s="6">
        <v>0.1</v>
      </c>
      <c r="T21" s="7"/>
      <c r="U21" s="7"/>
      <c r="V21" s="7"/>
      <c r="W21" s="7"/>
    </row>
    <row r="22" spans="1:23" ht="15.5" x14ac:dyDescent="0.35">
      <c r="A22" s="4" t="s">
        <v>214</v>
      </c>
      <c r="B22" s="4">
        <v>6</v>
      </c>
      <c r="C22">
        <v>2</v>
      </c>
      <c r="D22" s="4" t="s">
        <v>25</v>
      </c>
      <c r="E22" s="4">
        <v>9.8924731182795711E-2</v>
      </c>
      <c r="F22">
        <f t="shared" si="0"/>
        <v>0.58817204301075288</v>
      </c>
      <c r="G22" s="7"/>
      <c r="H22" s="7"/>
      <c r="I22" s="7"/>
      <c r="J22" s="6">
        <v>0.1</v>
      </c>
      <c r="K22" s="6">
        <v>0.1</v>
      </c>
      <c r="L22" s="6">
        <v>0.1</v>
      </c>
      <c r="M22" s="6">
        <v>0.1</v>
      </c>
      <c r="N22" s="6">
        <v>0.1</v>
      </c>
      <c r="O22" s="6">
        <v>0.1</v>
      </c>
      <c r="P22" s="6">
        <v>0.1</v>
      </c>
      <c r="Q22" s="6">
        <v>0.1</v>
      </c>
      <c r="R22" s="6">
        <v>0.1</v>
      </c>
      <c r="S22" s="6">
        <v>0.1</v>
      </c>
      <c r="T22" s="7"/>
      <c r="U22" s="7"/>
      <c r="V22" s="7"/>
      <c r="W22" s="7"/>
    </row>
    <row r="23" spans="1:23" ht="15.5" x14ac:dyDescent="0.35">
      <c r="A23" s="4" t="s">
        <v>214</v>
      </c>
      <c r="B23" s="4">
        <v>6</v>
      </c>
      <c r="C23">
        <v>3</v>
      </c>
      <c r="D23" s="4" t="s">
        <v>26</v>
      </c>
      <c r="E23" s="4">
        <v>9.8924731182795711E-2</v>
      </c>
      <c r="F23">
        <f t="shared" si="0"/>
        <v>0.58817204301075288</v>
      </c>
      <c r="G23" s="7"/>
      <c r="H23" s="7"/>
      <c r="I23" s="7"/>
      <c r="J23" s="6">
        <v>0.1</v>
      </c>
      <c r="K23" s="6">
        <v>0.1</v>
      </c>
      <c r="L23" s="6">
        <v>0.1</v>
      </c>
      <c r="M23" s="6">
        <v>0.1</v>
      </c>
      <c r="N23" s="6">
        <v>0.1</v>
      </c>
      <c r="O23" s="6">
        <v>0.1</v>
      </c>
      <c r="P23" s="6">
        <v>0.1</v>
      </c>
      <c r="Q23" s="6">
        <v>0.1</v>
      </c>
      <c r="R23" s="6">
        <v>0.1</v>
      </c>
      <c r="S23" s="6">
        <v>0.1</v>
      </c>
      <c r="T23" s="7"/>
      <c r="U23" s="7"/>
      <c r="V23" s="7"/>
      <c r="W23" s="7"/>
    </row>
    <row r="24" spans="1:23" ht="15.5" x14ac:dyDescent="0.35">
      <c r="A24" s="4" t="s">
        <v>214</v>
      </c>
      <c r="B24" s="4">
        <v>6</v>
      </c>
      <c r="C24">
        <v>1</v>
      </c>
      <c r="D24" s="4" t="s">
        <v>24</v>
      </c>
      <c r="E24" s="4">
        <v>7.5268817204301119E-2</v>
      </c>
      <c r="F24">
        <f t="shared" si="0"/>
        <v>0.56451612903225823</v>
      </c>
      <c r="G24" s="7"/>
      <c r="H24" s="7"/>
      <c r="I24" s="7"/>
      <c r="J24" s="6">
        <v>0.1</v>
      </c>
      <c r="K24" s="6">
        <v>0.1</v>
      </c>
      <c r="L24" s="6">
        <v>0.1</v>
      </c>
      <c r="M24" s="6">
        <v>0.1</v>
      </c>
      <c r="N24" s="6">
        <v>0.1</v>
      </c>
      <c r="O24" s="6">
        <v>0.1</v>
      </c>
      <c r="P24" s="6">
        <v>0.1</v>
      </c>
      <c r="Q24" s="6">
        <v>0.1</v>
      </c>
      <c r="R24" s="6">
        <v>0.1</v>
      </c>
      <c r="S24" s="6">
        <v>0.1</v>
      </c>
      <c r="T24" s="7"/>
      <c r="U24" s="7"/>
      <c r="V24" s="7"/>
      <c r="W24" s="7"/>
    </row>
    <row r="25" spans="1:23" ht="15.5" x14ac:dyDescent="0.35">
      <c r="A25" s="4" t="s">
        <v>215</v>
      </c>
      <c r="B25" s="4">
        <v>7</v>
      </c>
      <c r="C25">
        <v>5</v>
      </c>
      <c r="D25" s="4" t="s">
        <v>30</v>
      </c>
      <c r="E25" s="4">
        <v>-0.3741935483870969</v>
      </c>
      <c r="F25">
        <f t="shared" si="0"/>
        <v>0.11505376344086021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6">
        <v>1</v>
      </c>
      <c r="S25" s="7"/>
      <c r="T25" s="7"/>
      <c r="U25" s="7"/>
      <c r="V25" s="7"/>
      <c r="W25" s="7"/>
    </row>
    <row r="26" spans="1:23" ht="15.5" x14ac:dyDescent="0.35">
      <c r="A26" s="4" t="s">
        <v>215</v>
      </c>
      <c r="B26" s="4">
        <v>7</v>
      </c>
      <c r="C26">
        <v>4</v>
      </c>
      <c r="D26" s="4" t="s">
        <v>29</v>
      </c>
      <c r="E26" s="4">
        <v>-0.46774193548387105</v>
      </c>
      <c r="F26">
        <f t="shared" si="0"/>
        <v>2.1505376344086058E-2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6">
        <v>1</v>
      </c>
      <c r="S26" s="7"/>
      <c r="T26" s="7"/>
      <c r="U26" s="7"/>
      <c r="V26" s="7"/>
      <c r="W26" s="7"/>
    </row>
    <row r="27" spans="1:23" ht="15.5" x14ac:dyDescent="0.35">
      <c r="A27" s="4" t="s">
        <v>215</v>
      </c>
      <c r="B27" s="4">
        <v>8</v>
      </c>
      <c r="C27">
        <v>4</v>
      </c>
      <c r="D27" s="4" t="s">
        <v>31</v>
      </c>
      <c r="E27" s="4">
        <v>-0.46236559139784955</v>
      </c>
      <c r="F27">
        <f t="shared" si="0"/>
        <v>2.6881720430107559E-2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6">
        <v>1</v>
      </c>
      <c r="S27" s="7"/>
      <c r="T27" s="7"/>
      <c r="U27" s="7"/>
      <c r="V27" s="7"/>
      <c r="W27" s="7"/>
    </row>
    <row r="28" spans="1:23" ht="15.5" x14ac:dyDescent="0.35">
      <c r="A28" s="4" t="s">
        <v>215</v>
      </c>
      <c r="B28" s="4">
        <v>8</v>
      </c>
      <c r="C28">
        <v>5</v>
      </c>
      <c r="D28" s="4" t="s">
        <v>32</v>
      </c>
      <c r="E28" s="4">
        <v>-0.47956989247311838</v>
      </c>
      <c r="F28">
        <f t="shared" si="0"/>
        <v>9.6774193548387344E-3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6">
        <v>1</v>
      </c>
      <c r="S28" s="7"/>
      <c r="T28" s="7"/>
      <c r="U28" s="7"/>
      <c r="V28" s="7"/>
      <c r="W28" s="7"/>
    </row>
    <row r="29" spans="1:23" ht="15.5" x14ac:dyDescent="0.35">
      <c r="A29" s="4" t="s">
        <v>214</v>
      </c>
      <c r="B29" s="4">
        <v>9</v>
      </c>
      <c r="C29">
        <v>5</v>
      </c>
      <c r="D29" s="4" t="s">
        <v>37</v>
      </c>
      <c r="E29" s="4">
        <v>0.2978494623655914</v>
      </c>
      <c r="F29">
        <f t="shared" si="0"/>
        <v>0.78709677419354851</v>
      </c>
      <c r="G29" s="6">
        <v>0.25</v>
      </c>
      <c r="H29" s="6">
        <v>0.25</v>
      </c>
      <c r="I29" s="7"/>
      <c r="J29" s="7"/>
      <c r="K29" s="6">
        <v>0.25</v>
      </c>
      <c r="L29" s="6">
        <v>0.25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ht="15.5" x14ac:dyDescent="0.35">
      <c r="A30" s="4" t="s">
        <v>214</v>
      </c>
      <c r="B30" s="4">
        <v>9</v>
      </c>
      <c r="C30">
        <v>4</v>
      </c>
      <c r="D30" s="4" t="s">
        <v>36</v>
      </c>
      <c r="E30" s="4">
        <v>0.26451612903225807</v>
      </c>
      <c r="F30">
        <f t="shared" si="0"/>
        <v>0.75376344086021518</v>
      </c>
      <c r="G30" s="6">
        <v>0.25</v>
      </c>
      <c r="H30" s="6">
        <v>0.25</v>
      </c>
      <c r="I30" s="7"/>
      <c r="J30" s="7"/>
      <c r="K30" s="6">
        <v>0.25</v>
      </c>
      <c r="L30" s="6">
        <v>0.25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ht="15.5" x14ac:dyDescent="0.35">
      <c r="A31" s="4" t="s">
        <v>214</v>
      </c>
      <c r="B31" s="4">
        <v>9</v>
      </c>
      <c r="C31">
        <v>3</v>
      </c>
      <c r="D31" s="4" t="s">
        <v>35</v>
      </c>
      <c r="E31" s="4">
        <v>0.21935483870967748</v>
      </c>
      <c r="F31">
        <f t="shared" si="0"/>
        <v>0.70860215053763453</v>
      </c>
      <c r="G31" s="6">
        <v>0.25</v>
      </c>
      <c r="H31" s="6">
        <v>0.25</v>
      </c>
      <c r="I31" s="7"/>
      <c r="J31" s="7"/>
      <c r="K31" s="6">
        <v>0.25</v>
      </c>
      <c r="L31" s="6">
        <v>0.25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ht="15.5" x14ac:dyDescent="0.35">
      <c r="A32" s="4" t="s">
        <v>214</v>
      </c>
      <c r="B32" s="4">
        <v>9</v>
      </c>
      <c r="C32">
        <v>1</v>
      </c>
      <c r="D32" s="4" t="s">
        <v>33</v>
      </c>
      <c r="E32" s="4">
        <v>0.20860215053763445</v>
      </c>
      <c r="F32">
        <f t="shared" si="0"/>
        <v>0.69784946236559153</v>
      </c>
      <c r="G32" s="6">
        <v>0.25</v>
      </c>
      <c r="H32" s="6">
        <v>0.25</v>
      </c>
      <c r="I32" s="7"/>
      <c r="J32" s="7"/>
      <c r="K32" s="6">
        <v>0.25</v>
      </c>
      <c r="L32" s="6">
        <v>0.25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ht="15.5" x14ac:dyDescent="0.35">
      <c r="A33" s="4" t="s">
        <v>214</v>
      </c>
      <c r="B33" s="4">
        <v>9</v>
      </c>
      <c r="C33">
        <v>2</v>
      </c>
      <c r="D33" s="4" t="s">
        <v>34</v>
      </c>
      <c r="E33" s="4">
        <v>0.20860215053763445</v>
      </c>
      <c r="F33">
        <f t="shared" si="0"/>
        <v>0.69784946236559153</v>
      </c>
      <c r="G33" s="6">
        <v>0.25</v>
      </c>
      <c r="H33" s="6">
        <v>0.25</v>
      </c>
      <c r="I33" s="7"/>
      <c r="J33" s="7"/>
      <c r="K33" s="6">
        <v>0.25</v>
      </c>
      <c r="L33" s="6">
        <v>0.25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ht="15.5" x14ac:dyDescent="0.35">
      <c r="A34" s="4" t="s">
        <v>214</v>
      </c>
      <c r="B34" s="4">
        <v>10</v>
      </c>
      <c r="C34">
        <v>5</v>
      </c>
      <c r="D34" s="4" t="s">
        <v>42</v>
      </c>
      <c r="E34" s="4">
        <v>0.2978494623655914</v>
      </c>
      <c r="F34">
        <f t="shared" si="0"/>
        <v>0.78709677419354851</v>
      </c>
      <c r="G34" s="6">
        <v>0.2</v>
      </c>
      <c r="H34" s="6">
        <v>0.2</v>
      </c>
      <c r="I34" s="6">
        <v>0.2</v>
      </c>
      <c r="J34" s="7"/>
      <c r="K34" s="6">
        <v>0.2</v>
      </c>
      <c r="L34" s="6">
        <v>0.2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ht="15.5" x14ac:dyDescent="0.35">
      <c r="A35" s="4" t="s">
        <v>214</v>
      </c>
      <c r="B35" s="4">
        <v>10</v>
      </c>
      <c r="C35">
        <v>4</v>
      </c>
      <c r="D35" s="4" t="s">
        <v>41</v>
      </c>
      <c r="E35" s="4">
        <v>0.26451612903225807</v>
      </c>
      <c r="F35">
        <f t="shared" si="0"/>
        <v>0.75376344086021518</v>
      </c>
      <c r="G35" s="6">
        <v>0.2</v>
      </c>
      <c r="H35" s="6">
        <v>0.2</v>
      </c>
      <c r="I35" s="6">
        <v>0.2</v>
      </c>
      <c r="J35" s="7"/>
      <c r="K35" s="6">
        <v>0.2</v>
      </c>
      <c r="L35" s="6">
        <v>0.2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ht="15.5" x14ac:dyDescent="0.35">
      <c r="A36" s="4" t="s">
        <v>214</v>
      </c>
      <c r="B36" s="4">
        <v>10</v>
      </c>
      <c r="C36">
        <v>3</v>
      </c>
      <c r="D36" s="4" t="s">
        <v>40</v>
      </c>
      <c r="E36" s="4">
        <v>0.21935483870967748</v>
      </c>
      <c r="F36">
        <f t="shared" si="0"/>
        <v>0.70860215053763453</v>
      </c>
      <c r="G36" s="6">
        <v>0.2</v>
      </c>
      <c r="H36" s="6">
        <v>0.2</v>
      </c>
      <c r="I36" s="6">
        <v>0.2</v>
      </c>
      <c r="J36" s="7"/>
      <c r="K36" s="6">
        <v>0.2</v>
      </c>
      <c r="L36" s="6">
        <v>0.2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ht="15.5" x14ac:dyDescent="0.35">
      <c r="A37" s="4" t="s">
        <v>214</v>
      </c>
      <c r="B37" s="4">
        <v>10</v>
      </c>
      <c r="C37">
        <v>1</v>
      </c>
      <c r="D37" s="4" t="s">
        <v>38</v>
      </c>
      <c r="E37" s="4">
        <v>0.20860215053763445</v>
      </c>
      <c r="F37">
        <f t="shared" si="0"/>
        <v>0.69784946236559153</v>
      </c>
      <c r="G37" s="6">
        <v>0.2</v>
      </c>
      <c r="H37" s="6">
        <v>0.2</v>
      </c>
      <c r="I37" s="6">
        <v>0.2</v>
      </c>
      <c r="J37" s="7"/>
      <c r="K37" s="6">
        <v>0.2</v>
      </c>
      <c r="L37" s="6">
        <v>0.2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ht="15.5" x14ac:dyDescent="0.35">
      <c r="A38" s="4" t="s">
        <v>214</v>
      </c>
      <c r="B38" s="4">
        <v>10</v>
      </c>
      <c r="C38">
        <v>2</v>
      </c>
      <c r="D38" s="4" t="s">
        <v>39</v>
      </c>
      <c r="E38" s="4">
        <v>0.20860215053763445</v>
      </c>
      <c r="F38">
        <f t="shared" si="0"/>
        <v>0.69784946236559153</v>
      </c>
      <c r="G38" s="6">
        <v>0.2</v>
      </c>
      <c r="H38" s="6">
        <v>0.2</v>
      </c>
      <c r="I38" s="6">
        <v>0.2</v>
      </c>
      <c r="J38" s="7"/>
      <c r="K38" s="6">
        <v>0.2</v>
      </c>
      <c r="L38" s="6">
        <v>0.2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ht="15.5" x14ac:dyDescent="0.35">
      <c r="A39" s="4" t="s">
        <v>214</v>
      </c>
      <c r="B39" s="4">
        <v>11</v>
      </c>
      <c r="C39">
        <v>3</v>
      </c>
      <c r="D39" s="4" t="s">
        <v>45</v>
      </c>
      <c r="E39" s="4">
        <v>0.34086021505376352</v>
      </c>
      <c r="F39">
        <f t="shared" si="0"/>
        <v>0.83010752688172063</v>
      </c>
      <c r="G39" s="7"/>
      <c r="H39" s="6">
        <v>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ht="15.5" x14ac:dyDescent="0.35">
      <c r="A40" s="4" t="s">
        <v>214</v>
      </c>
      <c r="B40" s="4">
        <v>11</v>
      </c>
      <c r="C40">
        <v>5</v>
      </c>
      <c r="D40" s="4" t="s">
        <v>47</v>
      </c>
      <c r="E40" s="4">
        <v>0.2978494623655914</v>
      </c>
      <c r="F40">
        <f t="shared" si="0"/>
        <v>0.78709677419354851</v>
      </c>
      <c r="G40" s="7"/>
      <c r="H40" s="6">
        <v>1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 ht="15.5" x14ac:dyDescent="0.35">
      <c r="A41" s="4" t="s">
        <v>214</v>
      </c>
      <c r="B41" s="4">
        <v>11</v>
      </c>
      <c r="C41">
        <v>4</v>
      </c>
      <c r="D41" s="4" t="s">
        <v>46</v>
      </c>
      <c r="E41" s="4">
        <v>0.26451612903225807</v>
      </c>
      <c r="F41">
        <f t="shared" si="0"/>
        <v>0.75376344086021518</v>
      </c>
      <c r="G41" s="7"/>
      <c r="H41" s="6">
        <v>1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 ht="15.5" x14ac:dyDescent="0.35">
      <c r="A42" s="4" t="s">
        <v>214</v>
      </c>
      <c r="B42" s="4">
        <v>11</v>
      </c>
      <c r="C42">
        <v>1</v>
      </c>
      <c r="D42" s="4" t="s">
        <v>43</v>
      </c>
      <c r="E42" s="4">
        <v>0.20860215053763445</v>
      </c>
      <c r="F42">
        <f t="shared" si="0"/>
        <v>0.69784946236559153</v>
      </c>
      <c r="G42" s="7"/>
      <c r="H42" s="6">
        <v>1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ht="15.5" x14ac:dyDescent="0.35">
      <c r="A43" s="4" t="s">
        <v>214</v>
      </c>
      <c r="B43" s="4">
        <v>11</v>
      </c>
      <c r="C43">
        <v>2</v>
      </c>
      <c r="D43" s="4" t="s">
        <v>44</v>
      </c>
      <c r="E43" s="4">
        <v>0.20860215053763445</v>
      </c>
      <c r="F43">
        <f t="shared" si="0"/>
        <v>0.69784946236559153</v>
      </c>
      <c r="G43" s="7"/>
      <c r="H43" s="6">
        <v>1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 ht="15.5" x14ac:dyDescent="0.35">
      <c r="A44" s="4" t="s">
        <v>214</v>
      </c>
      <c r="B44" s="4">
        <v>12</v>
      </c>
      <c r="C44">
        <v>4</v>
      </c>
      <c r="D44" s="4" t="s">
        <v>51</v>
      </c>
      <c r="E44" s="4">
        <v>9.354838709677421E-2</v>
      </c>
      <c r="F44">
        <f t="shared" si="0"/>
        <v>0.58279569892473138</v>
      </c>
      <c r="G44" s="6">
        <v>1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 ht="15.5" x14ac:dyDescent="0.35">
      <c r="A45" s="4" t="s">
        <v>214</v>
      </c>
      <c r="B45" s="4">
        <v>12</v>
      </c>
      <c r="C45">
        <v>3</v>
      </c>
      <c r="D45" s="4" t="s">
        <v>50</v>
      </c>
      <c r="E45" s="4">
        <v>4.8387096774193561E-2</v>
      </c>
      <c r="F45">
        <f t="shared" si="0"/>
        <v>0.53763440860215073</v>
      </c>
      <c r="G45" s="8">
        <v>1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 ht="15.5" x14ac:dyDescent="0.35">
      <c r="A46" s="4" t="s">
        <v>214</v>
      </c>
      <c r="B46" s="4">
        <v>12</v>
      </c>
      <c r="C46">
        <v>1</v>
      </c>
      <c r="D46" s="4" t="s">
        <v>48</v>
      </c>
      <c r="E46" s="4">
        <v>3.763440860215056E-2</v>
      </c>
      <c r="F46">
        <f t="shared" si="0"/>
        <v>0.52688172043010773</v>
      </c>
      <c r="G46" s="6">
        <v>1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 ht="15.5" x14ac:dyDescent="0.35">
      <c r="A47" s="4" t="s">
        <v>214</v>
      </c>
      <c r="B47" s="4">
        <v>12</v>
      </c>
      <c r="C47">
        <v>2</v>
      </c>
      <c r="D47" s="4" t="s">
        <v>49</v>
      </c>
      <c r="E47" s="4">
        <v>3.763440860215056E-2</v>
      </c>
      <c r="F47">
        <f t="shared" si="0"/>
        <v>0.52688172043010773</v>
      </c>
      <c r="G47" s="8">
        <v>1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 ht="15.5" x14ac:dyDescent="0.35">
      <c r="A48" s="4" t="s">
        <v>214</v>
      </c>
      <c r="B48" s="4">
        <v>12</v>
      </c>
      <c r="C48">
        <v>5</v>
      </c>
      <c r="D48" s="4" t="s">
        <v>52</v>
      </c>
      <c r="E48" s="4">
        <v>3.1182795698924737E-2</v>
      </c>
      <c r="F48">
        <f t="shared" si="0"/>
        <v>0.52043010752688179</v>
      </c>
      <c r="G48" s="6">
        <v>1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 ht="15.5" x14ac:dyDescent="0.35">
      <c r="A49" s="4" t="s">
        <v>214</v>
      </c>
      <c r="B49" s="4">
        <v>13</v>
      </c>
      <c r="C49">
        <v>5</v>
      </c>
      <c r="D49" s="4" t="s">
        <v>55</v>
      </c>
      <c r="E49" s="4">
        <v>-4.8387096774193616E-2</v>
      </c>
      <c r="F49">
        <f t="shared" si="0"/>
        <v>0.44086021505376349</v>
      </c>
      <c r="G49" s="6">
        <v>0.2</v>
      </c>
      <c r="H49" s="6">
        <v>0.2</v>
      </c>
      <c r="I49" s="6">
        <v>0.2</v>
      </c>
      <c r="J49" s="7"/>
      <c r="K49" s="6">
        <v>0.2</v>
      </c>
      <c r="L49" s="6">
        <v>0.2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 ht="15.5" x14ac:dyDescent="0.35">
      <c r="A50" s="4" t="s">
        <v>214</v>
      </c>
      <c r="B50" s="4">
        <v>13</v>
      </c>
      <c r="C50">
        <v>4</v>
      </c>
      <c r="D50" s="4" t="s">
        <v>54</v>
      </c>
      <c r="E50" s="4">
        <v>-0.11827956989247307</v>
      </c>
      <c r="F50">
        <f t="shared" si="0"/>
        <v>0.37096774193548404</v>
      </c>
      <c r="G50" s="6">
        <v>0.2</v>
      </c>
      <c r="H50" s="6">
        <v>0.2</v>
      </c>
      <c r="I50" s="6">
        <v>0.2</v>
      </c>
      <c r="J50" s="7"/>
      <c r="K50" s="6">
        <v>0.2</v>
      </c>
      <c r="L50" s="6">
        <v>0.2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ht="15.5" x14ac:dyDescent="0.35">
      <c r="A51" s="4" t="s">
        <v>214</v>
      </c>
      <c r="B51" s="4">
        <v>13</v>
      </c>
      <c r="C51">
        <v>3</v>
      </c>
      <c r="D51" s="4" t="s">
        <v>53</v>
      </c>
      <c r="E51" s="4">
        <v>-0.20860215053763437</v>
      </c>
      <c r="F51">
        <f t="shared" si="0"/>
        <v>0.28064516129032274</v>
      </c>
      <c r="G51" s="6">
        <v>0.2</v>
      </c>
      <c r="H51" s="6">
        <v>0.2</v>
      </c>
      <c r="I51" s="6">
        <v>0.2</v>
      </c>
      <c r="J51" s="7"/>
      <c r="K51" s="6">
        <v>0.2</v>
      </c>
      <c r="L51" s="6">
        <v>0.2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ht="15.5" x14ac:dyDescent="0.35">
      <c r="A52" s="4" t="s">
        <v>214</v>
      </c>
      <c r="B52" s="4">
        <v>14</v>
      </c>
      <c r="C52">
        <v>5</v>
      </c>
      <c r="D52" s="4" t="s">
        <v>58</v>
      </c>
      <c r="E52" s="4">
        <v>-1.6129032258064502E-2</v>
      </c>
      <c r="F52">
        <f t="shared" si="0"/>
        <v>0.47311827956989261</v>
      </c>
      <c r="G52" s="7"/>
      <c r="H52" s="7"/>
      <c r="I52" s="7"/>
      <c r="J52" s="6">
        <v>0.1</v>
      </c>
      <c r="K52" s="6">
        <v>0.1</v>
      </c>
      <c r="L52" s="6">
        <v>0.1</v>
      </c>
      <c r="M52" s="6">
        <v>0.1</v>
      </c>
      <c r="N52" s="6">
        <v>0.1</v>
      </c>
      <c r="O52" s="6">
        <v>0.1</v>
      </c>
      <c r="P52" s="6">
        <v>0.1</v>
      </c>
      <c r="Q52" s="6">
        <v>0.1</v>
      </c>
      <c r="R52" s="6">
        <v>0.1</v>
      </c>
      <c r="S52" s="6">
        <v>0.1</v>
      </c>
      <c r="T52" s="7"/>
      <c r="U52" s="7"/>
      <c r="V52" s="7"/>
      <c r="W52" s="7"/>
    </row>
    <row r="53" spans="1:23" ht="15.5" x14ac:dyDescent="0.35">
      <c r="A53" s="4" t="s">
        <v>214</v>
      </c>
      <c r="B53" s="4">
        <v>14</v>
      </c>
      <c r="C53">
        <v>4</v>
      </c>
      <c r="D53" s="4" t="s">
        <v>57</v>
      </c>
      <c r="E53" s="4">
        <v>-0.1064516129032258</v>
      </c>
      <c r="F53">
        <f t="shared" si="0"/>
        <v>0.38279569892473131</v>
      </c>
      <c r="G53" s="7"/>
      <c r="H53" s="7"/>
      <c r="I53" s="7"/>
      <c r="J53" s="6">
        <v>0.1</v>
      </c>
      <c r="K53" s="6">
        <v>0.1</v>
      </c>
      <c r="L53" s="6">
        <v>0.1</v>
      </c>
      <c r="M53" s="6">
        <v>0.1</v>
      </c>
      <c r="N53" s="6">
        <v>0.1</v>
      </c>
      <c r="O53" s="6">
        <v>0.1</v>
      </c>
      <c r="P53" s="6">
        <v>0.1</v>
      </c>
      <c r="Q53" s="6">
        <v>0.1</v>
      </c>
      <c r="R53" s="6">
        <v>0.1</v>
      </c>
      <c r="S53" s="6">
        <v>0.1</v>
      </c>
      <c r="T53" s="7"/>
      <c r="U53" s="7"/>
      <c r="V53" s="7"/>
      <c r="W53" s="7"/>
    </row>
    <row r="54" spans="1:23" ht="15.5" x14ac:dyDescent="0.35">
      <c r="A54" s="4" t="s">
        <v>214</v>
      </c>
      <c r="B54" s="4">
        <v>14</v>
      </c>
      <c r="C54">
        <v>3</v>
      </c>
      <c r="D54" s="4" t="s">
        <v>56</v>
      </c>
      <c r="E54" s="4">
        <v>-0.1118279569892473</v>
      </c>
      <c r="F54">
        <f t="shared" si="0"/>
        <v>0.37741935483870981</v>
      </c>
      <c r="G54" s="7"/>
      <c r="H54" s="7"/>
      <c r="I54" s="7"/>
      <c r="J54" s="6">
        <v>0.1</v>
      </c>
      <c r="K54" s="6">
        <v>0.1</v>
      </c>
      <c r="L54" s="6">
        <v>0.1</v>
      </c>
      <c r="M54" s="6">
        <v>0.1</v>
      </c>
      <c r="N54" s="6">
        <v>0.1</v>
      </c>
      <c r="O54" s="6">
        <v>0.1</v>
      </c>
      <c r="P54" s="6">
        <v>0.1</v>
      </c>
      <c r="Q54" s="6">
        <v>0.1</v>
      </c>
      <c r="R54" s="6">
        <v>0.1</v>
      </c>
      <c r="S54" s="6">
        <v>0.1</v>
      </c>
      <c r="T54" s="7"/>
      <c r="U54" s="7"/>
      <c r="V54" s="7"/>
      <c r="W54" s="7"/>
    </row>
    <row r="55" spans="1:23" ht="15.5" x14ac:dyDescent="0.35">
      <c r="A55" s="4" t="s">
        <v>214</v>
      </c>
      <c r="B55" s="4">
        <v>15</v>
      </c>
      <c r="C55">
        <v>4</v>
      </c>
      <c r="D55" s="4" t="s">
        <v>62</v>
      </c>
      <c r="E55" s="4">
        <v>9.354838709677421E-2</v>
      </c>
      <c r="F55">
        <f t="shared" si="0"/>
        <v>0.58279569892473138</v>
      </c>
      <c r="G55" s="7"/>
      <c r="H55" s="7"/>
      <c r="I55" s="7"/>
      <c r="J55" s="7"/>
      <c r="K55" s="6">
        <v>0.5</v>
      </c>
      <c r="L55" s="6">
        <v>0.5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 ht="15.5" x14ac:dyDescent="0.35">
      <c r="A56" s="4" t="s">
        <v>214</v>
      </c>
      <c r="B56" s="4">
        <v>15</v>
      </c>
      <c r="C56">
        <v>3</v>
      </c>
      <c r="D56" s="4" t="s">
        <v>61</v>
      </c>
      <c r="E56" s="4">
        <v>4.8387096774193561E-2</v>
      </c>
      <c r="F56">
        <f t="shared" si="0"/>
        <v>0.53763440860215073</v>
      </c>
      <c r="G56" s="7"/>
      <c r="H56" s="7"/>
      <c r="I56" s="7"/>
      <c r="J56" s="7"/>
      <c r="K56" s="6">
        <v>0.5</v>
      </c>
      <c r="L56" s="6">
        <v>0.5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1:23" ht="15.5" x14ac:dyDescent="0.35">
      <c r="A57" s="4" t="s">
        <v>214</v>
      </c>
      <c r="B57" s="4">
        <v>15</v>
      </c>
      <c r="C57">
        <v>1</v>
      </c>
      <c r="D57" s="4" t="s">
        <v>59</v>
      </c>
      <c r="E57" s="4">
        <v>3.763440860215056E-2</v>
      </c>
      <c r="F57">
        <f t="shared" si="0"/>
        <v>0.52688172043010773</v>
      </c>
      <c r="G57" s="7"/>
      <c r="H57" s="7"/>
      <c r="I57" s="7"/>
      <c r="J57" s="7"/>
      <c r="K57" s="6">
        <v>0.5</v>
      </c>
      <c r="L57" s="6">
        <v>0.5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 ht="15.5" x14ac:dyDescent="0.35">
      <c r="A58" s="4" t="s">
        <v>214</v>
      </c>
      <c r="B58" s="4">
        <v>15</v>
      </c>
      <c r="C58">
        <v>2</v>
      </c>
      <c r="D58" s="4" t="s">
        <v>60</v>
      </c>
      <c r="E58" s="4">
        <v>3.763440860215056E-2</v>
      </c>
      <c r="F58">
        <f t="shared" si="0"/>
        <v>0.52688172043010773</v>
      </c>
      <c r="G58" s="7"/>
      <c r="H58" s="7"/>
      <c r="I58" s="7"/>
      <c r="J58" s="7"/>
      <c r="K58" s="6">
        <v>0.5</v>
      </c>
      <c r="L58" s="6">
        <v>0.5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 ht="15.5" x14ac:dyDescent="0.35">
      <c r="A59" s="4" t="s">
        <v>214</v>
      </c>
      <c r="B59" s="4">
        <v>15</v>
      </c>
      <c r="C59">
        <v>5</v>
      </c>
      <c r="D59" s="4" t="s">
        <v>63</v>
      </c>
      <c r="E59" s="4">
        <v>3.1182795698924737E-2</v>
      </c>
      <c r="F59">
        <f t="shared" si="0"/>
        <v>0.52043010752688179</v>
      </c>
      <c r="G59" s="7"/>
      <c r="H59" s="7"/>
      <c r="I59" s="7"/>
      <c r="J59" s="7"/>
      <c r="K59" s="6">
        <v>0.5</v>
      </c>
      <c r="L59" s="6">
        <v>0.5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 ht="15.5" x14ac:dyDescent="0.35">
      <c r="A60" s="4" t="s">
        <v>214</v>
      </c>
      <c r="B60" s="4">
        <v>16</v>
      </c>
      <c r="C60">
        <v>3</v>
      </c>
      <c r="D60" s="4" t="s">
        <v>66</v>
      </c>
      <c r="E60" s="4">
        <v>0.34086021505376352</v>
      </c>
      <c r="F60">
        <f t="shared" si="0"/>
        <v>0.83010752688172063</v>
      </c>
      <c r="G60" s="7"/>
      <c r="H60" s="7"/>
      <c r="I60" s="7"/>
      <c r="J60" s="7"/>
      <c r="K60" s="7"/>
      <c r="L60" s="7"/>
      <c r="M60" s="7"/>
      <c r="N60" s="7"/>
      <c r="O60" s="6">
        <v>0.5</v>
      </c>
      <c r="P60" s="7"/>
      <c r="Q60" s="7"/>
      <c r="R60" s="7"/>
      <c r="S60" s="6">
        <v>0.5</v>
      </c>
      <c r="T60" s="7"/>
      <c r="U60" s="7"/>
      <c r="V60" s="7"/>
      <c r="W60" s="7"/>
    </row>
    <row r="61" spans="1:23" ht="15.5" x14ac:dyDescent="0.35">
      <c r="A61" s="4" t="s">
        <v>214</v>
      </c>
      <c r="B61" s="4">
        <v>16</v>
      </c>
      <c r="C61">
        <v>2</v>
      </c>
      <c r="D61" s="4" t="s">
        <v>65</v>
      </c>
      <c r="E61" s="4">
        <v>0.31182795698924737</v>
      </c>
      <c r="F61">
        <f t="shared" si="0"/>
        <v>0.80107526881720448</v>
      </c>
      <c r="G61" s="7"/>
      <c r="H61" s="7"/>
      <c r="I61" s="7"/>
      <c r="J61" s="7"/>
      <c r="K61" s="7"/>
      <c r="L61" s="7"/>
      <c r="M61" s="7"/>
      <c r="N61" s="7"/>
      <c r="O61" s="6">
        <v>0.5</v>
      </c>
      <c r="P61" s="7"/>
      <c r="Q61" s="7"/>
      <c r="R61" s="7"/>
      <c r="S61" s="6">
        <v>0.5</v>
      </c>
      <c r="T61" s="7"/>
      <c r="U61" s="7"/>
      <c r="V61" s="7"/>
      <c r="W61" s="7"/>
    </row>
    <row r="62" spans="1:23" ht="15.5" x14ac:dyDescent="0.35">
      <c r="A62" s="4" t="s">
        <v>214</v>
      </c>
      <c r="B62" s="4">
        <v>16</v>
      </c>
      <c r="C62">
        <v>5</v>
      </c>
      <c r="D62" s="4" t="s">
        <v>68</v>
      </c>
      <c r="E62" s="4">
        <v>0.2978494623655914</v>
      </c>
      <c r="F62">
        <f t="shared" si="0"/>
        <v>0.78709677419354851</v>
      </c>
      <c r="G62" s="7"/>
      <c r="H62" s="7"/>
      <c r="I62" s="7"/>
      <c r="J62" s="7"/>
      <c r="K62" s="7"/>
      <c r="L62" s="7"/>
      <c r="M62" s="7"/>
      <c r="N62" s="7"/>
      <c r="O62" s="6">
        <v>0.5</v>
      </c>
      <c r="P62" s="7"/>
      <c r="Q62" s="7"/>
      <c r="R62" s="7"/>
      <c r="S62" s="6">
        <v>0.5</v>
      </c>
      <c r="T62" s="7"/>
      <c r="U62" s="7"/>
      <c r="V62" s="7"/>
      <c r="W62" s="7"/>
    </row>
    <row r="63" spans="1:23" ht="15.5" x14ac:dyDescent="0.35">
      <c r="A63" s="4" t="s">
        <v>214</v>
      </c>
      <c r="B63" s="4">
        <v>16</v>
      </c>
      <c r="C63">
        <v>4</v>
      </c>
      <c r="D63" s="4" t="s">
        <v>67</v>
      </c>
      <c r="E63" s="4">
        <v>0.26451612903225807</v>
      </c>
      <c r="F63">
        <f t="shared" si="0"/>
        <v>0.75376344086021518</v>
      </c>
      <c r="G63" s="7"/>
      <c r="H63" s="7"/>
      <c r="I63" s="7"/>
      <c r="J63" s="7"/>
      <c r="K63" s="7"/>
      <c r="L63" s="7"/>
      <c r="M63" s="7"/>
      <c r="N63" s="7"/>
      <c r="O63" s="6">
        <v>0.5</v>
      </c>
      <c r="P63" s="7"/>
      <c r="Q63" s="7"/>
      <c r="R63" s="7"/>
      <c r="S63" s="6">
        <v>0.5</v>
      </c>
      <c r="T63" s="7"/>
      <c r="U63" s="7"/>
      <c r="V63" s="7"/>
      <c r="W63" s="7"/>
    </row>
    <row r="64" spans="1:23" ht="15.5" x14ac:dyDescent="0.35">
      <c r="A64" s="4" t="s">
        <v>214</v>
      </c>
      <c r="B64" s="4">
        <v>16</v>
      </c>
      <c r="C64">
        <v>1</v>
      </c>
      <c r="D64" s="4" t="s">
        <v>64</v>
      </c>
      <c r="E64" s="4">
        <v>0.20860215053763445</v>
      </c>
      <c r="F64">
        <f t="shared" si="0"/>
        <v>0.69784946236559153</v>
      </c>
      <c r="G64" s="7"/>
      <c r="H64" s="7"/>
      <c r="I64" s="7"/>
      <c r="J64" s="7"/>
      <c r="K64" s="7"/>
      <c r="L64" s="7"/>
      <c r="M64" s="7"/>
      <c r="N64" s="7"/>
      <c r="O64" s="6">
        <v>0.5</v>
      </c>
      <c r="P64" s="7"/>
      <c r="Q64" s="7"/>
      <c r="R64" s="7"/>
      <c r="S64" s="6">
        <v>0.5</v>
      </c>
      <c r="T64" s="7"/>
      <c r="U64" s="7"/>
      <c r="V64" s="7"/>
      <c r="W64" s="7"/>
    </row>
    <row r="65" spans="1:23" ht="15.5" x14ac:dyDescent="0.35">
      <c r="A65" s="4" t="s">
        <v>214</v>
      </c>
      <c r="B65" s="4">
        <v>17</v>
      </c>
      <c r="C65">
        <v>4</v>
      </c>
      <c r="D65" s="4" t="s">
        <v>72</v>
      </c>
      <c r="E65" s="4">
        <v>1.2903225806451646E-2</v>
      </c>
      <c r="F65">
        <f t="shared" si="0"/>
        <v>0.50215053763440876</v>
      </c>
      <c r="G65" s="7"/>
      <c r="H65" s="7"/>
      <c r="I65" s="7"/>
      <c r="J65" s="7"/>
      <c r="K65" s="7"/>
      <c r="L65" s="7"/>
      <c r="M65" s="7"/>
      <c r="N65" s="7"/>
      <c r="O65" s="6">
        <v>0.5</v>
      </c>
      <c r="P65" s="7"/>
      <c r="Q65" s="7"/>
      <c r="R65" s="7"/>
      <c r="S65" s="6">
        <v>0.5</v>
      </c>
      <c r="T65" s="7"/>
      <c r="U65" s="7"/>
      <c r="V65" s="7"/>
      <c r="W65" s="7"/>
    </row>
    <row r="66" spans="1:23" ht="15.5" x14ac:dyDescent="0.35">
      <c r="A66" s="4" t="s">
        <v>214</v>
      </c>
      <c r="B66" s="4">
        <v>17</v>
      </c>
      <c r="C66">
        <v>2</v>
      </c>
      <c r="D66" s="4" t="s">
        <v>70</v>
      </c>
      <c r="E66" s="4">
        <v>-6.4516129032257674E-3</v>
      </c>
      <c r="F66">
        <f t="shared" si="0"/>
        <v>0.48279569892473134</v>
      </c>
      <c r="G66" s="7"/>
      <c r="H66" s="7"/>
      <c r="I66" s="7"/>
      <c r="J66" s="7"/>
      <c r="K66" s="7"/>
      <c r="L66" s="7"/>
      <c r="M66" s="7"/>
      <c r="N66" s="7"/>
      <c r="O66" s="6">
        <v>0.5</v>
      </c>
      <c r="P66" s="7"/>
      <c r="Q66" s="7"/>
      <c r="R66" s="7"/>
      <c r="S66" s="6">
        <v>0.5</v>
      </c>
      <c r="T66" s="7"/>
      <c r="U66" s="7"/>
      <c r="V66" s="7"/>
      <c r="W66" s="7"/>
    </row>
    <row r="67" spans="1:23" ht="15.5" x14ac:dyDescent="0.35">
      <c r="A67" s="4" t="s">
        <v>214</v>
      </c>
      <c r="B67" s="4">
        <v>17</v>
      </c>
      <c r="C67">
        <v>1</v>
      </c>
      <c r="D67" s="4" t="s">
        <v>69</v>
      </c>
      <c r="E67" s="4">
        <v>-3.5483870967741915E-2</v>
      </c>
      <c r="F67">
        <f t="shared" ref="F67:F130" si="1">E67-$E$121</f>
        <v>0.45376344086021519</v>
      </c>
      <c r="G67" s="7"/>
      <c r="H67" s="7"/>
      <c r="I67" s="7"/>
      <c r="J67" s="7"/>
      <c r="K67" s="7"/>
      <c r="L67" s="7"/>
      <c r="M67" s="7"/>
      <c r="N67" s="7"/>
      <c r="O67" s="6">
        <v>0.5</v>
      </c>
      <c r="P67" s="7"/>
      <c r="Q67" s="7"/>
      <c r="R67" s="7"/>
      <c r="S67" s="6">
        <v>0.5</v>
      </c>
      <c r="T67" s="7"/>
      <c r="U67" s="7"/>
      <c r="V67" s="7"/>
      <c r="W67" s="7"/>
    </row>
    <row r="68" spans="1:23" ht="15.5" x14ac:dyDescent="0.35">
      <c r="A68" s="4" t="s">
        <v>214</v>
      </c>
      <c r="B68" s="4">
        <v>17</v>
      </c>
      <c r="C68">
        <v>5</v>
      </c>
      <c r="D68" s="4" t="s">
        <v>73</v>
      </c>
      <c r="E68" s="4">
        <v>-4.9462365591397828E-2</v>
      </c>
      <c r="F68">
        <f t="shared" si="1"/>
        <v>0.43978494623655928</v>
      </c>
      <c r="G68" s="7"/>
      <c r="H68" s="7"/>
      <c r="I68" s="7"/>
      <c r="J68" s="7"/>
      <c r="K68" s="7"/>
      <c r="L68" s="7"/>
      <c r="M68" s="7"/>
      <c r="N68" s="7"/>
      <c r="O68" s="6">
        <v>0.5</v>
      </c>
      <c r="P68" s="7"/>
      <c r="Q68" s="7"/>
      <c r="R68" s="7"/>
      <c r="S68" s="6">
        <v>0.5</v>
      </c>
      <c r="T68" s="7"/>
      <c r="U68" s="7"/>
      <c r="V68" s="7"/>
      <c r="W68" s="7"/>
    </row>
    <row r="69" spans="1:23" ht="15.5" x14ac:dyDescent="0.35">
      <c r="A69" s="4" t="s">
        <v>214</v>
      </c>
      <c r="B69" s="4">
        <v>17</v>
      </c>
      <c r="C69">
        <v>3</v>
      </c>
      <c r="D69" s="4" t="s">
        <v>71</v>
      </c>
      <c r="E69" s="4">
        <v>-8.2795698924731154E-2</v>
      </c>
      <c r="F69">
        <f t="shared" si="1"/>
        <v>0.40645161290322596</v>
      </c>
      <c r="G69" s="7"/>
      <c r="H69" s="7"/>
      <c r="I69" s="7"/>
      <c r="J69" s="7"/>
      <c r="K69" s="7"/>
      <c r="L69" s="7"/>
      <c r="M69" s="7"/>
      <c r="N69" s="7"/>
      <c r="O69" s="6">
        <v>0.5</v>
      </c>
      <c r="P69" s="7"/>
      <c r="Q69" s="7"/>
      <c r="R69" s="7"/>
      <c r="S69" s="6">
        <v>0.5</v>
      </c>
      <c r="T69" s="7"/>
      <c r="U69" s="7"/>
      <c r="V69" s="7"/>
      <c r="W69" s="7"/>
    </row>
    <row r="70" spans="1:23" ht="15.5" x14ac:dyDescent="0.35">
      <c r="A70" s="4" t="s">
        <v>214</v>
      </c>
      <c r="B70" s="4">
        <v>18</v>
      </c>
      <c r="C70">
        <v>3</v>
      </c>
      <c r="D70" s="4" t="s">
        <v>76</v>
      </c>
      <c r="E70" s="4">
        <v>-6.4516129032257674E-3</v>
      </c>
      <c r="F70">
        <f t="shared" si="1"/>
        <v>0.48279569892473134</v>
      </c>
      <c r="G70" s="7"/>
      <c r="H70" s="7"/>
      <c r="I70" s="7"/>
      <c r="J70" s="7"/>
      <c r="K70" s="7"/>
      <c r="L70" s="7"/>
      <c r="M70" s="7"/>
      <c r="N70" s="7"/>
      <c r="O70" s="6">
        <v>0.5</v>
      </c>
      <c r="P70" s="7"/>
      <c r="Q70" s="7"/>
      <c r="R70" s="7"/>
      <c r="S70" s="6">
        <v>0.5</v>
      </c>
      <c r="T70" s="7"/>
      <c r="U70" s="7"/>
      <c r="V70" s="7"/>
      <c r="W70" s="7"/>
    </row>
    <row r="71" spans="1:23" ht="15.5" x14ac:dyDescent="0.35">
      <c r="A71" s="4" t="s">
        <v>214</v>
      </c>
      <c r="B71" s="4">
        <v>18</v>
      </c>
      <c r="C71">
        <v>2</v>
      </c>
      <c r="D71" s="4" t="s">
        <v>75</v>
      </c>
      <c r="E71" s="4">
        <v>-3.5483870967741915E-2</v>
      </c>
      <c r="F71">
        <f t="shared" si="1"/>
        <v>0.45376344086021519</v>
      </c>
      <c r="G71" s="7"/>
      <c r="H71" s="7"/>
      <c r="I71" s="7"/>
      <c r="J71" s="7"/>
      <c r="K71" s="7"/>
      <c r="L71" s="7"/>
      <c r="M71" s="7"/>
      <c r="N71" s="7"/>
      <c r="O71" s="6">
        <v>0.5</v>
      </c>
      <c r="P71" s="7"/>
      <c r="Q71" s="7"/>
      <c r="R71" s="7"/>
      <c r="S71" s="6">
        <v>0.5</v>
      </c>
      <c r="T71" s="7"/>
      <c r="U71" s="7"/>
      <c r="V71" s="7"/>
      <c r="W71" s="7"/>
    </row>
    <row r="72" spans="1:23" ht="15.5" x14ac:dyDescent="0.35">
      <c r="A72" s="4" t="s">
        <v>214</v>
      </c>
      <c r="B72" s="4">
        <v>18</v>
      </c>
      <c r="C72">
        <v>5</v>
      </c>
      <c r="D72" s="4" t="s">
        <v>78</v>
      </c>
      <c r="E72" s="4">
        <v>-4.9462365591397828E-2</v>
      </c>
      <c r="F72">
        <f t="shared" si="1"/>
        <v>0.43978494623655928</v>
      </c>
      <c r="G72" s="7"/>
      <c r="H72" s="7"/>
      <c r="I72" s="7"/>
      <c r="J72" s="7"/>
      <c r="K72" s="7"/>
      <c r="L72" s="7"/>
      <c r="M72" s="7"/>
      <c r="N72" s="7"/>
      <c r="O72" s="6">
        <v>0.5</v>
      </c>
      <c r="P72" s="7"/>
      <c r="Q72" s="7"/>
      <c r="R72" s="7"/>
      <c r="S72" s="6">
        <v>0.5</v>
      </c>
      <c r="T72" s="7"/>
      <c r="U72" s="7"/>
      <c r="V72" s="7"/>
      <c r="W72" s="7"/>
    </row>
    <row r="73" spans="1:23" ht="15.5" x14ac:dyDescent="0.35">
      <c r="A73" s="4" t="s">
        <v>214</v>
      </c>
      <c r="B73" s="4">
        <v>18</v>
      </c>
      <c r="C73">
        <v>4</v>
      </c>
      <c r="D73" s="4" t="s">
        <v>77</v>
      </c>
      <c r="E73" s="4">
        <v>-8.2795698924731154E-2</v>
      </c>
      <c r="F73">
        <f t="shared" si="1"/>
        <v>0.40645161290322596</v>
      </c>
      <c r="G73" s="7"/>
      <c r="H73" s="7"/>
      <c r="I73" s="7"/>
      <c r="J73" s="7"/>
      <c r="K73" s="7"/>
      <c r="L73" s="7"/>
      <c r="M73" s="7"/>
      <c r="N73" s="7"/>
      <c r="O73" s="6">
        <v>0.5</v>
      </c>
      <c r="P73" s="7"/>
      <c r="Q73" s="7"/>
      <c r="R73" s="7"/>
      <c r="S73" s="6">
        <v>0.5</v>
      </c>
      <c r="T73" s="7"/>
      <c r="U73" s="7"/>
      <c r="V73" s="7"/>
      <c r="W73" s="7"/>
    </row>
    <row r="74" spans="1:23" ht="15.5" x14ac:dyDescent="0.35">
      <c r="A74" s="4" t="s">
        <v>214</v>
      </c>
      <c r="B74" s="4">
        <v>18</v>
      </c>
      <c r="C74">
        <v>1</v>
      </c>
      <c r="D74" s="4" t="s">
        <v>74</v>
      </c>
      <c r="E74" s="4">
        <v>-0.1387096774193548</v>
      </c>
      <c r="F74">
        <f t="shared" si="1"/>
        <v>0.35053763440860231</v>
      </c>
      <c r="G74" s="7"/>
      <c r="H74" s="7"/>
      <c r="I74" s="7"/>
      <c r="J74" s="7"/>
      <c r="K74" s="7"/>
      <c r="L74" s="7"/>
      <c r="M74" s="7"/>
      <c r="N74" s="7"/>
      <c r="O74" s="6">
        <v>0.5</v>
      </c>
      <c r="P74" s="7"/>
      <c r="Q74" s="7"/>
      <c r="R74" s="7"/>
      <c r="S74" s="6">
        <v>0.5</v>
      </c>
      <c r="T74" s="7"/>
      <c r="U74" s="7"/>
      <c r="V74" s="7"/>
      <c r="W74" s="7"/>
    </row>
    <row r="75" spans="1:23" ht="15.5" x14ac:dyDescent="0.35">
      <c r="A75" s="4" t="s">
        <v>214</v>
      </c>
      <c r="B75" s="4">
        <v>19</v>
      </c>
      <c r="C75">
        <v>3</v>
      </c>
      <c r="D75" s="4" t="s">
        <v>81</v>
      </c>
      <c r="E75" s="4">
        <v>-6.4516129032257674E-3</v>
      </c>
      <c r="F75">
        <f t="shared" si="1"/>
        <v>0.48279569892473134</v>
      </c>
      <c r="G75" s="7"/>
      <c r="H75" s="7"/>
      <c r="I75" s="7"/>
      <c r="J75" s="7"/>
      <c r="K75" s="7"/>
      <c r="L75" s="7"/>
      <c r="M75" s="7"/>
      <c r="N75" s="7"/>
      <c r="O75" s="6">
        <v>0.5</v>
      </c>
      <c r="P75" s="7"/>
      <c r="Q75" s="7"/>
      <c r="R75" s="7"/>
      <c r="S75" s="6">
        <v>0.5</v>
      </c>
      <c r="T75" s="7"/>
      <c r="U75" s="7"/>
      <c r="V75" s="7"/>
      <c r="W75" s="7"/>
    </row>
    <row r="76" spans="1:23" ht="15.5" x14ac:dyDescent="0.35">
      <c r="A76" s="4" t="s">
        <v>214</v>
      </c>
      <c r="B76" s="4">
        <v>19</v>
      </c>
      <c r="C76">
        <v>2</v>
      </c>
      <c r="D76" s="4" t="s">
        <v>80</v>
      </c>
      <c r="E76" s="4">
        <v>-3.5483870967741915E-2</v>
      </c>
      <c r="F76">
        <f t="shared" si="1"/>
        <v>0.45376344086021519</v>
      </c>
      <c r="G76" s="7"/>
      <c r="H76" s="7"/>
      <c r="I76" s="7"/>
      <c r="J76" s="7"/>
      <c r="K76" s="7"/>
      <c r="L76" s="7"/>
      <c r="M76" s="7"/>
      <c r="N76" s="7"/>
      <c r="O76" s="6">
        <v>0.5</v>
      </c>
      <c r="P76" s="7"/>
      <c r="Q76" s="7"/>
      <c r="R76" s="7"/>
      <c r="S76" s="6">
        <v>0.5</v>
      </c>
      <c r="T76" s="7"/>
      <c r="U76" s="7"/>
      <c r="V76" s="7"/>
      <c r="W76" s="7"/>
    </row>
    <row r="77" spans="1:23" ht="15.5" x14ac:dyDescent="0.35">
      <c r="A77" s="4" t="s">
        <v>214</v>
      </c>
      <c r="B77" s="4">
        <v>19</v>
      </c>
      <c r="C77">
        <v>5</v>
      </c>
      <c r="D77" s="4" t="s">
        <v>83</v>
      </c>
      <c r="E77" s="4">
        <v>-4.9462365591397828E-2</v>
      </c>
      <c r="F77">
        <f t="shared" si="1"/>
        <v>0.43978494623655928</v>
      </c>
      <c r="G77" s="7"/>
      <c r="H77" s="7"/>
      <c r="I77" s="7"/>
      <c r="J77" s="7"/>
      <c r="K77" s="7"/>
      <c r="L77" s="7"/>
      <c r="M77" s="7"/>
      <c r="N77" s="7"/>
      <c r="O77" s="6">
        <v>0.5</v>
      </c>
      <c r="P77" s="7"/>
      <c r="Q77" s="7"/>
      <c r="R77" s="7"/>
      <c r="S77" s="6">
        <v>0.5</v>
      </c>
      <c r="T77" s="7"/>
      <c r="U77" s="7"/>
      <c r="V77" s="7"/>
      <c r="W77" s="7"/>
    </row>
    <row r="78" spans="1:23" ht="15.5" x14ac:dyDescent="0.35">
      <c r="A78" s="4" t="s">
        <v>214</v>
      </c>
      <c r="B78" s="4">
        <v>19</v>
      </c>
      <c r="C78">
        <v>4</v>
      </c>
      <c r="D78" s="4" t="s">
        <v>82</v>
      </c>
      <c r="E78" s="4">
        <v>-8.2795698924731154E-2</v>
      </c>
      <c r="F78">
        <f t="shared" si="1"/>
        <v>0.40645161290322596</v>
      </c>
      <c r="G78" s="7"/>
      <c r="H78" s="7"/>
      <c r="I78" s="7"/>
      <c r="J78" s="7"/>
      <c r="K78" s="7"/>
      <c r="L78" s="7"/>
      <c r="M78" s="7"/>
      <c r="N78" s="7"/>
      <c r="O78" s="6">
        <v>0.5</v>
      </c>
      <c r="P78" s="7"/>
      <c r="Q78" s="7"/>
      <c r="R78" s="7"/>
      <c r="S78" s="6">
        <v>0.5</v>
      </c>
      <c r="T78" s="7"/>
      <c r="U78" s="7"/>
      <c r="V78" s="7"/>
      <c r="W78" s="7"/>
    </row>
    <row r="79" spans="1:23" ht="15.5" x14ac:dyDescent="0.35">
      <c r="A79" s="4" t="s">
        <v>214</v>
      </c>
      <c r="B79" s="4">
        <v>19</v>
      </c>
      <c r="C79">
        <v>1</v>
      </c>
      <c r="D79" s="4" t="s">
        <v>79</v>
      </c>
      <c r="E79" s="4">
        <v>-0.1387096774193548</v>
      </c>
      <c r="F79">
        <f t="shared" si="1"/>
        <v>0.35053763440860231</v>
      </c>
      <c r="G79" s="7"/>
      <c r="H79" s="7"/>
      <c r="I79" s="7"/>
      <c r="J79" s="7"/>
      <c r="K79" s="7"/>
      <c r="L79" s="7"/>
      <c r="M79" s="7"/>
      <c r="N79" s="7"/>
      <c r="O79" s="6">
        <v>0.5</v>
      </c>
      <c r="P79" s="7"/>
      <c r="Q79" s="7"/>
      <c r="R79" s="7"/>
      <c r="S79" s="6">
        <v>0.5</v>
      </c>
      <c r="T79" s="7"/>
      <c r="U79" s="7"/>
      <c r="V79" s="7"/>
      <c r="W79" s="7"/>
    </row>
    <row r="80" spans="1:23" ht="15.5" x14ac:dyDescent="0.35">
      <c r="A80" s="4" t="s">
        <v>214</v>
      </c>
      <c r="B80" s="4">
        <v>20</v>
      </c>
      <c r="C80">
        <v>5</v>
      </c>
      <c r="D80" s="4" t="s">
        <v>88</v>
      </c>
      <c r="E80" s="4">
        <v>0.13655913978494624</v>
      </c>
      <c r="F80">
        <f t="shared" si="1"/>
        <v>0.62580645161290338</v>
      </c>
      <c r="G80" s="7"/>
      <c r="H80" s="7"/>
      <c r="I80" s="7"/>
      <c r="J80" s="7"/>
      <c r="K80" s="7"/>
      <c r="L80" s="7"/>
      <c r="M80" s="7"/>
      <c r="N80" s="7"/>
      <c r="O80" s="6">
        <v>0.5</v>
      </c>
      <c r="P80" s="7"/>
      <c r="Q80" s="7"/>
      <c r="R80" s="7"/>
      <c r="S80" s="6">
        <v>0.5</v>
      </c>
      <c r="T80" s="7"/>
      <c r="U80" s="7"/>
      <c r="V80" s="7"/>
      <c r="W80" s="7"/>
    </row>
    <row r="81" spans="1:23" ht="15.5" x14ac:dyDescent="0.35">
      <c r="A81" s="4" t="s">
        <v>214</v>
      </c>
      <c r="B81" s="4">
        <v>20</v>
      </c>
      <c r="C81">
        <v>4</v>
      </c>
      <c r="D81" s="4" t="s">
        <v>87</v>
      </c>
      <c r="E81" s="4">
        <v>0.10322580645161289</v>
      </c>
      <c r="F81">
        <f t="shared" si="1"/>
        <v>0.59247311827956994</v>
      </c>
      <c r="G81" s="7"/>
      <c r="H81" s="7"/>
      <c r="I81" s="7"/>
      <c r="J81" s="7"/>
      <c r="K81" s="7"/>
      <c r="L81" s="7"/>
      <c r="M81" s="7"/>
      <c r="N81" s="7"/>
      <c r="O81" s="6">
        <v>0.5</v>
      </c>
      <c r="P81" s="7"/>
      <c r="Q81" s="7"/>
      <c r="R81" s="7"/>
      <c r="S81" s="6">
        <v>0.5</v>
      </c>
      <c r="T81" s="7"/>
      <c r="U81" s="7"/>
      <c r="V81" s="7"/>
      <c r="W81" s="7"/>
    </row>
    <row r="82" spans="1:23" ht="15.5" x14ac:dyDescent="0.35">
      <c r="A82" s="4" t="s">
        <v>214</v>
      </c>
      <c r="B82" s="4">
        <v>20</v>
      </c>
      <c r="C82">
        <v>3</v>
      </c>
      <c r="D82" s="4" t="s">
        <v>86</v>
      </c>
      <c r="E82" s="4">
        <v>5.8064516129032295E-2</v>
      </c>
      <c r="F82">
        <f t="shared" si="1"/>
        <v>0.54731182795698941</v>
      </c>
      <c r="G82" s="7"/>
      <c r="H82" s="7"/>
      <c r="I82" s="7"/>
      <c r="J82" s="7"/>
      <c r="K82" s="7"/>
      <c r="L82" s="7"/>
      <c r="M82" s="7"/>
      <c r="N82" s="7"/>
      <c r="O82" s="6">
        <v>0.5</v>
      </c>
      <c r="P82" s="7"/>
      <c r="Q82" s="7"/>
      <c r="R82" s="7"/>
      <c r="S82" s="6">
        <v>0.5</v>
      </c>
      <c r="T82" s="7"/>
      <c r="U82" s="7"/>
      <c r="V82" s="7"/>
      <c r="W82" s="7"/>
    </row>
    <row r="83" spans="1:23" ht="15.5" x14ac:dyDescent="0.35">
      <c r="A83" s="4" t="s">
        <v>214</v>
      </c>
      <c r="B83" s="4">
        <v>20</v>
      </c>
      <c r="C83">
        <v>1</v>
      </c>
      <c r="D83" s="4" t="s">
        <v>84</v>
      </c>
      <c r="E83" s="4">
        <v>4.7311827956989294E-2</v>
      </c>
      <c r="F83">
        <f t="shared" si="1"/>
        <v>0.5365591397849464</v>
      </c>
      <c r="G83" s="7"/>
      <c r="H83" s="7"/>
      <c r="I83" s="7"/>
      <c r="J83" s="7"/>
      <c r="K83" s="7"/>
      <c r="L83" s="7"/>
      <c r="M83" s="7"/>
      <c r="N83" s="7"/>
      <c r="O83" s="6">
        <v>0.5</v>
      </c>
      <c r="P83" s="7"/>
      <c r="Q83" s="7"/>
      <c r="R83" s="7"/>
      <c r="S83" s="6">
        <v>0.5</v>
      </c>
      <c r="T83" s="7"/>
      <c r="U83" s="7"/>
      <c r="V83" s="7"/>
      <c r="W83" s="7"/>
    </row>
    <row r="84" spans="1:23" ht="15.5" x14ac:dyDescent="0.35">
      <c r="A84" s="4" t="s">
        <v>214</v>
      </c>
      <c r="B84" s="4">
        <v>20</v>
      </c>
      <c r="C84">
        <v>2</v>
      </c>
      <c r="D84" s="4" t="s">
        <v>85</v>
      </c>
      <c r="E84" s="4">
        <v>4.7311827956989294E-2</v>
      </c>
      <c r="F84">
        <f t="shared" si="1"/>
        <v>0.5365591397849464</v>
      </c>
      <c r="G84" s="7"/>
      <c r="H84" s="7"/>
      <c r="I84" s="7"/>
      <c r="J84" s="7"/>
      <c r="K84" s="7"/>
      <c r="L84" s="7"/>
      <c r="M84" s="7"/>
      <c r="N84" s="7"/>
      <c r="O84" s="6">
        <v>0.5</v>
      </c>
      <c r="P84" s="7"/>
      <c r="Q84" s="7"/>
      <c r="R84" s="7"/>
      <c r="S84" s="6">
        <v>0.5</v>
      </c>
      <c r="T84" s="7"/>
      <c r="U84" s="7"/>
      <c r="V84" s="7"/>
      <c r="W84" s="7"/>
    </row>
    <row r="85" spans="1:23" ht="15.5" x14ac:dyDescent="0.35">
      <c r="A85" s="4" t="s">
        <v>215</v>
      </c>
      <c r="B85" s="4">
        <v>21</v>
      </c>
      <c r="C85">
        <v>4</v>
      </c>
      <c r="D85" s="4" t="s">
        <v>89</v>
      </c>
      <c r="E85" s="4">
        <v>-0.32580645161290334</v>
      </c>
      <c r="F85">
        <f t="shared" si="1"/>
        <v>0.16344086021505377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6">
        <v>1</v>
      </c>
      <c r="T85" s="7"/>
      <c r="U85" s="7"/>
      <c r="V85" s="7"/>
      <c r="W85" s="7"/>
    </row>
    <row r="86" spans="1:23" ht="15.5" x14ac:dyDescent="0.35">
      <c r="A86" s="4" t="s">
        <v>215</v>
      </c>
      <c r="B86" s="4">
        <v>21</v>
      </c>
      <c r="C86">
        <v>5</v>
      </c>
      <c r="D86" s="4" t="s">
        <v>90</v>
      </c>
      <c r="E86" s="4">
        <v>-0.36881720430107523</v>
      </c>
      <c r="F86">
        <f t="shared" si="1"/>
        <v>0.12043010752688188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6">
        <v>1</v>
      </c>
      <c r="T86" s="7"/>
      <c r="U86" s="7"/>
      <c r="V86" s="7"/>
      <c r="W86" s="7"/>
    </row>
    <row r="87" spans="1:23" ht="15.5" x14ac:dyDescent="0.35">
      <c r="A87" s="4" t="s">
        <v>214</v>
      </c>
      <c r="B87" s="4">
        <v>22</v>
      </c>
      <c r="C87">
        <v>4</v>
      </c>
      <c r="D87" s="4" t="s">
        <v>94</v>
      </c>
      <c r="E87" s="4">
        <v>-0.25376344086021507</v>
      </c>
      <c r="F87">
        <f t="shared" si="1"/>
        <v>0.23548387096774204</v>
      </c>
      <c r="G87" s="7"/>
      <c r="H87" s="7"/>
      <c r="I87" s="7"/>
      <c r="J87" s="6">
        <v>0.5</v>
      </c>
      <c r="K87" s="7"/>
      <c r="L87" s="6">
        <v>0.5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23" ht="15.5" x14ac:dyDescent="0.35">
      <c r="A88" s="4" t="s">
        <v>214</v>
      </c>
      <c r="B88" s="4">
        <v>22</v>
      </c>
      <c r="C88">
        <v>3</v>
      </c>
      <c r="D88" s="4" t="s">
        <v>93</v>
      </c>
      <c r="E88" s="4">
        <v>-0.29892473118279572</v>
      </c>
      <c r="F88">
        <f t="shared" si="1"/>
        <v>0.19032258064516139</v>
      </c>
      <c r="G88" s="7"/>
      <c r="H88" s="7"/>
      <c r="I88" s="7"/>
      <c r="J88" s="6">
        <v>0.5</v>
      </c>
      <c r="K88" s="7"/>
      <c r="L88" s="6">
        <v>0.5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spans="1:23" ht="15.5" x14ac:dyDescent="0.35">
      <c r="A89" s="4" t="s">
        <v>214</v>
      </c>
      <c r="B89" s="4">
        <v>22</v>
      </c>
      <c r="C89">
        <v>1</v>
      </c>
      <c r="D89" s="4" t="s">
        <v>91</v>
      </c>
      <c r="E89" s="4">
        <v>-0.30967741935483872</v>
      </c>
      <c r="F89">
        <f t="shared" si="1"/>
        <v>0.17956989247311839</v>
      </c>
      <c r="G89" s="7"/>
      <c r="H89" s="7"/>
      <c r="I89" s="7"/>
      <c r="J89" s="6">
        <v>0.5</v>
      </c>
      <c r="K89" s="7"/>
      <c r="L89" s="6">
        <v>0.5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1:23" ht="15.5" x14ac:dyDescent="0.35">
      <c r="A90" s="4" t="s">
        <v>214</v>
      </c>
      <c r="B90" s="4">
        <v>22</v>
      </c>
      <c r="C90">
        <v>2</v>
      </c>
      <c r="D90" s="4" t="s">
        <v>92</v>
      </c>
      <c r="E90" s="4">
        <v>-0.30967741935483872</v>
      </c>
      <c r="F90">
        <f t="shared" si="1"/>
        <v>0.17956989247311839</v>
      </c>
      <c r="G90" s="7"/>
      <c r="H90" s="7"/>
      <c r="I90" s="7"/>
      <c r="J90" s="6">
        <v>0.5</v>
      </c>
      <c r="K90" s="7"/>
      <c r="L90" s="6">
        <v>0.5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spans="1:23" ht="15.5" x14ac:dyDescent="0.35">
      <c r="A91" s="4" t="s">
        <v>214</v>
      </c>
      <c r="B91" s="4">
        <v>22</v>
      </c>
      <c r="C91">
        <v>5</v>
      </c>
      <c r="D91" s="4" t="s">
        <v>95</v>
      </c>
      <c r="E91" s="4">
        <v>-0.31612903225806455</v>
      </c>
      <c r="F91">
        <f t="shared" si="1"/>
        <v>0.17311827956989256</v>
      </c>
      <c r="G91" s="7"/>
      <c r="H91" s="7"/>
      <c r="I91" s="7"/>
      <c r="J91" s="6">
        <v>0.5</v>
      </c>
      <c r="K91" s="7"/>
      <c r="L91" s="6">
        <v>0.5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spans="1:23" ht="15.5" x14ac:dyDescent="0.35">
      <c r="A92" s="4" t="s">
        <v>214</v>
      </c>
      <c r="B92" s="4">
        <v>23</v>
      </c>
      <c r="C92">
        <v>4</v>
      </c>
      <c r="D92" s="4" t="s">
        <v>99</v>
      </c>
      <c r="E92" s="4">
        <v>-6.7741935483870974E-2</v>
      </c>
      <c r="F92">
        <f t="shared" si="1"/>
        <v>0.42150537634408614</v>
      </c>
      <c r="G92" s="7"/>
      <c r="H92" s="7"/>
      <c r="I92" s="7"/>
      <c r="J92" s="6">
        <v>0.5</v>
      </c>
      <c r="K92" s="7"/>
      <c r="L92" s="6">
        <v>0.5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spans="1:23" ht="15.5" x14ac:dyDescent="0.35">
      <c r="A93" s="4" t="s">
        <v>214</v>
      </c>
      <c r="B93" s="4">
        <v>23</v>
      </c>
      <c r="C93">
        <v>3</v>
      </c>
      <c r="D93" s="4" t="s">
        <v>98</v>
      </c>
      <c r="E93" s="4">
        <v>-0.11290322580645157</v>
      </c>
      <c r="F93">
        <f t="shared" si="1"/>
        <v>0.37634408602150554</v>
      </c>
      <c r="G93" s="7"/>
      <c r="H93" s="7"/>
      <c r="I93" s="7"/>
      <c r="J93" s="6">
        <v>0.5</v>
      </c>
      <c r="K93" s="7"/>
      <c r="L93" s="6">
        <v>0.5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spans="1:23" ht="15.5" x14ac:dyDescent="0.35">
      <c r="A94" s="4" t="s">
        <v>214</v>
      </c>
      <c r="B94" s="4">
        <v>23</v>
      </c>
      <c r="C94">
        <v>1</v>
      </c>
      <c r="D94" s="4" t="s">
        <v>96</v>
      </c>
      <c r="E94" s="4">
        <v>-0.12365591397849462</v>
      </c>
      <c r="F94">
        <f t="shared" si="1"/>
        <v>0.36559139784946248</v>
      </c>
      <c r="G94" s="7"/>
      <c r="H94" s="7"/>
      <c r="I94" s="7"/>
      <c r="J94" s="6">
        <v>0.5</v>
      </c>
      <c r="K94" s="7"/>
      <c r="L94" s="6">
        <v>0.5</v>
      </c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spans="1:23" ht="15.5" x14ac:dyDescent="0.35">
      <c r="A95" s="4" t="s">
        <v>214</v>
      </c>
      <c r="B95" s="4">
        <v>23</v>
      </c>
      <c r="C95">
        <v>2</v>
      </c>
      <c r="D95" s="4" t="s">
        <v>97</v>
      </c>
      <c r="E95" s="4">
        <v>-0.12365591397849462</v>
      </c>
      <c r="F95">
        <f t="shared" si="1"/>
        <v>0.36559139784946248</v>
      </c>
      <c r="G95" s="7"/>
      <c r="H95" s="7"/>
      <c r="I95" s="7"/>
      <c r="J95" s="6">
        <v>0.5</v>
      </c>
      <c r="K95" s="7"/>
      <c r="L95" s="6">
        <v>0.5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spans="1:23" ht="15.5" x14ac:dyDescent="0.35">
      <c r="A96" s="4" t="s">
        <v>214</v>
      </c>
      <c r="B96" s="4">
        <v>23</v>
      </c>
      <c r="C96">
        <v>5</v>
      </c>
      <c r="D96" s="4" t="s">
        <v>100</v>
      </c>
      <c r="E96" s="4">
        <v>-0.13010752688172039</v>
      </c>
      <c r="F96">
        <f t="shared" si="1"/>
        <v>0.35913978494623672</v>
      </c>
      <c r="G96" s="7"/>
      <c r="H96" s="7"/>
      <c r="I96" s="7"/>
      <c r="J96" s="6">
        <v>0.5</v>
      </c>
      <c r="K96" s="7"/>
      <c r="L96" s="6">
        <v>0.5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spans="1:23" ht="15.5" x14ac:dyDescent="0.35">
      <c r="A97" s="4" t="s">
        <v>214</v>
      </c>
      <c r="B97" s="4">
        <v>24</v>
      </c>
      <c r="C97">
        <v>5</v>
      </c>
      <c r="D97" s="4" t="s">
        <v>105</v>
      </c>
      <c r="E97" s="4">
        <v>0.12688172043010754</v>
      </c>
      <c r="F97">
        <f t="shared" si="1"/>
        <v>0.61612903225806459</v>
      </c>
      <c r="G97" s="7"/>
      <c r="H97" s="7"/>
      <c r="I97" s="7"/>
      <c r="J97" s="6">
        <v>0.33</v>
      </c>
      <c r="K97" s="6">
        <v>0.33</v>
      </c>
      <c r="L97" s="6">
        <v>0.33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spans="1:23" ht="15.5" x14ac:dyDescent="0.35">
      <c r="A98" s="4" t="s">
        <v>214</v>
      </c>
      <c r="B98" s="4">
        <v>24</v>
      </c>
      <c r="C98">
        <v>3</v>
      </c>
      <c r="D98" s="4" t="s">
        <v>103</v>
      </c>
      <c r="E98" s="4">
        <v>9.354838709677421E-2</v>
      </c>
      <c r="F98">
        <f t="shared" si="1"/>
        <v>0.58279569892473138</v>
      </c>
      <c r="G98" s="7"/>
      <c r="H98" s="7"/>
      <c r="I98" s="7"/>
      <c r="J98" s="6">
        <v>0.33</v>
      </c>
      <c r="K98" s="6">
        <v>0.33</v>
      </c>
      <c r="L98" s="6">
        <v>0.33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 ht="15.5" x14ac:dyDescent="0.35">
      <c r="A99" s="4" t="s">
        <v>214</v>
      </c>
      <c r="B99" s="4">
        <v>24</v>
      </c>
      <c r="C99">
        <v>4</v>
      </c>
      <c r="D99" s="4" t="s">
        <v>104</v>
      </c>
      <c r="E99" s="4">
        <v>9.354838709677421E-2</v>
      </c>
      <c r="F99">
        <f t="shared" si="1"/>
        <v>0.58279569892473138</v>
      </c>
      <c r="G99" s="7"/>
      <c r="H99" s="7"/>
      <c r="I99" s="7"/>
      <c r="J99" s="6">
        <v>0.33</v>
      </c>
      <c r="K99" s="6">
        <v>0.33</v>
      </c>
      <c r="L99" s="6">
        <v>0.33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spans="1:23" ht="15.5" x14ac:dyDescent="0.35">
      <c r="A100" s="4" t="s">
        <v>214</v>
      </c>
      <c r="B100" s="4">
        <v>24</v>
      </c>
      <c r="C100">
        <v>2</v>
      </c>
      <c r="D100" s="4" t="s">
        <v>102</v>
      </c>
      <c r="E100" s="4">
        <v>4.8387096774193561E-2</v>
      </c>
      <c r="F100">
        <f t="shared" si="1"/>
        <v>0.53763440860215073</v>
      </c>
      <c r="G100" s="7"/>
      <c r="H100" s="7"/>
      <c r="I100" s="7"/>
      <c r="J100" s="6">
        <v>0.33</v>
      </c>
      <c r="K100" s="6">
        <v>0.33</v>
      </c>
      <c r="L100" s="6">
        <v>0.33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spans="1:23" ht="15.5" x14ac:dyDescent="0.35">
      <c r="A101" s="4" t="s">
        <v>214</v>
      </c>
      <c r="B101" s="4">
        <v>24</v>
      </c>
      <c r="C101">
        <v>1</v>
      </c>
      <c r="D101" s="4" t="s">
        <v>101</v>
      </c>
      <c r="E101" s="4">
        <v>3.763440860215056E-2</v>
      </c>
      <c r="F101">
        <f t="shared" si="1"/>
        <v>0.52688172043010773</v>
      </c>
      <c r="G101" s="7"/>
      <c r="H101" s="7"/>
      <c r="I101" s="7"/>
      <c r="J101" s="6">
        <v>0.33</v>
      </c>
      <c r="K101" s="6">
        <v>0.33</v>
      </c>
      <c r="L101" s="6">
        <v>0.33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spans="1:23" ht="15.5" x14ac:dyDescent="0.35">
      <c r="A102" s="4" t="s">
        <v>214</v>
      </c>
      <c r="B102" s="4">
        <v>25</v>
      </c>
      <c r="C102">
        <v>4</v>
      </c>
      <c r="D102" s="4" t="s">
        <v>109</v>
      </c>
      <c r="E102" s="4">
        <v>-8.2795698924731154E-2</v>
      </c>
      <c r="F102">
        <f t="shared" si="1"/>
        <v>0.40645161290322596</v>
      </c>
      <c r="G102" s="7"/>
      <c r="H102" s="7"/>
      <c r="I102" s="7"/>
      <c r="J102" s="7"/>
      <c r="K102" s="7"/>
      <c r="L102" s="7"/>
      <c r="M102" s="6">
        <v>0.33</v>
      </c>
      <c r="N102" s="6">
        <v>0.33</v>
      </c>
      <c r="O102" s="7"/>
      <c r="P102" s="6">
        <v>0.33</v>
      </c>
      <c r="Q102" s="7"/>
      <c r="R102" s="7"/>
      <c r="S102" s="7"/>
      <c r="T102" s="7"/>
      <c r="U102" s="7"/>
      <c r="V102" s="7"/>
      <c r="W102" s="7"/>
    </row>
    <row r="103" spans="1:23" ht="15.5" x14ac:dyDescent="0.35">
      <c r="A103" s="4" t="s">
        <v>214</v>
      </c>
      <c r="B103" s="4">
        <v>25</v>
      </c>
      <c r="C103">
        <v>3</v>
      </c>
      <c r="D103" s="4" t="s">
        <v>108</v>
      </c>
      <c r="E103" s="4">
        <v>-0.1279569892473118</v>
      </c>
      <c r="F103">
        <f t="shared" si="1"/>
        <v>0.36129032258064531</v>
      </c>
      <c r="G103" s="7"/>
      <c r="H103" s="7"/>
      <c r="I103" s="7"/>
      <c r="J103" s="7"/>
      <c r="K103" s="7"/>
      <c r="L103" s="7"/>
      <c r="M103" s="6">
        <v>0.33</v>
      </c>
      <c r="N103" s="6">
        <v>0.33</v>
      </c>
      <c r="O103" s="7"/>
      <c r="P103" s="6">
        <v>0.33</v>
      </c>
      <c r="Q103" s="7"/>
      <c r="R103" s="7"/>
      <c r="S103" s="7"/>
      <c r="T103" s="7"/>
      <c r="U103" s="7"/>
      <c r="V103" s="7"/>
      <c r="W103" s="7"/>
    </row>
    <row r="104" spans="1:23" ht="15.5" x14ac:dyDescent="0.35">
      <c r="A104" s="4" t="s">
        <v>214</v>
      </c>
      <c r="B104" s="4">
        <v>25</v>
      </c>
      <c r="C104">
        <v>1</v>
      </c>
      <c r="D104" s="4" t="s">
        <v>106</v>
      </c>
      <c r="E104" s="4">
        <v>-0.1387096774193548</v>
      </c>
      <c r="F104">
        <f t="shared" si="1"/>
        <v>0.35053763440860231</v>
      </c>
      <c r="G104" s="7"/>
      <c r="H104" s="7"/>
      <c r="I104" s="7"/>
      <c r="J104" s="7"/>
      <c r="K104" s="7"/>
      <c r="L104" s="7"/>
      <c r="M104" s="6">
        <v>0.33</v>
      </c>
      <c r="N104" s="6">
        <v>0.33</v>
      </c>
      <c r="O104" s="7"/>
      <c r="P104" s="6">
        <v>0.33</v>
      </c>
      <c r="Q104" s="7"/>
      <c r="R104" s="7"/>
      <c r="S104" s="7"/>
      <c r="T104" s="7"/>
      <c r="U104" s="7"/>
      <c r="V104" s="7"/>
      <c r="W104" s="7"/>
    </row>
    <row r="105" spans="1:23" ht="15.5" x14ac:dyDescent="0.35">
      <c r="A105" s="4" t="s">
        <v>214</v>
      </c>
      <c r="B105" s="4">
        <v>25</v>
      </c>
      <c r="C105">
        <v>2</v>
      </c>
      <c r="D105" s="4" t="s">
        <v>107</v>
      </c>
      <c r="E105" s="4">
        <v>-0.1387096774193548</v>
      </c>
      <c r="F105">
        <f t="shared" si="1"/>
        <v>0.35053763440860231</v>
      </c>
      <c r="G105" s="7"/>
      <c r="H105" s="7"/>
      <c r="I105" s="7"/>
      <c r="J105" s="7"/>
      <c r="K105" s="7"/>
      <c r="L105" s="7"/>
      <c r="M105" s="6">
        <v>0.33</v>
      </c>
      <c r="N105" s="6">
        <v>0.33</v>
      </c>
      <c r="O105" s="7"/>
      <c r="P105" s="6">
        <v>0.33</v>
      </c>
      <c r="Q105" s="7"/>
      <c r="R105" s="7"/>
      <c r="S105" s="7"/>
      <c r="T105" s="7"/>
      <c r="U105" s="7"/>
      <c r="V105" s="7"/>
      <c r="W105" s="7"/>
    </row>
    <row r="106" spans="1:23" ht="15.5" x14ac:dyDescent="0.35">
      <c r="A106" s="4" t="s">
        <v>214</v>
      </c>
      <c r="B106" s="4">
        <v>25</v>
      </c>
      <c r="C106">
        <v>5</v>
      </c>
      <c r="D106" s="4" t="s">
        <v>110</v>
      </c>
      <c r="E106" s="4">
        <v>-0.14516129032258063</v>
      </c>
      <c r="F106">
        <f t="shared" si="1"/>
        <v>0.34408602150537648</v>
      </c>
      <c r="G106" s="7"/>
      <c r="H106" s="7"/>
      <c r="I106" s="7"/>
      <c r="J106" s="7"/>
      <c r="K106" s="7"/>
      <c r="L106" s="7"/>
      <c r="M106" s="6">
        <v>0.33</v>
      </c>
      <c r="N106" s="6">
        <v>0.33</v>
      </c>
      <c r="O106" s="7"/>
      <c r="P106" s="6">
        <v>0.33</v>
      </c>
      <c r="Q106" s="7"/>
      <c r="R106" s="7"/>
      <c r="S106" s="7"/>
      <c r="T106" s="7"/>
      <c r="U106" s="7"/>
      <c r="V106" s="7"/>
      <c r="W106" s="7"/>
    </row>
    <row r="107" spans="1:23" ht="15.5" x14ac:dyDescent="0.35">
      <c r="A107" s="4" t="s">
        <v>214</v>
      </c>
      <c r="B107" s="4">
        <v>26</v>
      </c>
      <c r="C107">
        <v>3</v>
      </c>
      <c r="D107" s="4" t="s">
        <v>113</v>
      </c>
      <c r="E107" s="4">
        <v>0.34086021505376352</v>
      </c>
      <c r="F107">
        <f t="shared" si="1"/>
        <v>0.83010752688172063</v>
      </c>
      <c r="G107" s="7"/>
      <c r="H107" s="7"/>
      <c r="I107" s="7"/>
      <c r="J107" s="7"/>
      <c r="K107" s="7"/>
      <c r="L107" s="7"/>
      <c r="M107" s="6">
        <v>0.33</v>
      </c>
      <c r="N107" s="6">
        <v>0.33</v>
      </c>
      <c r="O107" s="7"/>
      <c r="P107" s="6">
        <v>0.33</v>
      </c>
      <c r="Q107" s="7"/>
      <c r="R107" s="7"/>
      <c r="S107" s="7"/>
      <c r="T107" s="7"/>
      <c r="U107" s="7"/>
      <c r="V107" s="7"/>
      <c r="W107" s="7"/>
    </row>
    <row r="108" spans="1:23" ht="15.5" x14ac:dyDescent="0.35">
      <c r="A108" s="4" t="s">
        <v>214</v>
      </c>
      <c r="B108" s="4">
        <v>26</v>
      </c>
      <c r="C108">
        <v>5</v>
      </c>
      <c r="D108" s="4" t="s">
        <v>115</v>
      </c>
      <c r="E108" s="4">
        <v>0.2978494623655914</v>
      </c>
      <c r="F108">
        <f t="shared" si="1"/>
        <v>0.78709677419354851</v>
      </c>
      <c r="G108" s="7"/>
      <c r="H108" s="7"/>
      <c r="I108" s="7"/>
      <c r="J108" s="7"/>
      <c r="K108" s="7"/>
      <c r="L108" s="7"/>
      <c r="M108" s="6">
        <v>0.33</v>
      </c>
      <c r="N108" s="6">
        <v>0.33</v>
      </c>
      <c r="O108" s="7"/>
      <c r="P108" s="6">
        <v>0.33</v>
      </c>
      <c r="Q108" s="7"/>
      <c r="R108" s="7"/>
      <c r="S108" s="7"/>
      <c r="T108" s="7"/>
      <c r="U108" s="7"/>
      <c r="V108" s="7"/>
      <c r="W108" s="7"/>
    </row>
    <row r="109" spans="1:23" ht="15.5" x14ac:dyDescent="0.35">
      <c r="A109" s="4" t="s">
        <v>214</v>
      </c>
      <c r="B109" s="4">
        <v>26</v>
      </c>
      <c r="C109">
        <v>4</v>
      </c>
      <c r="D109" s="4" t="s">
        <v>114</v>
      </c>
      <c r="E109" s="4">
        <v>0.26451612903225807</v>
      </c>
      <c r="F109">
        <f t="shared" si="1"/>
        <v>0.75376344086021518</v>
      </c>
      <c r="G109" s="7"/>
      <c r="H109" s="7"/>
      <c r="I109" s="7"/>
      <c r="J109" s="7"/>
      <c r="K109" s="7"/>
      <c r="L109" s="7"/>
      <c r="M109" s="6">
        <v>0.33</v>
      </c>
      <c r="N109" s="6">
        <v>0.33</v>
      </c>
      <c r="O109" s="7"/>
      <c r="P109" s="6">
        <v>0.33</v>
      </c>
      <c r="Q109" s="7"/>
      <c r="R109" s="7"/>
      <c r="S109" s="7"/>
      <c r="T109" s="7"/>
      <c r="U109" s="7"/>
      <c r="V109" s="7"/>
      <c r="W109" s="7"/>
    </row>
    <row r="110" spans="1:23" ht="15.5" x14ac:dyDescent="0.35">
      <c r="A110" s="4" t="s">
        <v>214</v>
      </c>
      <c r="B110" s="4">
        <v>26</v>
      </c>
      <c r="C110">
        <v>2</v>
      </c>
      <c r="D110" s="4" t="s">
        <v>112</v>
      </c>
      <c r="E110" s="4">
        <v>0.21935483870967748</v>
      </c>
      <c r="F110">
        <f t="shared" si="1"/>
        <v>0.70860215053763453</v>
      </c>
      <c r="G110" s="7"/>
      <c r="H110" s="7"/>
      <c r="I110" s="7"/>
      <c r="J110" s="7"/>
      <c r="K110" s="7"/>
      <c r="L110" s="7"/>
      <c r="M110" s="6">
        <v>0.33</v>
      </c>
      <c r="N110" s="6">
        <v>0.33</v>
      </c>
      <c r="O110" s="7"/>
      <c r="P110" s="6">
        <v>0.33</v>
      </c>
      <c r="Q110" s="7"/>
      <c r="R110" s="7"/>
      <c r="S110" s="7"/>
      <c r="T110" s="7"/>
      <c r="U110" s="7"/>
      <c r="V110" s="7"/>
      <c r="W110" s="7"/>
    </row>
    <row r="111" spans="1:23" ht="15.5" x14ac:dyDescent="0.35">
      <c r="A111" s="4" t="s">
        <v>214</v>
      </c>
      <c r="B111" s="4">
        <v>26</v>
      </c>
      <c r="C111">
        <v>1</v>
      </c>
      <c r="D111" s="4" t="s">
        <v>111</v>
      </c>
      <c r="E111" s="4">
        <v>0.20860215053763445</v>
      </c>
      <c r="F111">
        <f t="shared" si="1"/>
        <v>0.69784946236559153</v>
      </c>
      <c r="G111" s="7"/>
      <c r="H111" s="7"/>
      <c r="I111" s="7"/>
      <c r="J111" s="7"/>
      <c r="K111" s="7"/>
      <c r="L111" s="7"/>
      <c r="M111" s="6">
        <v>0.33</v>
      </c>
      <c r="N111" s="6">
        <v>0.33</v>
      </c>
      <c r="O111" s="7"/>
      <c r="P111" s="6">
        <v>0.33</v>
      </c>
      <c r="Q111" s="7"/>
      <c r="R111" s="7"/>
      <c r="S111" s="7"/>
      <c r="T111" s="7"/>
      <c r="U111" s="7"/>
      <c r="V111" s="7"/>
      <c r="W111" s="7"/>
    </row>
    <row r="112" spans="1:23" ht="15.5" x14ac:dyDescent="0.35">
      <c r="A112" s="4" t="s">
        <v>214</v>
      </c>
      <c r="B112" s="4">
        <v>27</v>
      </c>
      <c r="C112">
        <v>4</v>
      </c>
      <c r="D112" s="4" t="s">
        <v>119</v>
      </c>
      <c r="E112" s="4">
        <v>0.34086021505376352</v>
      </c>
      <c r="F112">
        <f t="shared" si="1"/>
        <v>0.83010752688172063</v>
      </c>
      <c r="G112" s="7"/>
      <c r="H112" s="7"/>
      <c r="I112" s="7"/>
      <c r="J112" s="7"/>
      <c r="K112" s="7"/>
      <c r="L112" s="7"/>
      <c r="M112" s="6">
        <v>0.33</v>
      </c>
      <c r="N112" s="6">
        <v>0.33</v>
      </c>
      <c r="O112" s="7"/>
      <c r="P112" s="6">
        <v>0.33</v>
      </c>
      <c r="Q112" s="7"/>
      <c r="R112" s="7"/>
      <c r="S112" s="7"/>
      <c r="T112" s="7"/>
      <c r="U112" s="7"/>
      <c r="V112" s="7"/>
      <c r="W112" s="7"/>
    </row>
    <row r="113" spans="1:23" ht="15.5" x14ac:dyDescent="0.35">
      <c r="A113" s="4" t="s">
        <v>214</v>
      </c>
      <c r="B113" s="4">
        <v>27</v>
      </c>
      <c r="C113">
        <v>2</v>
      </c>
      <c r="D113" s="4" t="s">
        <v>117</v>
      </c>
      <c r="E113" s="4">
        <v>0.31182795698924737</v>
      </c>
      <c r="F113">
        <f t="shared" si="1"/>
        <v>0.80107526881720448</v>
      </c>
      <c r="G113" s="7"/>
      <c r="H113" s="7"/>
      <c r="I113" s="7"/>
      <c r="J113" s="7"/>
      <c r="K113" s="7"/>
      <c r="L113" s="7"/>
      <c r="M113" s="6">
        <v>0.33</v>
      </c>
      <c r="N113" s="6">
        <v>0.33</v>
      </c>
      <c r="O113" s="7"/>
      <c r="P113" s="6">
        <v>0.33</v>
      </c>
      <c r="Q113" s="7"/>
      <c r="R113" s="7"/>
      <c r="S113" s="7"/>
      <c r="T113" s="7"/>
      <c r="U113" s="7"/>
      <c r="V113" s="7"/>
      <c r="W113" s="7"/>
    </row>
    <row r="114" spans="1:23" ht="15.5" x14ac:dyDescent="0.35">
      <c r="A114" s="4" t="s">
        <v>214</v>
      </c>
      <c r="B114" s="4">
        <v>27</v>
      </c>
      <c r="C114">
        <v>5</v>
      </c>
      <c r="D114" s="4" t="s">
        <v>120</v>
      </c>
      <c r="E114" s="4">
        <v>0.26451612903225807</v>
      </c>
      <c r="F114">
        <f t="shared" si="1"/>
        <v>0.75376344086021518</v>
      </c>
      <c r="G114" s="7"/>
      <c r="H114" s="7"/>
      <c r="I114" s="7"/>
      <c r="J114" s="7"/>
      <c r="K114" s="7"/>
      <c r="L114" s="7"/>
      <c r="M114" s="6">
        <v>0.33</v>
      </c>
      <c r="N114" s="6">
        <v>0.33</v>
      </c>
      <c r="O114" s="7"/>
      <c r="P114" s="6">
        <v>0.33</v>
      </c>
      <c r="Q114" s="7"/>
      <c r="R114" s="7"/>
      <c r="S114" s="7"/>
      <c r="T114" s="7"/>
      <c r="U114" s="7"/>
      <c r="V114" s="7"/>
      <c r="W114" s="7"/>
    </row>
    <row r="115" spans="1:23" ht="15.5" x14ac:dyDescent="0.35">
      <c r="A115" s="4" t="s">
        <v>214</v>
      </c>
      <c r="B115" s="4">
        <v>27</v>
      </c>
      <c r="C115">
        <v>3</v>
      </c>
      <c r="D115" s="4" t="s">
        <v>118</v>
      </c>
      <c r="E115" s="4">
        <v>0.21935483870967748</v>
      </c>
      <c r="F115">
        <f t="shared" si="1"/>
        <v>0.70860215053763453</v>
      </c>
      <c r="G115" s="7"/>
      <c r="H115" s="7"/>
      <c r="I115" s="7"/>
      <c r="J115" s="7"/>
      <c r="K115" s="7"/>
      <c r="L115" s="7"/>
      <c r="M115" s="6">
        <v>0.33</v>
      </c>
      <c r="N115" s="6">
        <v>0.33</v>
      </c>
      <c r="O115" s="7"/>
      <c r="P115" s="6">
        <v>0.33</v>
      </c>
      <c r="Q115" s="7"/>
      <c r="R115" s="7"/>
      <c r="S115" s="7"/>
      <c r="T115" s="7"/>
      <c r="U115" s="7"/>
      <c r="V115" s="7"/>
      <c r="W115" s="7"/>
    </row>
    <row r="116" spans="1:23" ht="15.5" x14ac:dyDescent="0.35">
      <c r="A116" s="4" t="s">
        <v>214</v>
      </c>
      <c r="B116" s="4">
        <v>27</v>
      </c>
      <c r="C116">
        <v>1</v>
      </c>
      <c r="D116" s="4" t="s">
        <v>116</v>
      </c>
      <c r="E116" s="4">
        <v>0.20860215053763445</v>
      </c>
      <c r="F116">
        <f t="shared" si="1"/>
        <v>0.69784946236559153</v>
      </c>
      <c r="G116" s="7"/>
      <c r="H116" s="7"/>
      <c r="I116" s="7"/>
      <c r="J116" s="7"/>
      <c r="K116" s="7"/>
      <c r="L116" s="7"/>
      <c r="M116" s="6">
        <v>0.33</v>
      </c>
      <c r="N116" s="6">
        <v>0.33</v>
      </c>
      <c r="O116" s="7"/>
      <c r="P116" s="6">
        <v>0.33</v>
      </c>
      <c r="Q116" s="7"/>
      <c r="R116" s="7"/>
      <c r="S116" s="7"/>
      <c r="T116" s="7"/>
      <c r="U116" s="7"/>
      <c r="V116" s="7"/>
      <c r="W116" s="7"/>
    </row>
    <row r="117" spans="1:23" ht="15.5" x14ac:dyDescent="0.35">
      <c r="A117" s="4" t="s">
        <v>214</v>
      </c>
      <c r="B117" s="4">
        <v>28</v>
      </c>
      <c r="C117">
        <v>3</v>
      </c>
      <c r="D117" s="4" t="s">
        <v>123</v>
      </c>
      <c r="E117" s="4">
        <v>-0.41290322580645161</v>
      </c>
      <c r="F117">
        <f t="shared" si="1"/>
        <v>7.6344086021505497E-2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>
        <v>1</v>
      </c>
      <c r="R117" s="7"/>
      <c r="S117" s="7"/>
      <c r="T117" s="7"/>
      <c r="U117" s="7"/>
      <c r="V117" s="7"/>
      <c r="W117" s="7"/>
    </row>
    <row r="118" spans="1:23" ht="15.5" x14ac:dyDescent="0.35">
      <c r="A118" s="4" t="s">
        <v>214</v>
      </c>
      <c r="B118" s="4">
        <v>28</v>
      </c>
      <c r="C118">
        <v>2</v>
      </c>
      <c r="D118" s="4" t="s">
        <v>122</v>
      </c>
      <c r="E118" s="4">
        <v>-0.42365591397849467</v>
      </c>
      <c r="F118">
        <f t="shared" si="1"/>
        <v>6.5591397849462441E-2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>
        <v>1</v>
      </c>
      <c r="R118" s="7"/>
      <c r="S118" s="7"/>
      <c r="T118" s="7"/>
      <c r="U118" s="7"/>
      <c r="V118" s="7"/>
      <c r="W118" s="7"/>
    </row>
    <row r="119" spans="1:23" ht="15.5" x14ac:dyDescent="0.35">
      <c r="A119" s="4" t="s">
        <v>214</v>
      </c>
      <c r="B119" s="4">
        <v>28</v>
      </c>
      <c r="C119">
        <v>5</v>
      </c>
      <c r="D119" s="4" t="s">
        <v>125</v>
      </c>
      <c r="E119" s="4">
        <v>-0.43010752688172044</v>
      </c>
      <c r="F119">
        <f t="shared" si="1"/>
        <v>5.9139784946236673E-2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>
        <v>1</v>
      </c>
      <c r="R119" s="7"/>
      <c r="S119" s="7"/>
      <c r="T119" s="7"/>
      <c r="U119" s="7"/>
      <c r="V119" s="7"/>
      <c r="W119" s="7"/>
    </row>
    <row r="120" spans="1:23" ht="15.5" x14ac:dyDescent="0.35">
      <c r="A120" s="4" t="s">
        <v>214</v>
      </c>
      <c r="B120" s="4">
        <v>28</v>
      </c>
      <c r="C120">
        <v>1</v>
      </c>
      <c r="D120" s="4" t="s">
        <v>121</v>
      </c>
      <c r="E120" s="4">
        <v>-0.47311827956989255</v>
      </c>
      <c r="F120">
        <f t="shared" si="1"/>
        <v>1.6129032258064557E-2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>
        <v>1</v>
      </c>
      <c r="R120" s="7"/>
      <c r="S120" s="7"/>
      <c r="T120" s="7"/>
      <c r="U120" s="7"/>
      <c r="V120" s="7"/>
      <c r="W120" s="7"/>
    </row>
    <row r="121" spans="1:23" ht="15.5" x14ac:dyDescent="0.35">
      <c r="A121" s="4" t="s">
        <v>214</v>
      </c>
      <c r="B121" s="4">
        <v>28</v>
      </c>
      <c r="C121">
        <v>4</v>
      </c>
      <c r="D121" s="4" t="s">
        <v>124</v>
      </c>
      <c r="E121" s="4">
        <v>-0.48924731182795711</v>
      </c>
      <c r="F121">
        <f t="shared" si="1"/>
        <v>0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>
        <v>1</v>
      </c>
      <c r="R121" s="7"/>
      <c r="S121" s="7"/>
      <c r="T121" s="7"/>
      <c r="U121" s="7"/>
      <c r="V121" s="7"/>
      <c r="W121" s="7"/>
    </row>
    <row r="122" spans="1:23" ht="15.5" x14ac:dyDescent="0.35">
      <c r="A122" s="4" t="s">
        <v>214</v>
      </c>
      <c r="B122" s="4">
        <v>29</v>
      </c>
      <c r="C122">
        <v>4</v>
      </c>
      <c r="D122" s="4" t="s">
        <v>129</v>
      </c>
      <c r="E122" s="4">
        <v>-2.0430107526881736E-2</v>
      </c>
      <c r="F122">
        <f t="shared" si="1"/>
        <v>0.46881720430107537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>
        <v>1</v>
      </c>
      <c r="R122" s="7"/>
      <c r="S122" s="7"/>
      <c r="T122" s="7"/>
      <c r="U122" s="7"/>
      <c r="V122" s="7"/>
      <c r="W122" s="7"/>
    </row>
    <row r="123" spans="1:23" ht="15.5" x14ac:dyDescent="0.35">
      <c r="A123" s="4" t="s">
        <v>214</v>
      </c>
      <c r="B123" s="4">
        <v>29</v>
      </c>
      <c r="C123">
        <v>3</v>
      </c>
      <c r="D123" s="4" t="s">
        <v>128</v>
      </c>
      <c r="E123" s="4">
        <v>-6.5591397849462385E-2</v>
      </c>
      <c r="F123">
        <f t="shared" si="1"/>
        <v>0.42365591397849472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>
        <v>1</v>
      </c>
      <c r="R123" s="7"/>
      <c r="S123" s="7"/>
      <c r="T123" s="7"/>
      <c r="U123" s="7"/>
      <c r="V123" s="7"/>
      <c r="W123" s="7"/>
    </row>
    <row r="124" spans="1:23" ht="15.5" x14ac:dyDescent="0.35">
      <c r="A124" s="4" t="s">
        <v>214</v>
      </c>
      <c r="B124" s="4">
        <v>29</v>
      </c>
      <c r="C124">
        <v>1</v>
      </c>
      <c r="D124" s="4" t="s">
        <v>126</v>
      </c>
      <c r="E124" s="4">
        <v>-7.6344086021505386E-2</v>
      </c>
      <c r="F124">
        <f t="shared" si="1"/>
        <v>0.41290322580645172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>
        <v>1</v>
      </c>
      <c r="R124" s="7"/>
      <c r="S124" s="7"/>
      <c r="T124" s="7"/>
      <c r="U124" s="7"/>
      <c r="V124" s="7"/>
      <c r="W124" s="7"/>
    </row>
    <row r="125" spans="1:23" ht="15.5" x14ac:dyDescent="0.35">
      <c r="A125" s="4" t="s">
        <v>214</v>
      </c>
      <c r="B125" s="4">
        <v>29</v>
      </c>
      <c r="C125">
        <v>2</v>
      </c>
      <c r="D125" s="4" t="s">
        <v>127</v>
      </c>
      <c r="E125" s="4">
        <v>-7.6344086021505386E-2</v>
      </c>
      <c r="F125">
        <f t="shared" si="1"/>
        <v>0.41290322580645172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>
        <v>1</v>
      </c>
      <c r="R125" s="7"/>
      <c r="S125" s="7"/>
      <c r="T125" s="7"/>
      <c r="U125" s="7"/>
      <c r="V125" s="7"/>
      <c r="W125" s="7"/>
    </row>
    <row r="126" spans="1:23" ht="15.5" x14ac:dyDescent="0.35">
      <c r="A126" s="4" t="s">
        <v>214</v>
      </c>
      <c r="B126" s="4">
        <v>29</v>
      </c>
      <c r="C126">
        <v>5</v>
      </c>
      <c r="D126" s="4" t="s">
        <v>130</v>
      </c>
      <c r="E126" s="4">
        <v>-8.2795698924731209E-2</v>
      </c>
      <c r="F126">
        <f t="shared" si="1"/>
        <v>0.4064516129032259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>
        <v>1</v>
      </c>
      <c r="R126" s="7"/>
      <c r="S126" s="7"/>
      <c r="T126" s="7"/>
      <c r="U126" s="7"/>
      <c r="V126" s="7"/>
      <c r="W126" s="7"/>
    </row>
    <row r="127" spans="1:23" ht="15.5" x14ac:dyDescent="0.35">
      <c r="A127" s="4" t="s">
        <v>214</v>
      </c>
      <c r="B127" s="4">
        <v>30</v>
      </c>
      <c r="C127">
        <v>5</v>
      </c>
      <c r="D127" s="4" t="s">
        <v>135</v>
      </c>
      <c r="E127" s="4">
        <v>-2.0430107526881736E-2</v>
      </c>
      <c r="F127">
        <f t="shared" si="1"/>
        <v>0.46881720430107537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>
        <v>1</v>
      </c>
      <c r="R127" s="7"/>
      <c r="S127" s="7"/>
      <c r="T127" s="7"/>
      <c r="U127" s="7"/>
      <c r="V127" s="7"/>
      <c r="W127" s="7"/>
    </row>
    <row r="128" spans="1:23" ht="15.5" x14ac:dyDescent="0.35">
      <c r="A128" s="4" t="s">
        <v>214</v>
      </c>
      <c r="B128" s="4">
        <v>30</v>
      </c>
      <c r="C128">
        <v>3</v>
      </c>
      <c r="D128" s="4" t="s">
        <v>133</v>
      </c>
      <c r="E128" s="4">
        <v>-6.5591397849462385E-2</v>
      </c>
      <c r="F128">
        <f t="shared" si="1"/>
        <v>0.42365591397849472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>
        <v>1</v>
      </c>
      <c r="R128" s="7"/>
      <c r="S128" s="7"/>
      <c r="T128" s="7"/>
      <c r="U128" s="7"/>
      <c r="V128" s="7"/>
      <c r="W128" s="7"/>
    </row>
    <row r="129" spans="1:23" ht="15.5" x14ac:dyDescent="0.35">
      <c r="A129" s="4" t="s">
        <v>214</v>
      </c>
      <c r="B129" s="4">
        <v>30</v>
      </c>
      <c r="C129">
        <v>4</v>
      </c>
      <c r="D129" s="4" t="s">
        <v>134</v>
      </c>
      <c r="E129" s="4">
        <v>-6.5591397849462385E-2</v>
      </c>
      <c r="F129">
        <f t="shared" si="1"/>
        <v>0.42365591397849472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>
        <v>1</v>
      </c>
      <c r="R129" s="7"/>
      <c r="S129" s="7"/>
      <c r="T129" s="7"/>
      <c r="U129" s="7"/>
      <c r="V129" s="7"/>
      <c r="W129" s="7"/>
    </row>
    <row r="130" spans="1:23" ht="15.5" x14ac:dyDescent="0.35">
      <c r="A130" s="4" t="s">
        <v>214</v>
      </c>
      <c r="B130" s="4">
        <v>30</v>
      </c>
      <c r="C130">
        <v>1</v>
      </c>
      <c r="D130" s="4" t="s">
        <v>131</v>
      </c>
      <c r="E130" s="4">
        <v>-7.6344086021505386E-2</v>
      </c>
      <c r="F130">
        <f t="shared" si="1"/>
        <v>0.41290322580645172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>
        <v>1</v>
      </c>
      <c r="R130" s="7"/>
      <c r="S130" s="7"/>
      <c r="T130" s="7"/>
      <c r="U130" s="7"/>
      <c r="V130" s="7"/>
      <c r="W130" s="7"/>
    </row>
    <row r="131" spans="1:23" ht="15.5" x14ac:dyDescent="0.35">
      <c r="A131" s="4" t="s">
        <v>214</v>
      </c>
      <c r="B131" s="4">
        <v>30</v>
      </c>
      <c r="C131">
        <v>2</v>
      </c>
      <c r="D131" s="4" t="s">
        <v>132</v>
      </c>
      <c r="E131" s="4">
        <v>-7.6344086021505386E-2</v>
      </c>
      <c r="F131">
        <f t="shared" ref="F131:F188" si="2">E131-$E$121</f>
        <v>0.41290322580645172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>
        <v>1</v>
      </c>
      <c r="R131" s="7"/>
      <c r="S131" s="7"/>
      <c r="T131" s="7"/>
      <c r="U131" s="7"/>
      <c r="V131" s="7"/>
      <c r="W131" s="7"/>
    </row>
    <row r="132" spans="1:23" ht="15.5" x14ac:dyDescent="0.35">
      <c r="A132" s="4" t="s">
        <v>215</v>
      </c>
      <c r="B132" s="4">
        <v>31</v>
      </c>
      <c r="C132">
        <v>5</v>
      </c>
      <c r="D132" s="4" t="s">
        <v>137</v>
      </c>
      <c r="E132" s="4">
        <v>-0.43225806451612903</v>
      </c>
      <c r="F132">
        <f t="shared" si="2"/>
        <v>5.6989247311828084E-2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>
        <v>1</v>
      </c>
      <c r="R132" s="7"/>
      <c r="S132" s="7"/>
      <c r="T132" s="7"/>
      <c r="U132" s="7"/>
      <c r="V132" s="7"/>
      <c r="W132" s="7"/>
    </row>
    <row r="133" spans="1:23" ht="15.5" x14ac:dyDescent="0.35">
      <c r="A133" s="4" t="s">
        <v>215</v>
      </c>
      <c r="B133" s="4">
        <v>31</v>
      </c>
      <c r="C133">
        <v>4</v>
      </c>
      <c r="D133" s="4" t="s">
        <v>136</v>
      </c>
      <c r="E133" s="4">
        <v>-0.47741935483870968</v>
      </c>
      <c r="F133">
        <f t="shared" si="2"/>
        <v>1.1827956989247435E-2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>
        <v>1</v>
      </c>
      <c r="R133" s="7"/>
      <c r="S133" s="7"/>
      <c r="T133" s="7"/>
      <c r="U133" s="7"/>
      <c r="V133" s="7"/>
      <c r="W133" s="7"/>
    </row>
    <row r="134" spans="1:23" ht="15.5" x14ac:dyDescent="0.35">
      <c r="A134" s="4" t="s">
        <v>215</v>
      </c>
      <c r="B134" s="4">
        <v>32</v>
      </c>
      <c r="C134">
        <v>5</v>
      </c>
      <c r="D134" s="4" t="s">
        <v>139</v>
      </c>
      <c r="E134" s="4">
        <v>-0.43225806451612903</v>
      </c>
      <c r="F134">
        <f t="shared" si="2"/>
        <v>5.6989247311828084E-2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>
        <v>1</v>
      </c>
      <c r="R134" s="7"/>
      <c r="S134" s="7"/>
      <c r="T134" s="7"/>
      <c r="U134" s="7"/>
      <c r="V134" s="7"/>
      <c r="W134" s="7"/>
    </row>
    <row r="135" spans="1:23" ht="15.5" x14ac:dyDescent="0.35">
      <c r="A135" s="4" t="s">
        <v>215</v>
      </c>
      <c r="B135" s="4">
        <v>32</v>
      </c>
      <c r="C135">
        <v>4</v>
      </c>
      <c r="D135" s="4" t="s">
        <v>138</v>
      </c>
      <c r="E135" s="4">
        <v>-0.47741935483870968</v>
      </c>
      <c r="F135">
        <f t="shared" si="2"/>
        <v>1.1827956989247435E-2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>
        <v>1</v>
      </c>
      <c r="R135" s="7"/>
      <c r="S135" s="7"/>
      <c r="T135" s="7"/>
      <c r="U135" s="7"/>
      <c r="V135" s="7"/>
      <c r="W135" s="7"/>
    </row>
    <row r="136" spans="1:23" ht="15.5" x14ac:dyDescent="0.35">
      <c r="A136" s="4" t="s">
        <v>214</v>
      </c>
      <c r="B136" s="4">
        <v>33</v>
      </c>
      <c r="C136">
        <v>5</v>
      </c>
      <c r="D136" s="4" t="s">
        <v>142</v>
      </c>
      <c r="E136" s="4">
        <v>-0.22043010752688175</v>
      </c>
      <c r="F136">
        <f t="shared" si="2"/>
        <v>0.26881720430107536</v>
      </c>
      <c r="G136" s="7"/>
      <c r="H136" s="7"/>
      <c r="I136" s="6">
        <v>0.33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6">
        <v>0.33</v>
      </c>
      <c r="V136" s="7"/>
      <c r="W136" s="6">
        <v>0.33</v>
      </c>
    </row>
    <row r="137" spans="1:23" ht="15.5" x14ac:dyDescent="0.35">
      <c r="A137" s="4" t="s">
        <v>214</v>
      </c>
      <c r="B137" s="4">
        <v>33</v>
      </c>
      <c r="C137">
        <v>4</v>
      </c>
      <c r="D137" s="4" t="s">
        <v>141</v>
      </c>
      <c r="E137" s="4">
        <v>-0.25376344086021507</v>
      </c>
      <c r="F137">
        <f t="shared" si="2"/>
        <v>0.23548387096774204</v>
      </c>
      <c r="G137" s="7"/>
      <c r="H137" s="7"/>
      <c r="I137" s="6">
        <v>0.33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6">
        <v>0.33</v>
      </c>
      <c r="V137" s="7"/>
      <c r="W137" s="6">
        <v>0.33</v>
      </c>
    </row>
    <row r="138" spans="1:23" ht="15.5" x14ac:dyDescent="0.35">
      <c r="A138" s="4" t="s">
        <v>214</v>
      </c>
      <c r="B138" s="4">
        <v>33</v>
      </c>
      <c r="C138">
        <v>3</v>
      </c>
      <c r="D138" s="4" t="s">
        <v>140</v>
      </c>
      <c r="E138" s="4">
        <v>-0.29892473118279572</v>
      </c>
      <c r="F138">
        <f t="shared" si="2"/>
        <v>0.19032258064516139</v>
      </c>
      <c r="G138" s="7"/>
      <c r="H138" s="7"/>
      <c r="I138" s="6">
        <v>0.33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6">
        <v>0.33</v>
      </c>
      <c r="V138" s="7"/>
      <c r="W138" s="6">
        <v>0.33</v>
      </c>
    </row>
    <row r="139" spans="1:23" ht="15.5" x14ac:dyDescent="0.35">
      <c r="A139" s="4" t="s">
        <v>214</v>
      </c>
      <c r="B139" s="4">
        <v>34</v>
      </c>
      <c r="C139">
        <v>5</v>
      </c>
      <c r="D139" s="4" t="s">
        <v>147</v>
      </c>
      <c r="E139" s="4">
        <v>-4.8387096774193616E-2</v>
      </c>
      <c r="F139">
        <f t="shared" si="2"/>
        <v>0.44086021505376349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>
        <v>0.25</v>
      </c>
      <c r="U139" s="6">
        <v>0.25</v>
      </c>
      <c r="V139" s="6">
        <v>0.25</v>
      </c>
      <c r="W139" s="6">
        <v>0.25</v>
      </c>
    </row>
    <row r="140" spans="1:23" ht="15.5" x14ac:dyDescent="0.35">
      <c r="A140" s="4" t="s">
        <v>214</v>
      </c>
      <c r="B140" s="4">
        <v>34</v>
      </c>
      <c r="C140">
        <v>3</v>
      </c>
      <c r="D140" s="4" t="s">
        <v>145</v>
      </c>
      <c r="E140" s="4">
        <v>-0.11827956989247307</v>
      </c>
      <c r="F140">
        <f t="shared" si="2"/>
        <v>0.37096774193548404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>
        <v>0.25</v>
      </c>
      <c r="U140" s="6">
        <v>0.25</v>
      </c>
      <c r="V140" s="6">
        <v>0.25</v>
      </c>
      <c r="W140" s="6">
        <v>0.25</v>
      </c>
    </row>
    <row r="141" spans="1:23" ht="15.5" x14ac:dyDescent="0.35">
      <c r="A141" s="4" t="s">
        <v>214</v>
      </c>
      <c r="B141" s="4">
        <v>34</v>
      </c>
      <c r="C141">
        <v>4</v>
      </c>
      <c r="D141" s="4" t="s">
        <v>146</v>
      </c>
      <c r="E141" s="4">
        <v>-0.11827956989247307</v>
      </c>
      <c r="F141">
        <f t="shared" si="2"/>
        <v>0.37096774193548404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>
        <v>0.25</v>
      </c>
      <c r="U141" s="6">
        <v>0.25</v>
      </c>
      <c r="V141" s="6">
        <v>0.25</v>
      </c>
      <c r="W141" s="6">
        <v>0.25</v>
      </c>
    </row>
    <row r="142" spans="1:23" ht="15.5" x14ac:dyDescent="0.35">
      <c r="A142" s="4" t="s">
        <v>214</v>
      </c>
      <c r="B142" s="4">
        <v>34</v>
      </c>
      <c r="C142">
        <v>2</v>
      </c>
      <c r="D142" s="4" t="s">
        <v>144</v>
      </c>
      <c r="E142" s="4">
        <v>-0.20860215053763437</v>
      </c>
      <c r="F142">
        <f t="shared" si="2"/>
        <v>0.28064516129032274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>
        <v>0.25</v>
      </c>
      <c r="U142" s="6">
        <v>0.25</v>
      </c>
      <c r="V142" s="6">
        <v>0.25</v>
      </c>
      <c r="W142" s="6">
        <v>0.25</v>
      </c>
    </row>
    <row r="143" spans="1:23" ht="15.5" x14ac:dyDescent="0.35">
      <c r="A143" s="4" t="s">
        <v>214</v>
      </c>
      <c r="B143" s="4">
        <v>34</v>
      </c>
      <c r="C143">
        <v>1</v>
      </c>
      <c r="D143" s="4" t="s">
        <v>143</v>
      </c>
      <c r="E143" s="4">
        <v>-0.31182795698924731</v>
      </c>
      <c r="F143">
        <f t="shared" si="2"/>
        <v>0.1774193548387098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>
        <v>0.25</v>
      </c>
      <c r="U143" s="6">
        <v>0.25</v>
      </c>
      <c r="V143" s="6">
        <v>0.25</v>
      </c>
      <c r="W143" s="6">
        <v>0.25</v>
      </c>
    </row>
    <row r="144" spans="1:23" ht="15.5" x14ac:dyDescent="0.35">
      <c r="A144" s="4" t="s">
        <v>214</v>
      </c>
      <c r="B144" s="4">
        <v>35</v>
      </c>
      <c r="C144">
        <v>5</v>
      </c>
      <c r="D144" s="4" t="s">
        <v>152</v>
      </c>
      <c r="E144" s="4">
        <v>0.33440860215053758</v>
      </c>
      <c r="F144">
        <f t="shared" si="2"/>
        <v>0.82365591397849469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6">
        <v>0.5</v>
      </c>
      <c r="W144" s="6">
        <v>0.5</v>
      </c>
    </row>
    <row r="145" spans="1:23" ht="15.5" x14ac:dyDescent="0.35">
      <c r="A145" s="4" t="s">
        <v>214</v>
      </c>
      <c r="B145" s="4">
        <v>35</v>
      </c>
      <c r="C145">
        <v>4</v>
      </c>
      <c r="D145" s="4" t="s">
        <v>151</v>
      </c>
      <c r="E145" s="4">
        <v>0.26989247311827963</v>
      </c>
      <c r="F145">
        <f t="shared" si="2"/>
        <v>0.75913978494623668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6">
        <v>0.5</v>
      </c>
      <c r="W145" s="6">
        <v>0.5</v>
      </c>
    </row>
    <row r="146" spans="1:23" ht="15.5" x14ac:dyDescent="0.35">
      <c r="A146" s="4" t="s">
        <v>214</v>
      </c>
      <c r="B146" s="4">
        <v>35</v>
      </c>
      <c r="C146">
        <v>2</v>
      </c>
      <c r="D146" s="4" t="s">
        <v>149</v>
      </c>
      <c r="E146" s="4">
        <v>0.24623655913978496</v>
      </c>
      <c r="F146">
        <f t="shared" si="2"/>
        <v>0.73548387096774204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6">
        <v>0.5</v>
      </c>
      <c r="W146" s="6">
        <v>0.5</v>
      </c>
    </row>
    <row r="147" spans="1:23" ht="15.5" x14ac:dyDescent="0.35">
      <c r="A147" s="4" t="s">
        <v>214</v>
      </c>
      <c r="B147" s="4">
        <v>35</v>
      </c>
      <c r="C147">
        <v>3</v>
      </c>
      <c r="D147" s="4" t="s">
        <v>150</v>
      </c>
      <c r="E147" s="4">
        <v>0.24623655913978496</v>
      </c>
      <c r="F147">
        <f t="shared" si="2"/>
        <v>0.73548387096774204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6">
        <v>0.5</v>
      </c>
      <c r="W147" s="6">
        <v>0.5</v>
      </c>
    </row>
    <row r="148" spans="1:23" ht="15.5" x14ac:dyDescent="0.35">
      <c r="A148" s="4" t="s">
        <v>214</v>
      </c>
      <c r="B148" s="4">
        <v>35</v>
      </c>
      <c r="C148">
        <v>1</v>
      </c>
      <c r="D148" s="4" t="s">
        <v>148</v>
      </c>
      <c r="E148" s="4">
        <v>0.14301075268817207</v>
      </c>
      <c r="F148">
        <f t="shared" si="2"/>
        <v>0.6322580645161292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6">
        <v>0.5</v>
      </c>
      <c r="W148" s="6">
        <v>0.5</v>
      </c>
    </row>
    <row r="149" spans="1:23" ht="15.5" x14ac:dyDescent="0.35">
      <c r="A149" s="4" t="s">
        <v>214</v>
      </c>
      <c r="B149" s="4">
        <v>36</v>
      </c>
      <c r="C149">
        <v>5</v>
      </c>
      <c r="D149" s="4" t="s">
        <v>157</v>
      </c>
      <c r="E149" s="4">
        <v>0.33440860215053758</v>
      </c>
      <c r="F149">
        <f t="shared" si="2"/>
        <v>0.82365591397849469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>
        <v>0.5</v>
      </c>
      <c r="U149" s="6">
        <v>0.5</v>
      </c>
      <c r="V149" s="7"/>
      <c r="W149" s="7"/>
    </row>
    <row r="150" spans="1:23" ht="15.5" x14ac:dyDescent="0.35">
      <c r="A150" s="4" t="s">
        <v>214</v>
      </c>
      <c r="B150" s="4">
        <v>36</v>
      </c>
      <c r="C150">
        <v>4</v>
      </c>
      <c r="D150" s="4" t="s">
        <v>156</v>
      </c>
      <c r="E150" s="4">
        <v>0.26989247311827963</v>
      </c>
      <c r="F150">
        <f t="shared" si="2"/>
        <v>0.75913978494623668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>
        <v>0.5</v>
      </c>
      <c r="U150" s="6">
        <v>0.5</v>
      </c>
      <c r="V150" s="7"/>
      <c r="W150" s="7"/>
    </row>
    <row r="151" spans="1:23" ht="15.5" x14ac:dyDescent="0.35">
      <c r="A151" s="4" t="s">
        <v>214</v>
      </c>
      <c r="B151" s="4">
        <v>36</v>
      </c>
      <c r="C151">
        <v>2</v>
      </c>
      <c r="D151" s="4" t="s">
        <v>154</v>
      </c>
      <c r="E151" s="4">
        <v>0.24623655913978496</v>
      </c>
      <c r="F151">
        <f t="shared" si="2"/>
        <v>0.73548387096774204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>
        <v>0.5</v>
      </c>
      <c r="U151" s="6">
        <v>0.5</v>
      </c>
      <c r="V151" s="7"/>
      <c r="W151" s="7"/>
    </row>
    <row r="152" spans="1:23" ht="15.5" x14ac:dyDescent="0.35">
      <c r="A152" s="4" t="s">
        <v>214</v>
      </c>
      <c r="B152" s="4">
        <v>36</v>
      </c>
      <c r="C152">
        <v>3</v>
      </c>
      <c r="D152" s="4" t="s">
        <v>155</v>
      </c>
      <c r="E152" s="4">
        <v>0.24623655913978496</v>
      </c>
      <c r="F152">
        <f t="shared" si="2"/>
        <v>0.73548387096774204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>
        <v>0.5</v>
      </c>
      <c r="U152" s="6">
        <v>0.5</v>
      </c>
      <c r="V152" s="7"/>
      <c r="W152" s="7"/>
    </row>
    <row r="153" spans="1:23" ht="15.5" x14ac:dyDescent="0.35">
      <c r="A153" s="4" t="s">
        <v>214</v>
      </c>
      <c r="B153" s="4">
        <v>36</v>
      </c>
      <c r="C153">
        <v>1</v>
      </c>
      <c r="D153" s="4" t="s">
        <v>153</v>
      </c>
      <c r="E153" s="4">
        <v>0.14301075268817207</v>
      </c>
      <c r="F153">
        <f t="shared" si="2"/>
        <v>0.6322580645161292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>
        <v>0.5</v>
      </c>
      <c r="U153" s="6">
        <v>0.5</v>
      </c>
      <c r="V153" s="7"/>
      <c r="W153" s="7"/>
    </row>
    <row r="154" spans="1:23" ht="15.5" x14ac:dyDescent="0.35">
      <c r="A154" s="4" t="s">
        <v>214</v>
      </c>
      <c r="B154" s="4">
        <v>37</v>
      </c>
      <c r="C154">
        <v>3</v>
      </c>
      <c r="D154" s="4" t="s">
        <v>160</v>
      </c>
      <c r="E154" s="4">
        <v>5.8064516129032295E-2</v>
      </c>
      <c r="F154">
        <f t="shared" si="2"/>
        <v>0.54731182795698941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>
        <v>0.5</v>
      </c>
      <c r="U154" s="6">
        <v>0.5</v>
      </c>
      <c r="V154" s="7"/>
      <c r="W154" s="7"/>
    </row>
    <row r="155" spans="1:23" ht="15.5" x14ac:dyDescent="0.35">
      <c r="A155" s="4" t="s">
        <v>214</v>
      </c>
      <c r="B155" s="4">
        <v>37</v>
      </c>
      <c r="C155">
        <v>1</v>
      </c>
      <c r="D155" s="4" t="s">
        <v>158</v>
      </c>
      <c r="E155" s="4">
        <v>4.7311827956989294E-2</v>
      </c>
      <c r="F155">
        <f t="shared" si="2"/>
        <v>0.5365591397849464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>
        <v>0.5</v>
      </c>
      <c r="U155" s="6">
        <v>0.5</v>
      </c>
      <c r="V155" s="7"/>
      <c r="W155" s="7"/>
    </row>
    <row r="156" spans="1:23" ht="15.5" x14ac:dyDescent="0.35">
      <c r="A156" s="4" t="s">
        <v>214</v>
      </c>
      <c r="B156" s="4">
        <v>37</v>
      </c>
      <c r="C156">
        <v>2</v>
      </c>
      <c r="D156" s="4" t="s">
        <v>159</v>
      </c>
      <c r="E156" s="4">
        <v>4.7311827956989294E-2</v>
      </c>
      <c r="F156">
        <f t="shared" si="2"/>
        <v>0.5365591397849464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>
        <v>0.5</v>
      </c>
      <c r="U156" s="6">
        <v>0.5</v>
      </c>
      <c r="V156" s="7"/>
      <c r="W156" s="7"/>
    </row>
    <row r="157" spans="1:23" ht="15.5" x14ac:dyDescent="0.35">
      <c r="A157" s="4" t="s">
        <v>214</v>
      </c>
      <c r="B157" s="4">
        <v>37</v>
      </c>
      <c r="C157">
        <v>5</v>
      </c>
      <c r="D157" s="4" t="s">
        <v>162</v>
      </c>
      <c r="E157" s="4">
        <v>7.5268817204300897E-3</v>
      </c>
      <c r="F157">
        <f t="shared" si="2"/>
        <v>0.4967741935483872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>
        <v>0.5</v>
      </c>
      <c r="U157" s="6">
        <v>0.5</v>
      </c>
      <c r="V157" s="7"/>
      <c r="W157" s="7"/>
    </row>
    <row r="158" spans="1:23" ht="15.5" x14ac:dyDescent="0.35">
      <c r="A158" s="4" t="s">
        <v>214</v>
      </c>
      <c r="B158" s="4">
        <v>37</v>
      </c>
      <c r="C158">
        <v>4</v>
      </c>
      <c r="D158" s="4" t="s">
        <v>161</v>
      </c>
      <c r="E158" s="4">
        <v>5.3763440860215006E-3</v>
      </c>
      <c r="F158">
        <f t="shared" si="2"/>
        <v>0.49462365591397861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>
        <v>0.5</v>
      </c>
      <c r="U158" s="6">
        <v>0.5</v>
      </c>
      <c r="V158" s="7"/>
      <c r="W158" s="7"/>
    </row>
    <row r="159" spans="1:23" ht="15.5" x14ac:dyDescent="0.35">
      <c r="A159" s="4" t="s">
        <v>214</v>
      </c>
      <c r="B159" s="4">
        <v>38</v>
      </c>
      <c r="C159">
        <v>4</v>
      </c>
      <c r="D159" s="4" t="s">
        <v>166</v>
      </c>
      <c r="E159" s="4">
        <v>0.10322580645161289</v>
      </c>
      <c r="F159">
        <f t="shared" si="2"/>
        <v>0.59247311827956994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>
        <v>0.5</v>
      </c>
      <c r="U159" s="6">
        <v>0.5</v>
      </c>
      <c r="V159" s="7"/>
      <c r="W159" s="7"/>
    </row>
    <row r="160" spans="1:23" ht="15.5" x14ac:dyDescent="0.35">
      <c r="A160" s="4" t="s">
        <v>214</v>
      </c>
      <c r="B160" s="4">
        <v>38</v>
      </c>
      <c r="C160">
        <v>2</v>
      </c>
      <c r="D160" s="4" t="s">
        <v>164</v>
      </c>
      <c r="E160" s="4">
        <v>5.8064516129032295E-2</v>
      </c>
      <c r="F160">
        <f t="shared" si="2"/>
        <v>0.54731182795698941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>
        <v>0.5</v>
      </c>
      <c r="U160" s="6">
        <v>0.5</v>
      </c>
      <c r="V160" s="7"/>
      <c r="W160" s="7"/>
    </row>
    <row r="161" spans="1:23" ht="15.5" x14ac:dyDescent="0.35">
      <c r="A161" s="4" t="s">
        <v>214</v>
      </c>
      <c r="B161" s="4">
        <v>38</v>
      </c>
      <c r="C161">
        <v>3</v>
      </c>
      <c r="D161" s="4" t="s">
        <v>165</v>
      </c>
      <c r="E161" s="4">
        <v>5.8064516129032295E-2</v>
      </c>
      <c r="F161">
        <f t="shared" si="2"/>
        <v>0.54731182795698941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>
        <v>0.5</v>
      </c>
      <c r="U161" s="6">
        <v>0.5</v>
      </c>
      <c r="V161" s="7"/>
      <c r="W161" s="7"/>
    </row>
    <row r="162" spans="1:23" ht="15.5" x14ac:dyDescent="0.35">
      <c r="A162" s="4" t="s">
        <v>214</v>
      </c>
      <c r="B162" s="4">
        <v>38</v>
      </c>
      <c r="C162">
        <v>1</v>
      </c>
      <c r="D162" s="4" t="s">
        <v>163</v>
      </c>
      <c r="E162" s="4">
        <v>4.7311827956989294E-2</v>
      </c>
      <c r="F162">
        <f t="shared" si="2"/>
        <v>0.5365591397849464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>
        <v>0.5</v>
      </c>
      <c r="U162" s="6">
        <v>0.5</v>
      </c>
      <c r="V162" s="7"/>
      <c r="W162" s="7"/>
    </row>
    <row r="163" spans="1:23" ht="15.5" x14ac:dyDescent="0.35">
      <c r="A163" s="4" t="s">
        <v>214</v>
      </c>
      <c r="B163" s="4">
        <v>38</v>
      </c>
      <c r="C163">
        <v>5</v>
      </c>
      <c r="D163" s="4" t="s">
        <v>167</v>
      </c>
      <c r="E163" s="4">
        <v>4.0860215053763416E-2</v>
      </c>
      <c r="F163">
        <f t="shared" si="2"/>
        <v>0.53010752688172058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>
        <v>0.5</v>
      </c>
      <c r="U163" s="6">
        <v>0.5</v>
      </c>
      <c r="V163" s="7"/>
      <c r="W163" s="7"/>
    </row>
    <row r="164" spans="1:23" ht="15.5" x14ac:dyDescent="0.35">
      <c r="A164" s="4" t="s">
        <v>214</v>
      </c>
      <c r="B164" s="4">
        <v>39</v>
      </c>
      <c r="C164">
        <v>5</v>
      </c>
      <c r="D164" s="4" t="s">
        <v>172</v>
      </c>
      <c r="E164" s="4">
        <v>0.2978494623655914</v>
      </c>
      <c r="F164">
        <f t="shared" si="2"/>
        <v>0.78709677419354851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>
        <v>0.25</v>
      </c>
      <c r="U164" s="6">
        <v>0.25</v>
      </c>
      <c r="V164" s="6">
        <v>0.25</v>
      </c>
      <c r="W164" s="6">
        <v>0.25</v>
      </c>
    </row>
    <row r="165" spans="1:23" ht="15.5" x14ac:dyDescent="0.35">
      <c r="A165" s="4" t="s">
        <v>214</v>
      </c>
      <c r="B165" s="4">
        <v>39</v>
      </c>
      <c r="C165">
        <v>4</v>
      </c>
      <c r="D165" s="4" t="s">
        <v>171</v>
      </c>
      <c r="E165" s="4">
        <v>0.26451612903225807</v>
      </c>
      <c r="F165">
        <f t="shared" si="2"/>
        <v>0.75376344086021518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>
        <v>0.25</v>
      </c>
      <c r="U165" s="6">
        <v>0.25</v>
      </c>
      <c r="V165" s="6">
        <v>0.25</v>
      </c>
      <c r="W165" s="6">
        <v>0.25</v>
      </c>
    </row>
    <row r="166" spans="1:23" ht="15.5" x14ac:dyDescent="0.35">
      <c r="A166" s="4" t="s">
        <v>214</v>
      </c>
      <c r="B166" s="4">
        <v>39</v>
      </c>
      <c r="C166">
        <v>2</v>
      </c>
      <c r="D166" s="4" t="s">
        <v>169</v>
      </c>
      <c r="E166" s="4">
        <v>0.21935483870967748</v>
      </c>
      <c r="F166">
        <f t="shared" si="2"/>
        <v>0.70860215053763453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>
        <v>0.25</v>
      </c>
      <c r="U166" s="6">
        <v>0.25</v>
      </c>
      <c r="V166" s="6">
        <v>0.25</v>
      </c>
      <c r="W166" s="6">
        <v>0.25</v>
      </c>
    </row>
    <row r="167" spans="1:23" ht="15.5" x14ac:dyDescent="0.35">
      <c r="A167" s="4" t="s">
        <v>214</v>
      </c>
      <c r="B167" s="4">
        <v>39</v>
      </c>
      <c r="C167">
        <v>3</v>
      </c>
      <c r="D167" s="4" t="s">
        <v>170</v>
      </c>
      <c r="E167" s="4">
        <v>0.21935483870967748</v>
      </c>
      <c r="F167">
        <f t="shared" si="2"/>
        <v>0.70860215053763453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>
        <v>0.25</v>
      </c>
      <c r="U167" s="6">
        <v>0.25</v>
      </c>
      <c r="V167" s="6">
        <v>0.25</v>
      </c>
      <c r="W167" s="6">
        <v>0.25</v>
      </c>
    </row>
    <row r="168" spans="1:23" ht="15.5" x14ac:dyDescent="0.35">
      <c r="A168" s="4" t="s">
        <v>214</v>
      </c>
      <c r="B168" s="4">
        <v>39</v>
      </c>
      <c r="C168">
        <v>1</v>
      </c>
      <c r="D168" s="4" t="s">
        <v>168</v>
      </c>
      <c r="E168" s="4">
        <v>0.20860215053763445</v>
      </c>
      <c r="F168">
        <f t="shared" si="2"/>
        <v>0.69784946236559153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>
        <v>0.25</v>
      </c>
      <c r="U168" s="6">
        <v>0.25</v>
      </c>
      <c r="V168" s="6">
        <v>0.25</v>
      </c>
      <c r="W168" s="6">
        <v>0.25</v>
      </c>
    </row>
    <row r="169" spans="1:23" ht="15.5" x14ac:dyDescent="0.35">
      <c r="A169" s="4" t="s">
        <v>215</v>
      </c>
      <c r="B169" s="4">
        <v>40</v>
      </c>
      <c r="C169">
        <v>5</v>
      </c>
      <c r="D169" s="4" t="s">
        <v>174</v>
      </c>
      <c r="E169" s="4">
        <v>-0.13763440860215054</v>
      </c>
      <c r="F169">
        <f t="shared" si="2"/>
        <v>0.35161290322580657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6">
        <v>0.5</v>
      </c>
      <c r="V169" s="7"/>
      <c r="W169" s="6">
        <v>0.5</v>
      </c>
    </row>
    <row r="170" spans="1:23" ht="15.5" x14ac:dyDescent="0.35">
      <c r="A170" s="4" t="s">
        <v>215</v>
      </c>
      <c r="B170" s="4">
        <v>40</v>
      </c>
      <c r="C170">
        <v>4</v>
      </c>
      <c r="D170" s="4" t="s">
        <v>173</v>
      </c>
      <c r="E170" s="4">
        <v>-0.14838709677419348</v>
      </c>
      <c r="F170">
        <f t="shared" si="2"/>
        <v>0.34086021505376363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6">
        <v>0.5</v>
      </c>
      <c r="V170" s="7"/>
      <c r="W170" s="6">
        <v>0.5</v>
      </c>
    </row>
    <row r="171" spans="1:23" ht="15.5" x14ac:dyDescent="0.35">
      <c r="A171" s="4" t="s">
        <v>215</v>
      </c>
      <c r="B171" s="4">
        <v>41</v>
      </c>
      <c r="C171">
        <v>4</v>
      </c>
      <c r="D171" s="4" t="s">
        <v>175</v>
      </c>
      <c r="E171" s="4">
        <v>-0.36344086021505373</v>
      </c>
      <c r="F171">
        <f t="shared" si="2"/>
        <v>0.12580645161290338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6">
        <v>0.5</v>
      </c>
      <c r="V171" s="7"/>
      <c r="W171" s="6">
        <v>0.5</v>
      </c>
    </row>
    <row r="172" spans="1:23" ht="15.5" x14ac:dyDescent="0.35">
      <c r="A172" s="4" t="s">
        <v>215</v>
      </c>
      <c r="B172" s="4">
        <v>41</v>
      </c>
      <c r="C172">
        <v>5</v>
      </c>
      <c r="D172" s="4" t="s">
        <v>176</v>
      </c>
      <c r="E172" s="4">
        <v>-0.38064516129032255</v>
      </c>
      <c r="F172">
        <f t="shared" si="2"/>
        <v>0.10860215053763456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6">
        <v>0.5</v>
      </c>
      <c r="V172" s="7"/>
      <c r="W172" s="6">
        <v>0.5</v>
      </c>
    </row>
    <row r="173" spans="1:23" ht="15.5" x14ac:dyDescent="0.35">
      <c r="A173" s="4" t="s">
        <v>214</v>
      </c>
      <c r="B173" s="4">
        <v>42</v>
      </c>
      <c r="C173">
        <v>2</v>
      </c>
      <c r="D173" s="4" t="s">
        <v>178</v>
      </c>
      <c r="E173" s="4">
        <v>0.31182795698924737</v>
      </c>
      <c r="F173">
        <f t="shared" si="2"/>
        <v>0.80107526881720448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>
        <v>1</v>
      </c>
      <c r="U173" s="7"/>
      <c r="V173" s="7"/>
      <c r="W173" s="7"/>
    </row>
    <row r="174" spans="1:23" ht="15.5" x14ac:dyDescent="0.35">
      <c r="A174" s="4" t="s">
        <v>214</v>
      </c>
      <c r="B174" s="4">
        <v>42</v>
      </c>
      <c r="C174">
        <v>5</v>
      </c>
      <c r="D174" s="4" t="s">
        <v>181</v>
      </c>
      <c r="E174" s="4">
        <v>0.2978494623655914</v>
      </c>
      <c r="F174">
        <f t="shared" si="2"/>
        <v>0.78709677419354851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>
        <v>1</v>
      </c>
      <c r="U174" s="7"/>
      <c r="V174" s="7"/>
      <c r="W174" s="7"/>
    </row>
    <row r="175" spans="1:23" ht="15.5" x14ac:dyDescent="0.35">
      <c r="A175" s="4" t="s">
        <v>214</v>
      </c>
      <c r="B175" s="4">
        <v>42</v>
      </c>
      <c r="C175">
        <v>4</v>
      </c>
      <c r="D175" s="4" t="s">
        <v>180</v>
      </c>
      <c r="E175" s="4">
        <v>0.26451612903225807</v>
      </c>
      <c r="F175">
        <f t="shared" si="2"/>
        <v>0.75376344086021518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>
        <v>1</v>
      </c>
      <c r="U175" s="7"/>
      <c r="V175" s="7"/>
      <c r="W175" s="7"/>
    </row>
    <row r="176" spans="1:23" ht="15.5" x14ac:dyDescent="0.35">
      <c r="A176" s="4" t="s">
        <v>214</v>
      </c>
      <c r="B176" s="4">
        <v>42</v>
      </c>
      <c r="C176">
        <v>3</v>
      </c>
      <c r="D176" s="4" t="s">
        <v>179</v>
      </c>
      <c r="E176" s="4">
        <v>0.21935483870967748</v>
      </c>
      <c r="F176">
        <f t="shared" si="2"/>
        <v>0.70860215053763453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>
        <v>1</v>
      </c>
      <c r="U176" s="7"/>
      <c r="V176" s="7"/>
      <c r="W176" s="7"/>
    </row>
    <row r="177" spans="1:23" ht="15.5" x14ac:dyDescent="0.35">
      <c r="A177" s="4" t="s">
        <v>214</v>
      </c>
      <c r="B177" s="4">
        <v>42</v>
      </c>
      <c r="C177">
        <v>1</v>
      </c>
      <c r="D177" s="4" t="s">
        <v>177</v>
      </c>
      <c r="E177" s="4">
        <v>0.20860215053763445</v>
      </c>
      <c r="F177">
        <f t="shared" si="2"/>
        <v>0.69784946236559153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>
        <v>1</v>
      </c>
      <c r="U177" s="7"/>
      <c r="V177" s="7"/>
      <c r="W177" s="7"/>
    </row>
    <row r="178" spans="1:23" ht="15.5" x14ac:dyDescent="0.35">
      <c r="A178" s="4" t="s">
        <v>214</v>
      </c>
      <c r="B178" s="4">
        <v>43</v>
      </c>
      <c r="C178">
        <v>3</v>
      </c>
      <c r="D178" s="4" t="s">
        <v>184</v>
      </c>
      <c r="E178" s="4">
        <v>0.34086021505376352</v>
      </c>
      <c r="F178">
        <f t="shared" si="2"/>
        <v>0.83010752688172063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6">
        <v>1</v>
      </c>
      <c r="W178" s="7"/>
    </row>
    <row r="179" spans="1:23" ht="15.5" x14ac:dyDescent="0.35">
      <c r="A179" s="4" t="s">
        <v>214</v>
      </c>
      <c r="B179" s="4">
        <v>43</v>
      </c>
      <c r="C179">
        <v>2</v>
      </c>
      <c r="D179" s="4" t="s">
        <v>183</v>
      </c>
      <c r="E179" s="4">
        <v>0.31182795698924737</v>
      </c>
      <c r="F179">
        <f t="shared" si="2"/>
        <v>0.80107526881720448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6">
        <v>1</v>
      </c>
      <c r="W179" s="7"/>
    </row>
    <row r="180" spans="1:23" ht="15.5" x14ac:dyDescent="0.35">
      <c r="A180" s="4" t="s">
        <v>214</v>
      </c>
      <c r="B180" s="4">
        <v>43</v>
      </c>
      <c r="C180">
        <v>5</v>
      </c>
      <c r="D180" s="4" t="s">
        <v>186</v>
      </c>
      <c r="E180" s="4">
        <v>0.2978494623655914</v>
      </c>
      <c r="F180">
        <f t="shared" si="2"/>
        <v>0.78709677419354851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6">
        <v>1</v>
      </c>
      <c r="W180" s="7"/>
    </row>
    <row r="181" spans="1:23" ht="15.5" x14ac:dyDescent="0.35">
      <c r="A181" s="4" t="s">
        <v>214</v>
      </c>
      <c r="B181" s="4">
        <v>43</v>
      </c>
      <c r="C181">
        <v>4</v>
      </c>
      <c r="D181" s="4" t="s">
        <v>185</v>
      </c>
      <c r="E181" s="4">
        <v>0.26451612903225807</v>
      </c>
      <c r="F181">
        <f t="shared" si="2"/>
        <v>0.75376344086021518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6">
        <v>1</v>
      </c>
      <c r="W181" s="7"/>
    </row>
    <row r="182" spans="1:23" ht="15.5" x14ac:dyDescent="0.35">
      <c r="A182" s="4" t="s">
        <v>214</v>
      </c>
      <c r="B182" s="4">
        <v>43</v>
      </c>
      <c r="C182">
        <v>1</v>
      </c>
      <c r="D182" s="4" t="s">
        <v>182</v>
      </c>
      <c r="E182" s="4">
        <v>0.20860215053763445</v>
      </c>
      <c r="F182">
        <f t="shared" si="2"/>
        <v>0.69784946236559153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6">
        <v>1</v>
      </c>
      <c r="W182" s="7"/>
    </row>
    <row r="183" spans="1:23" ht="15.5" x14ac:dyDescent="0.35">
      <c r="A183" s="4" t="s">
        <v>215</v>
      </c>
      <c r="B183" s="4">
        <v>44</v>
      </c>
      <c r="C183">
        <v>4</v>
      </c>
      <c r="D183" s="4" t="s">
        <v>187</v>
      </c>
      <c r="E183" s="4">
        <v>-0.29892473118279572</v>
      </c>
      <c r="F183">
        <f t="shared" si="2"/>
        <v>0.19032258064516139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6">
        <v>0.5</v>
      </c>
      <c r="V183" s="7"/>
      <c r="W183" s="6">
        <v>0.5</v>
      </c>
    </row>
    <row r="184" spans="1:23" ht="15.5" x14ac:dyDescent="0.35">
      <c r="A184" s="4" t="s">
        <v>215</v>
      </c>
      <c r="B184" s="4">
        <v>44</v>
      </c>
      <c r="C184">
        <v>5</v>
      </c>
      <c r="D184" s="4" t="s">
        <v>188</v>
      </c>
      <c r="E184" s="4">
        <v>-0.31612903225806455</v>
      </c>
      <c r="F184">
        <f t="shared" si="2"/>
        <v>0.17311827956989256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6">
        <v>0.5</v>
      </c>
      <c r="V184" s="7"/>
      <c r="W184" s="6">
        <v>0.5</v>
      </c>
    </row>
    <row r="185" spans="1:23" ht="15.5" x14ac:dyDescent="0.35">
      <c r="A185" s="4" t="s">
        <v>215</v>
      </c>
      <c r="B185" s="4">
        <v>45</v>
      </c>
      <c r="C185">
        <v>5</v>
      </c>
      <c r="D185" s="4" t="s">
        <v>190</v>
      </c>
      <c r="E185" s="4">
        <v>-0.12795698924731191</v>
      </c>
      <c r="F185">
        <f t="shared" si="2"/>
        <v>0.3612903225806452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>
        <v>0.25</v>
      </c>
      <c r="U185" s="6">
        <v>0.25</v>
      </c>
      <c r="V185" s="6">
        <v>0.25</v>
      </c>
      <c r="W185" s="6">
        <v>0.25</v>
      </c>
    </row>
    <row r="186" spans="1:23" ht="15.5" x14ac:dyDescent="0.35">
      <c r="A186" s="4" t="s">
        <v>215</v>
      </c>
      <c r="B186" s="4">
        <v>45</v>
      </c>
      <c r="C186">
        <v>4</v>
      </c>
      <c r="D186" s="4" t="s">
        <v>189</v>
      </c>
      <c r="E186" s="4">
        <v>-0.19784946236559142</v>
      </c>
      <c r="F186">
        <f t="shared" si="2"/>
        <v>0.29139784946236569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>
        <v>0.25</v>
      </c>
      <c r="U186" s="6">
        <v>0.25</v>
      </c>
      <c r="V186" s="6">
        <v>0.25</v>
      </c>
      <c r="W186" s="6">
        <v>0.25</v>
      </c>
    </row>
    <row r="187" spans="1:23" ht="15.5" x14ac:dyDescent="0.35">
      <c r="A187" s="4" t="s">
        <v>215</v>
      </c>
      <c r="B187" s="4">
        <v>46</v>
      </c>
      <c r="C187">
        <v>5</v>
      </c>
      <c r="D187" s="4" t="s">
        <v>192</v>
      </c>
      <c r="E187" s="4">
        <v>-0.25376344086021507</v>
      </c>
      <c r="F187">
        <f t="shared" si="2"/>
        <v>0.23548387096774204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6">
        <v>0.5</v>
      </c>
      <c r="V187" s="7"/>
      <c r="W187" s="6">
        <v>0.5</v>
      </c>
    </row>
    <row r="188" spans="1:23" ht="15.5" x14ac:dyDescent="0.35">
      <c r="A188" s="4" t="s">
        <v>215</v>
      </c>
      <c r="B188" s="4">
        <v>46</v>
      </c>
      <c r="C188">
        <v>4</v>
      </c>
      <c r="D188" s="4" t="s">
        <v>191</v>
      </c>
      <c r="E188" s="4">
        <v>-0.29892473118279572</v>
      </c>
      <c r="F188">
        <f t="shared" si="2"/>
        <v>0.19032258064516139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6">
        <v>0.5</v>
      </c>
      <c r="V188" s="7"/>
      <c r="W188" s="6">
        <v>0.5</v>
      </c>
    </row>
  </sheetData>
  <autoFilter ref="A1:F188" xr:uid="{688F0503-3E88-4134-AC58-51FC3AD3CFE0}">
    <sortState xmlns:xlrd2="http://schemas.microsoft.com/office/spreadsheetml/2017/richdata2" ref="A2:F188">
      <sortCondition ref="B1:B18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FDFE-526C-41E8-BC83-AF96B3AD40B7}">
  <dimension ref="A1:AN188"/>
  <sheetViews>
    <sheetView tabSelected="1" topLeftCell="A15" workbookViewId="0">
      <selection activeCell="Q11" sqref="Q11"/>
    </sheetView>
  </sheetViews>
  <sheetFormatPr defaultRowHeight="14.5" x14ac:dyDescent="0.35"/>
  <sheetData>
    <row r="1" spans="1:40" ht="15.5" x14ac:dyDescent="0.35">
      <c r="A1" s="4"/>
      <c r="B1" s="4"/>
      <c r="D1" s="4" t="s">
        <v>209</v>
      </c>
      <c r="E1" s="4" t="s">
        <v>212</v>
      </c>
      <c r="F1" t="s">
        <v>213</v>
      </c>
      <c r="G1" s="5" t="s">
        <v>216</v>
      </c>
      <c r="H1" s="5" t="s">
        <v>217</v>
      </c>
      <c r="I1" s="5" t="s">
        <v>218</v>
      </c>
      <c r="J1" s="5" t="s">
        <v>219</v>
      </c>
      <c r="K1" s="5" t="s">
        <v>220</v>
      </c>
      <c r="L1" s="5" t="s">
        <v>221</v>
      </c>
      <c r="M1" s="5" t="s">
        <v>222</v>
      </c>
      <c r="N1" s="5" t="s">
        <v>223</v>
      </c>
      <c r="O1" s="5" t="s">
        <v>224</v>
      </c>
      <c r="P1" s="5" t="s">
        <v>225</v>
      </c>
      <c r="Q1" s="5" t="s">
        <v>226</v>
      </c>
      <c r="R1" s="5" t="s">
        <v>227</v>
      </c>
      <c r="S1" s="5" t="s">
        <v>228</v>
      </c>
      <c r="T1" s="5" t="s">
        <v>229</v>
      </c>
      <c r="U1" s="5" t="s">
        <v>230</v>
      </c>
      <c r="V1" s="5" t="s">
        <v>231</v>
      </c>
      <c r="W1" s="5" t="s">
        <v>232</v>
      </c>
      <c r="X1" s="5" t="s">
        <v>216</v>
      </c>
      <c r="Y1" s="5" t="s">
        <v>217</v>
      </c>
      <c r="Z1" s="5" t="s">
        <v>218</v>
      </c>
      <c r="AA1" s="5" t="s">
        <v>219</v>
      </c>
      <c r="AB1" s="5" t="s">
        <v>220</v>
      </c>
      <c r="AC1" s="5" t="s">
        <v>221</v>
      </c>
      <c r="AD1" s="5" t="s">
        <v>222</v>
      </c>
      <c r="AE1" s="5" t="s">
        <v>223</v>
      </c>
      <c r="AF1" s="5" t="s">
        <v>224</v>
      </c>
      <c r="AG1" s="5" t="s">
        <v>225</v>
      </c>
      <c r="AH1" s="5" t="s">
        <v>226</v>
      </c>
      <c r="AI1" s="5" t="s">
        <v>227</v>
      </c>
      <c r="AJ1" s="5" t="s">
        <v>228</v>
      </c>
      <c r="AK1" s="5" t="s">
        <v>229</v>
      </c>
      <c r="AL1" s="5" t="s">
        <v>230</v>
      </c>
      <c r="AM1" s="5" t="s">
        <v>231</v>
      </c>
      <c r="AN1" s="5" t="s">
        <v>232</v>
      </c>
    </row>
    <row r="2" spans="1:40" ht="15.5" x14ac:dyDescent="0.35">
      <c r="A2" s="4" t="s">
        <v>214</v>
      </c>
      <c r="B2" s="4">
        <v>1</v>
      </c>
      <c r="C2">
        <v>4</v>
      </c>
      <c r="D2" s="4" t="s">
        <v>9</v>
      </c>
      <c r="E2" s="4">
        <v>0.13763440860215048</v>
      </c>
      <c r="F2">
        <f>E2-$E$121</f>
        <v>0.62688172043010759</v>
      </c>
      <c r="G2" s="6">
        <v>0.2</v>
      </c>
      <c r="H2" s="6">
        <v>0.2</v>
      </c>
      <c r="I2" s="6">
        <v>0.2</v>
      </c>
      <c r="J2" s="7"/>
      <c r="K2" s="6">
        <v>0.2</v>
      </c>
      <c r="L2" s="6">
        <v>0.2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6">
        <f>$F2*G2</f>
        <v>0.12537634408602152</v>
      </c>
      <c r="Y2" s="6">
        <f t="shared" ref="Y2:AN2" si="0">$F2*H2</f>
        <v>0.12537634408602152</v>
      </c>
      <c r="Z2" s="6">
        <f>$F2*I2</f>
        <v>0.12537634408602152</v>
      </c>
      <c r="AA2" s="6">
        <f t="shared" si="0"/>
        <v>0</v>
      </c>
      <c r="AB2" s="6">
        <f t="shared" si="0"/>
        <v>0.12537634408602152</v>
      </c>
      <c r="AC2" s="6">
        <f t="shared" si="0"/>
        <v>0.12537634408602152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</row>
    <row r="3" spans="1:40" ht="15.5" x14ac:dyDescent="0.35">
      <c r="A3" s="4" t="s">
        <v>214</v>
      </c>
      <c r="B3" s="4">
        <v>1</v>
      </c>
      <c r="C3">
        <v>5</v>
      </c>
      <c r="D3" s="4" t="s">
        <v>10</v>
      </c>
      <c r="E3" s="4">
        <v>0.13763440860215048</v>
      </c>
      <c r="F3">
        <f t="shared" ref="F3:F66" si="1">E3-$E$121</f>
        <v>0.62688172043010759</v>
      </c>
      <c r="G3" s="6">
        <v>0.2</v>
      </c>
      <c r="H3" s="6">
        <v>0.2</v>
      </c>
      <c r="I3" s="6">
        <v>0.2</v>
      </c>
      <c r="J3" s="7"/>
      <c r="K3" s="6">
        <v>0.2</v>
      </c>
      <c r="L3" s="6">
        <v>0.2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6">
        <f t="shared" ref="X3:X66" si="2">$F3*G3</f>
        <v>0.12537634408602152</v>
      </c>
      <c r="Y3" s="6">
        <f t="shared" ref="Y3:Y66" si="3">$F3*H3</f>
        <v>0.12537634408602152</v>
      </c>
      <c r="Z3" s="6">
        <f t="shared" ref="Z3:Z66" si="4">$F3*I3</f>
        <v>0.12537634408602152</v>
      </c>
      <c r="AA3" s="6">
        <f t="shared" ref="AA3:AA66" si="5">$F3*J3</f>
        <v>0</v>
      </c>
      <c r="AB3" s="6">
        <f t="shared" ref="AB3:AB66" si="6">$F3*K3</f>
        <v>0.12537634408602152</v>
      </c>
      <c r="AC3" s="6">
        <f t="shared" ref="AC3:AC66" si="7">$F3*L3</f>
        <v>0.12537634408602152</v>
      </c>
      <c r="AD3" s="6">
        <f t="shared" ref="AD3:AD66" si="8">$F3*M3</f>
        <v>0</v>
      </c>
      <c r="AE3" s="6">
        <f t="shared" ref="AE3:AE66" si="9">$F3*N3</f>
        <v>0</v>
      </c>
      <c r="AF3" s="6">
        <f t="shared" ref="AF3:AF66" si="10">$F3*O3</f>
        <v>0</v>
      </c>
      <c r="AG3" s="6">
        <f t="shared" ref="AG3:AG66" si="11">$F3*P3</f>
        <v>0</v>
      </c>
      <c r="AH3" s="6">
        <f t="shared" ref="AH3:AH66" si="12">$F3*Q3</f>
        <v>0</v>
      </c>
      <c r="AI3" s="6">
        <f t="shared" ref="AI3:AI66" si="13">$F3*R3</f>
        <v>0</v>
      </c>
      <c r="AJ3" s="6">
        <f t="shared" ref="AJ3:AJ66" si="14">$F3*S3</f>
        <v>0</v>
      </c>
      <c r="AK3" s="6">
        <f t="shared" ref="AK3:AK66" si="15">$F3*T3</f>
        <v>0</v>
      </c>
      <c r="AL3" s="6">
        <f t="shared" ref="AL3:AL66" si="16">$F3*U3</f>
        <v>0</v>
      </c>
      <c r="AM3" s="6">
        <f t="shared" ref="AM3:AM66" si="17">$F3*V3</f>
        <v>0</v>
      </c>
      <c r="AN3" s="6">
        <f t="shared" ref="AN3:AN66" si="18">$F3*W3</f>
        <v>0</v>
      </c>
    </row>
    <row r="4" spans="1:40" ht="15.5" x14ac:dyDescent="0.35">
      <c r="A4" s="4" t="s">
        <v>214</v>
      </c>
      <c r="B4" s="4">
        <v>1</v>
      </c>
      <c r="C4">
        <v>3</v>
      </c>
      <c r="D4" s="4" t="s">
        <v>8</v>
      </c>
      <c r="E4" s="4">
        <v>6.7741935483870974E-2</v>
      </c>
      <c r="F4">
        <f t="shared" si="1"/>
        <v>0.55698924731182808</v>
      </c>
      <c r="G4" s="6">
        <v>0.2</v>
      </c>
      <c r="H4" s="6">
        <v>0.2</v>
      </c>
      <c r="I4" s="6">
        <v>0.2</v>
      </c>
      <c r="J4" s="7"/>
      <c r="K4" s="6">
        <v>0.2</v>
      </c>
      <c r="L4" s="6">
        <v>0.2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6">
        <f t="shared" si="2"/>
        <v>0.11139784946236563</v>
      </c>
      <c r="Y4" s="6">
        <f t="shared" si="3"/>
        <v>0.11139784946236563</v>
      </c>
      <c r="Z4" s="6">
        <f t="shared" si="4"/>
        <v>0.11139784946236563</v>
      </c>
      <c r="AA4" s="6">
        <f t="shared" si="5"/>
        <v>0</v>
      </c>
      <c r="AB4" s="6">
        <f t="shared" si="6"/>
        <v>0.11139784946236563</v>
      </c>
      <c r="AC4" s="6">
        <f t="shared" si="7"/>
        <v>0.11139784946236563</v>
      </c>
      <c r="AD4" s="6">
        <f t="shared" si="8"/>
        <v>0</v>
      </c>
      <c r="AE4" s="6">
        <f t="shared" si="9"/>
        <v>0</v>
      </c>
      <c r="AF4" s="6">
        <f t="shared" si="10"/>
        <v>0</v>
      </c>
      <c r="AG4" s="6">
        <f t="shared" si="11"/>
        <v>0</v>
      </c>
      <c r="AH4" s="6">
        <f t="shared" si="12"/>
        <v>0</v>
      </c>
      <c r="AI4" s="6">
        <f t="shared" si="13"/>
        <v>0</v>
      </c>
      <c r="AJ4" s="6">
        <f t="shared" si="14"/>
        <v>0</v>
      </c>
      <c r="AK4" s="6">
        <f t="shared" si="15"/>
        <v>0</v>
      </c>
      <c r="AL4" s="6">
        <f t="shared" si="16"/>
        <v>0</v>
      </c>
      <c r="AM4" s="6">
        <f t="shared" si="17"/>
        <v>0</v>
      </c>
      <c r="AN4" s="6">
        <f t="shared" si="18"/>
        <v>0</v>
      </c>
    </row>
    <row r="5" spans="1:40" ht="15.5" x14ac:dyDescent="0.35">
      <c r="A5" s="4" t="s">
        <v>214</v>
      </c>
      <c r="B5" s="4">
        <v>1</v>
      </c>
      <c r="C5">
        <v>2</v>
      </c>
      <c r="D5" s="4" t="s">
        <v>7</v>
      </c>
      <c r="E5" s="4">
        <v>-2.2580645161290269E-2</v>
      </c>
      <c r="F5">
        <f t="shared" si="1"/>
        <v>0.46666666666666684</v>
      </c>
      <c r="G5" s="6">
        <v>0.2</v>
      </c>
      <c r="H5" s="6">
        <v>0.2</v>
      </c>
      <c r="I5" s="6">
        <v>0.2</v>
      </c>
      <c r="J5" s="7"/>
      <c r="K5" s="6">
        <v>0.2</v>
      </c>
      <c r="L5" s="6">
        <v>0.2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6">
        <f t="shared" si="2"/>
        <v>9.3333333333333379E-2</v>
      </c>
      <c r="Y5" s="6">
        <f t="shared" si="3"/>
        <v>9.3333333333333379E-2</v>
      </c>
      <c r="Z5" s="6">
        <f t="shared" si="4"/>
        <v>9.3333333333333379E-2</v>
      </c>
      <c r="AA5" s="6">
        <f t="shared" si="5"/>
        <v>0</v>
      </c>
      <c r="AB5" s="6">
        <f t="shared" si="6"/>
        <v>9.3333333333333379E-2</v>
      </c>
      <c r="AC5" s="6">
        <f t="shared" si="7"/>
        <v>9.3333333333333379E-2</v>
      </c>
      <c r="AD5" s="6">
        <f t="shared" si="8"/>
        <v>0</v>
      </c>
      <c r="AE5" s="6">
        <f t="shared" si="9"/>
        <v>0</v>
      </c>
      <c r="AF5" s="6">
        <f t="shared" si="10"/>
        <v>0</v>
      </c>
      <c r="AG5" s="6">
        <f t="shared" si="11"/>
        <v>0</v>
      </c>
      <c r="AH5" s="6">
        <f t="shared" si="12"/>
        <v>0</v>
      </c>
      <c r="AI5" s="6">
        <f t="shared" si="13"/>
        <v>0</v>
      </c>
      <c r="AJ5" s="6">
        <f t="shared" si="14"/>
        <v>0</v>
      </c>
      <c r="AK5" s="6">
        <f t="shared" si="15"/>
        <v>0</v>
      </c>
      <c r="AL5" s="6">
        <f t="shared" si="16"/>
        <v>0</v>
      </c>
      <c r="AM5" s="6">
        <f t="shared" si="17"/>
        <v>0</v>
      </c>
      <c r="AN5" s="6">
        <f t="shared" si="18"/>
        <v>0</v>
      </c>
    </row>
    <row r="6" spans="1:40" ht="15.5" x14ac:dyDescent="0.35">
      <c r="A6" s="4" t="s">
        <v>214</v>
      </c>
      <c r="B6" s="4">
        <v>1</v>
      </c>
      <c r="C6">
        <v>1</v>
      </c>
      <c r="D6" s="4" t="s">
        <v>6</v>
      </c>
      <c r="E6" s="4">
        <v>-2.7956989247311825E-2</v>
      </c>
      <c r="F6">
        <f t="shared" si="1"/>
        <v>0.46129032258064528</v>
      </c>
      <c r="G6" s="6">
        <v>0.2</v>
      </c>
      <c r="H6" s="6">
        <v>0.2</v>
      </c>
      <c r="I6" s="6">
        <v>0.2</v>
      </c>
      <c r="J6" s="7"/>
      <c r="K6" s="6">
        <v>0.2</v>
      </c>
      <c r="L6" s="6">
        <v>0.2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6">
        <f t="shared" si="2"/>
        <v>9.2258064516129057E-2</v>
      </c>
      <c r="Y6" s="6">
        <f t="shared" si="3"/>
        <v>9.2258064516129057E-2</v>
      </c>
      <c r="Z6" s="6">
        <f t="shared" si="4"/>
        <v>9.2258064516129057E-2</v>
      </c>
      <c r="AA6" s="6">
        <f t="shared" si="5"/>
        <v>0</v>
      </c>
      <c r="AB6" s="6">
        <f t="shared" si="6"/>
        <v>9.2258064516129057E-2</v>
      </c>
      <c r="AC6" s="6">
        <f t="shared" si="7"/>
        <v>9.2258064516129057E-2</v>
      </c>
      <c r="AD6" s="6">
        <f t="shared" si="8"/>
        <v>0</v>
      </c>
      <c r="AE6" s="6">
        <f t="shared" si="9"/>
        <v>0</v>
      </c>
      <c r="AF6" s="6">
        <f t="shared" si="10"/>
        <v>0</v>
      </c>
      <c r="AG6" s="6">
        <f t="shared" si="11"/>
        <v>0</v>
      </c>
      <c r="AH6" s="6">
        <f t="shared" si="12"/>
        <v>0</v>
      </c>
      <c r="AI6" s="6">
        <f t="shared" si="13"/>
        <v>0</v>
      </c>
      <c r="AJ6" s="6">
        <f t="shared" si="14"/>
        <v>0</v>
      </c>
      <c r="AK6" s="6">
        <f t="shared" si="15"/>
        <v>0</v>
      </c>
      <c r="AL6" s="6">
        <f t="shared" si="16"/>
        <v>0</v>
      </c>
      <c r="AM6" s="6">
        <f t="shared" si="17"/>
        <v>0</v>
      </c>
      <c r="AN6" s="6">
        <f t="shared" si="18"/>
        <v>0</v>
      </c>
    </row>
    <row r="7" spans="1:40" ht="15.5" x14ac:dyDescent="0.35">
      <c r="A7" s="4" t="s">
        <v>215</v>
      </c>
      <c r="B7" s="4">
        <v>2</v>
      </c>
      <c r="C7">
        <v>5</v>
      </c>
      <c r="D7" s="4" t="s">
        <v>12</v>
      </c>
      <c r="E7" s="4">
        <v>-0.2655913978494624</v>
      </c>
      <c r="F7">
        <f t="shared" si="1"/>
        <v>0.22365591397849471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6">
        <v>0.25</v>
      </c>
      <c r="U7" s="6">
        <v>0.25</v>
      </c>
      <c r="V7" s="6">
        <v>0.25</v>
      </c>
      <c r="W7" s="6">
        <v>0.25</v>
      </c>
      <c r="X7" s="6">
        <f t="shared" si="2"/>
        <v>0</v>
      </c>
      <c r="Y7" s="6">
        <f t="shared" si="3"/>
        <v>0</v>
      </c>
      <c r="Z7" s="6">
        <f t="shared" si="4"/>
        <v>0</v>
      </c>
      <c r="AA7" s="6">
        <f t="shared" si="5"/>
        <v>0</v>
      </c>
      <c r="AB7" s="6">
        <f t="shared" si="6"/>
        <v>0</v>
      </c>
      <c r="AC7" s="6">
        <f t="shared" si="7"/>
        <v>0</v>
      </c>
      <c r="AD7" s="6">
        <f t="shared" si="8"/>
        <v>0</v>
      </c>
      <c r="AE7" s="6">
        <f t="shared" si="9"/>
        <v>0</v>
      </c>
      <c r="AF7" s="6">
        <f t="shared" si="10"/>
        <v>0</v>
      </c>
      <c r="AG7" s="6">
        <f t="shared" si="11"/>
        <v>0</v>
      </c>
      <c r="AH7" s="6">
        <f t="shared" si="12"/>
        <v>0</v>
      </c>
      <c r="AI7" s="6">
        <f t="shared" si="13"/>
        <v>0</v>
      </c>
      <c r="AJ7" s="6">
        <f t="shared" si="14"/>
        <v>0</v>
      </c>
      <c r="AK7" s="6">
        <f t="shared" si="15"/>
        <v>5.5913978494623678E-2</v>
      </c>
      <c r="AL7" s="6">
        <f t="shared" si="16"/>
        <v>5.5913978494623678E-2</v>
      </c>
      <c r="AM7" s="6">
        <f t="shared" si="17"/>
        <v>5.5913978494623678E-2</v>
      </c>
      <c r="AN7" s="6">
        <f t="shared" si="18"/>
        <v>5.5913978494623678E-2</v>
      </c>
    </row>
    <row r="8" spans="1:40" ht="15.5" x14ac:dyDescent="0.35">
      <c r="A8" s="4" t="s">
        <v>215</v>
      </c>
      <c r="B8" s="4">
        <v>2</v>
      </c>
      <c r="C8">
        <v>4</v>
      </c>
      <c r="D8" s="4" t="s">
        <v>11</v>
      </c>
      <c r="E8" s="4">
        <v>-0.3430107526881721</v>
      </c>
      <c r="F8">
        <f t="shared" si="1"/>
        <v>0.14623655913978501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6">
        <v>0.25</v>
      </c>
      <c r="U8" s="6">
        <v>0.25</v>
      </c>
      <c r="V8" s="6">
        <v>0.25</v>
      </c>
      <c r="W8" s="6">
        <v>0.25</v>
      </c>
      <c r="X8" s="6">
        <f t="shared" si="2"/>
        <v>0</v>
      </c>
      <c r="Y8" s="6">
        <f t="shared" si="3"/>
        <v>0</v>
      </c>
      <c r="Z8" s="6">
        <f t="shared" si="4"/>
        <v>0</v>
      </c>
      <c r="AA8" s="6">
        <f t="shared" si="5"/>
        <v>0</v>
      </c>
      <c r="AB8" s="6">
        <f t="shared" si="6"/>
        <v>0</v>
      </c>
      <c r="AC8" s="6">
        <f t="shared" si="7"/>
        <v>0</v>
      </c>
      <c r="AD8" s="6">
        <f t="shared" si="8"/>
        <v>0</v>
      </c>
      <c r="AE8" s="6">
        <f t="shared" si="9"/>
        <v>0</v>
      </c>
      <c r="AF8" s="6">
        <f t="shared" si="10"/>
        <v>0</v>
      </c>
      <c r="AG8" s="6">
        <f t="shared" si="11"/>
        <v>0</v>
      </c>
      <c r="AH8" s="6">
        <f t="shared" si="12"/>
        <v>0</v>
      </c>
      <c r="AI8" s="6">
        <f t="shared" si="13"/>
        <v>0</v>
      </c>
      <c r="AJ8" s="6">
        <f t="shared" si="14"/>
        <v>0</v>
      </c>
      <c r="AK8" s="6">
        <f t="shared" si="15"/>
        <v>3.6559139784946251E-2</v>
      </c>
      <c r="AL8" s="6">
        <f t="shared" si="16"/>
        <v>3.6559139784946251E-2</v>
      </c>
      <c r="AM8" s="6">
        <f t="shared" si="17"/>
        <v>3.6559139784946251E-2</v>
      </c>
      <c r="AN8" s="6">
        <f t="shared" si="18"/>
        <v>3.6559139784946251E-2</v>
      </c>
    </row>
    <row r="9" spans="1:40" ht="15.5" x14ac:dyDescent="0.35">
      <c r="A9" s="4" t="s">
        <v>214</v>
      </c>
      <c r="B9" s="4">
        <v>3</v>
      </c>
      <c r="C9">
        <v>3</v>
      </c>
      <c r="D9" s="4" t="s">
        <v>15</v>
      </c>
      <c r="E9" s="4">
        <v>-0.25376344086021507</v>
      </c>
      <c r="F9">
        <f t="shared" si="1"/>
        <v>0.23548387096774204</v>
      </c>
      <c r="G9" s="7"/>
      <c r="H9" s="7"/>
      <c r="I9" s="7"/>
      <c r="J9" s="7"/>
      <c r="K9" s="7"/>
      <c r="L9" s="6">
        <v>1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6">
        <f t="shared" si="2"/>
        <v>0</v>
      </c>
      <c r="Y9" s="6">
        <f t="shared" si="3"/>
        <v>0</v>
      </c>
      <c r="Z9" s="6">
        <f t="shared" si="4"/>
        <v>0</v>
      </c>
      <c r="AA9" s="6">
        <f t="shared" si="5"/>
        <v>0</v>
      </c>
      <c r="AB9" s="6">
        <f t="shared" si="6"/>
        <v>0</v>
      </c>
      <c r="AC9" s="6">
        <f t="shared" si="7"/>
        <v>0.23548387096774204</v>
      </c>
      <c r="AD9" s="6">
        <f t="shared" si="8"/>
        <v>0</v>
      </c>
      <c r="AE9" s="6">
        <f t="shared" si="9"/>
        <v>0</v>
      </c>
      <c r="AF9" s="6">
        <f t="shared" si="10"/>
        <v>0</v>
      </c>
      <c r="AG9" s="6">
        <f t="shared" si="11"/>
        <v>0</v>
      </c>
      <c r="AH9" s="6">
        <f t="shared" si="12"/>
        <v>0</v>
      </c>
      <c r="AI9" s="6">
        <f t="shared" si="13"/>
        <v>0</v>
      </c>
      <c r="AJ9" s="6">
        <f t="shared" si="14"/>
        <v>0</v>
      </c>
      <c r="AK9" s="6">
        <f t="shared" si="15"/>
        <v>0</v>
      </c>
      <c r="AL9" s="6">
        <f t="shared" si="16"/>
        <v>0</v>
      </c>
      <c r="AM9" s="6">
        <f t="shared" si="17"/>
        <v>0</v>
      </c>
      <c r="AN9" s="6">
        <f t="shared" si="18"/>
        <v>0</v>
      </c>
    </row>
    <row r="10" spans="1:40" ht="15.5" x14ac:dyDescent="0.35">
      <c r="A10" s="4" t="s">
        <v>214</v>
      </c>
      <c r="B10" s="4">
        <v>3</v>
      </c>
      <c r="C10">
        <v>2</v>
      </c>
      <c r="D10" s="4" t="s">
        <v>14</v>
      </c>
      <c r="E10" s="4">
        <v>-0.29892473118279572</v>
      </c>
      <c r="F10">
        <f t="shared" si="1"/>
        <v>0.19032258064516139</v>
      </c>
      <c r="G10" s="7"/>
      <c r="H10" s="7"/>
      <c r="I10" s="7"/>
      <c r="J10" s="7"/>
      <c r="K10" s="7"/>
      <c r="L10" s="6">
        <v>1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6">
        <f t="shared" si="2"/>
        <v>0</v>
      </c>
      <c r="Y10" s="6">
        <f t="shared" si="3"/>
        <v>0</v>
      </c>
      <c r="Z10" s="6">
        <f t="shared" si="4"/>
        <v>0</v>
      </c>
      <c r="AA10" s="6">
        <f t="shared" si="5"/>
        <v>0</v>
      </c>
      <c r="AB10" s="6">
        <f t="shared" si="6"/>
        <v>0</v>
      </c>
      <c r="AC10" s="6">
        <f t="shared" si="7"/>
        <v>0.19032258064516139</v>
      </c>
      <c r="AD10" s="6">
        <f t="shared" si="8"/>
        <v>0</v>
      </c>
      <c r="AE10" s="6">
        <f t="shared" si="9"/>
        <v>0</v>
      </c>
      <c r="AF10" s="6">
        <f t="shared" si="10"/>
        <v>0</v>
      </c>
      <c r="AG10" s="6">
        <f t="shared" si="11"/>
        <v>0</v>
      </c>
      <c r="AH10" s="6">
        <f t="shared" si="12"/>
        <v>0</v>
      </c>
      <c r="AI10" s="6">
        <f t="shared" si="13"/>
        <v>0</v>
      </c>
      <c r="AJ10" s="6">
        <f t="shared" si="14"/>
        <v>0</v>
      </c>
      <c r="AK10" s="6">
        <f t="shared" si="15"/>
        <v>0</v>
      </c>
      <c r="AL10" s="6">
        <f t="shared" si="16"/>
        <v>0</v>
      </c>
      <c r="AM10" s="6">
        <f t="shared" si="17"/>
        <v>0</v>
      </c>
      <c r="AN10" s="6">
        <f t="shared" si="18"/>
        <v>0</v>
      </c>
    </row>
    <row r="11" spans="1:40" ht="15.5" x14ac:dyDescent="0.35">
      <c r="A11" s="4" t="s">
        <v>214</v>
      </c>
      <c r="B11" s="4">
        <v>3</v>
      </c>
      <c r="C11">
        <v>1</v>
      </c>
      <c r="D11" s="4" t="s">
        <v>13</v>
      </c>
      <c r="E11" s="4">
        <v>-0.30967741935483872</v>
      </c>
      <c r="F11">
        <f t="shared" si="1"/>
        <v>0.17956989247311839</v>
      </c>
      <c r="G11" s="7"/>
      <c r="H11" s="7"/>
      <c r="I11" s="7"/>
      <c r="J11" s="7"/>
      <c r="K11" s="7"/>
      <c r="L11" s="6">
        <v>1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6">
        <f t="shared" si="2"/>
        <v>0</v>
      </c>
      <c r="Y11" s="6">
        <f t="shared" si="3"/>
        <v>0</v>
      </c>
      <c r="Z11" s="6">
        <f t="shared" si="4"/>
        <v>0</v>
      </c>
      <c r="AA11" s="6">
        <f t="shared" si="5"/>
        <v>0</v>
      </c>
      <c r="AB11" s="6">
        <f t="shared" si="6"/>
        <v>0</v>
      </c>
      <c r="AC11" s="6">
        <f t="shared" si="7"/>
        <v>0.17956989247311839</v>
      </c>
      <c r="AD11" s="6">
        <f t="shared" si="8"/>
        <v>0</v>
      </c>
      <c r="AE11" s="6">
        <f t="shared" si="9"/>
        <v>0</v>
      </c>
      <c r="AF11" s="6">
        <f t="shared" si="10"/>
        <v>0</v>
      </c>
      <c r="AG11" s="6">
        <f t="shared" si="11"/>
        <v>0</v>
      </c>
      <c r="AH11" s="6">
        <f t="shared" si="12"/>
        <v>0</v>
      </c>
      <c r="AI11" s="6">
        <f t="shared" si="13"/>
        <v>0</v>
      </c>
      <c r="AJ11" s="6">
        <f t="shared" si="14"/>
        <v>0</v>
      </c>
      <c r="AK11" s="6">
        <f t="shared" si="15"/>
        <v>0</v>
      </c>
      <c r="AL11" s="6">
        <f t="shared" si="16"/>
        <v>0</v>
      </c>
      <c r="AM11" s="6">
        <f t="shared" si="17"/>
        <v>0</v>
      </c>
      <c r="AN11" s="6">
        <f t="shared" si="18"/>
        <v>0</v>
      </c>
    </row>
    <row r="12" spans="1:40" ht="15.5" x14ac:dyDescent="0.35">
      <c r="A12" s="4" t="s">
        <v>214</v>
      </c>
      <c r="B12" s="4">
        <v>4</v>
      </c>
      <c r="C12">
        <v>5</v>
      </c>
      <c r="D12" s="4" t="s">
        <v>18</v>
      </c>
      <c r="E12" s="4">
        <v>6.7741935483870974E-2</v>
      </c>
      <c r="F12">
        <f t="shared" si="1"/>
        <v>0.55698924731182808</v>
      </c>
      <c r="G12" s="6">
        <v>0.2</v>
      </c>
      <c r="H12" s="6">
        <v>0.2</v>
      </c>
      <c r="I12" s="6">
        <v>0.2</v>
      </c>
      <c r="J12" s="7"/>
      <c r="K12" s="6">
        <v>0.2</v>
      </c>
      <c r="L12" s="6">
        <v>0.2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6">
        <f t="shared" si="2"/>
        <v>0.11139784946236563</v>
      </c>
      <c r="Y12" s="6">
        <f t="shared" si="3"/>
        <v>0.11139784946236563</v>
      </c>
      <c r="Z12" s="6">
        <f t="shared" si="4"/>
        <v>0.11139784946236563</v>
      </c>
      <c r="AA12" s="6">
        <f t="shared" si="5"/>
        <v>0</v>
      </c>
      <c r="AB12" s="6">
        <f t="shared" si="6"/>
        <v>0.11139784946236563</v>
      </c>
      <c r="AC12" s="6">
        <f t="shared" si="7"/>
        <v>0.11139784946236563</v>
      </c>
      <c r="AD12" s="6">
        <f t="shared" si="8"/>
        <v>0</v>
      </c>
      <c r="AE12" s="6">
        <f t="shared" si="9"/>
        <v>0</v>
      </c>
      <c r="AF12" s="6">
        <f t="shared" si="10"/>
        <v>0</v>
      </c>
      <c r="AG12" s="6">
        <f t="shared" si="11"/>
        <v>0</v>
      </c>
      <c r="AH12" s="6">
        <f t="shared" si="12"/>
        <v>0</v>
      </c>
      <c r="AI12" s="6">
        <f t="shared" si="13"/>
        <v>0</v>
      </c>
      <c r="AJ12" s="6">
        <f t="shared" si="14"/>
        <v>0</v>
      </c>
      <c r="AK12" s="6">
        <f t="shared" si="15"/>
        <v>0</v>
      </c>
      <c r="AL12" s="6">
        <f t="shared" si="16"/>
        <v>0</v>
      </c>
      <c r="AM12" s="6">
        <f t="shared" si="17"/>
        <v>0</v>
      </c>
      <c r="AN12" s="6">
        <f t="shared" si="18"/>
        <v>0</v>
      </c>
    </row>
    <row r="13" spans="1:40" ht="15.5" x14ac:dyDescent="0.35">
      <c r="A13" s="4" t="s">
        <v>214</v>
      </c>
      <c r="B13" s="4">
        <v>4</v>
      </c>
      <c r="C13">
        <v>4</v>
      </c>
      <c r="D13" s="4" t="s">
        <v>17</v>
      </c>
      <c r="E13" s="4">
        <v>-2.2580645161290269E-2</v>
      </c>
      <c r="F13">
        <f t="shared" si="1"/>
        <v>0.46666666666666684</v>
      </c>
      <c r="G13" s="6">
        <v>0.2</v>
      </c>
      <c r="H13" s="6">
        <v>0.2</v>
      </c>
      <c r="I13" s="6">
        <v>0.2</v>
      </c>
      <c r="J13" s="7"/>
      <c r="K13" s="6">
        <v>0.2</v>
      </c>
      <c r="L13" s="6">
        <v>0.2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6">
        <f t="shared" si="2"/>
        <v>9.3333333333333379E-2</v>
      </c>
      <c r="Y13" s="6">
        <f t="shared" si="3"/>
        <v>9.3333333333333379E-2</v>
      </c>
      <c r="Z13" s="6">
        <f t="shared" si="4"/>
        <v>9.3333333333333379E-2</v>
      </c>
      <c r="AA13" s="6">
        <f t="shared" si="5"/>
        <v>0</v>
      </c>
      <c r="AB13" s="6">
        <f t="shared" si="6"/>
        <v>9.3333333333333379E-2</v>
      </c>
      <c r="AC13" s="6">
        <f t="shared" si="7"/>
        <v>9.3333333333333379E-2</v>
      </c>
      <c r="AD13" s="6">
        <f t="shared" si="8"/>
        <v>0</v>
      </c>
      <c r="AE13" s="6">
        <f t="shared" si="9"/>
        <v>0</v>
      </c>
      <c r="AF13" s="6">
        <f t="shared" si="10"/>
        <v>0</v>
      </c>
      <c r="AG13" s="6">
        <f t="shared" si="11"/>
        <v>0</v>
      </c>
      <c r="AH13" s="6">
        <f t="shared" si="12"/>
        <v>0</v>
      </c>
      <c r="AI13" s="6">
        <f t="shared" si="13"/>
        <v>0</v>
      </c>
      <c r="AJ13" s="6">
        <f t="shared" si="14"/>
        <v>0</v>
      </c>
      <c r="AK13" s="6">
        <f t="shared" si="15"/>
        <v>0</v>
      </c>
      <c r="AL13" s="6">
        <f t="shared" si="16"/>
        <v>0</v>
      </c>
      <c r="AM13" s="6">
        <f t="shared" si="17"/>
        <v>0</v>
      </c>
      <c r="AN13" s="6">
        <f t="shared" si="18"/>
        <v>0</v>
      </c>
    </row>
    <row r="14" spans="1:40" ht="15.5" x14ac:dyDescent="0.35">
      <c r="A14" s="4" t="s">
        <v>214</v>
      </c>
      <c r="B14" s="4">
        <v>4</v>
      </c>
      <c r="C14">
        <v>3</v>
      </c>
      <c r="D14" s="4" t="s">
        <v>16</v>
      </c>
      <c r="E14" s="4">
        <v>-7.7419354838709709E-2</v>
      </c>
      <c r="F14">
        <f t="shared" si="1"/>
        <v>0.4118279569892474</v>
      </c>
      <c r="G14" s="6">
        <v>0.2</v>
      </c>
      <c r="H14" s="6">
        <v>0.2</v>
      </c>
      <c r="I14" s="6">
        <v>0.2</v>
      </c>
      <c r="J14" s="7"/>
      <c r="K14" s="6">
        <v>0.2</v>
      </c>
      <c r="L14" s="6">
        <v>0.2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6">
        <f t="shared" si="2"/>
        <v>8.2365591397849491E-2</v>
      </c>
      <c r="Y14" s="6">
        <f t="shared" si="3"/>
        <v>8.2365591397849491E-2</v>
      </c>
      <c r="Z14" s="6">
        <f t="shared" si="4"/>
        <v>8.2365591397849491E-2</v>
      </c>
      <c r="AA14" s="6">
        <f t="shared" si="5"/>
        <v>0</v>
      </c>
      <c r="AB14" s="6">
        <f t="shared" si="6"/>
        <v>8.2365591397849491E-2</v>
      </c>
      <c r="AC14" s="6">
        <f t="shared" si="7"/>
        <v>8.2365591397849491E-2</v>
      </c>
      <c r="AD14" s="6">
        <f t="shared" si="8"/>
        <v>0</v>
      </c>
      <c r="AE14" s="6">
        <f t="shared" si="9"/>
        <v>0</v>
      </c>
      <c r="AF14" s="6">
        <f t="shared" si="10"/>
        <v>0</v>
      </c>
      <c r="AG14" s="6">
        <f t="shared" si="11"/>
        <v>0</v>
      </c>
      <c r="AH14" s="6">
        <f t="shared" si="12"/>
        <v>0</v>
      </c>
      <c r="AI14" s="6">
        <f t="shared" si="13"/>
        <v>0</v>
      </c>
      <c r="AJ14" s="6">
        <f t="shared" si="14"/>
        <v>0</v>
      </c>
      <c r="AK14" s="6">
        <f t="shared" si="15"/>
        <v>0</v>
      </c>
      <c r="AL14" s="6">
        <f t="shared" si="16"/>
        <v>0</v>
      </c>
      <c r="AM14" s="6">
        <f t="shared" si="17"/>
        <v>0</v>
      </c>
      <c r="AN14" s="6">
        <f t="shared" si="18"/>
        <v>0</v>
      </c>
    </row>
    <row r="15" spans="1:40" ht="15.5" x14ac:dyDescent="0.35">
      <c r="A15" s="4" t="s">
        <v>214</v>
      </c>
      <c r="B15" s="4">
        <v>5</v>
      </c>
      <c r="C15">
        <v>5</v>
      </c>
      <c r="D15" s="4" t="s">
        <v>23</v>
      </c>
      <c r="E15" s="4">
        <v>0.13763440860215048</v>
      </c>
      <c r="F15">
        <f t="shared" si="1"/>
        <v>0.62688172043010759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6">
        <v>0.25</v>
      </c>
      <c r="U15" s="6">
        <v>0.25</v>
      </c>
      <c r="V15" s="6">
        <v>0.25</v>
      </c>
      <c r="W15" s="6">
        <v>0.25</v>
      </c>
      <c r="X15" s="6">
        <f t="shared" si="2"/>
        <v>0</v>
      </c>
      <c r="Y15" s="6">
        <f t="shared" si="3"/>
        <v>0</v>
      </c>
      <c r="Z15" s="6">
        <f t="shared" si="4"/>
        <v>0</v>
      </c>
      <c r="AA15" s="6">
        <f t="shared" si="5"/>
        <v>0</v>
      </c>
      <c r="AB15" s="6">
        <f t="shared" si="6"/>
        <v>0</v>
      </c>
      <c r="AC15" s="6">
        <f t="shared" si="7"/>
        <v>0</v>
      </c>
      <c r="AD15" s="6">
        <f t="shared" si="8"/>
        <v>0</v>
      </c>
      <c r="AE15" s="6">
        <f t="shared" si="9"/>
        <v>0</v>
      </c>
      <c r="AF15" s="6">
        <f t="shared" si="10"/>
        <v>0</v>
      </c>
      <c r="AG15" s="6">
        <f t="shared" si="11"/>
        <v>0</v>
      </c>
      <c r="AH15" s="6">
        <f t="shared" si="12"/>
        <v>0</v>
      </c>
      <c r="AI15" s="6">
        <f t="shared" si="13"/>
        <v>0</v>
      </c>
      <c r="AJ15" s="6">
        <f t="shared" si="14"/>
        <v>0</v>
      </c>
      <c r="AK15" s="6">
        <f t="shared" si="15"/>
        <v>0.1567204301075269</v>
      </c>
      <c r="AL15" s="6">
        <f t="shared" si="16"/>
        <v>0.1567204301075269</v>
      </c>
      <c r="AM15" s="6">
        <f t="shared" si="17"/>
        <v>0.1567204301075269</v>
      </c>
      <c r="AN15" s="6">
        <f t="shared" si="18"/>
        <v>0.1567204301075269</v>
      </c>
    </row>
    <row r="16" spans="1:40" ht="15.5" x14ac:dyDescent="0.35">
      <c r="A16" s="4" t="s">
        <v>214</v>
      </c>
      <c r="B16" s="4">
        <v>5</v>
      </c>
      <c r="C16">
        <v>4</v>
      </c>
      <c r="D16" s="4" t="s">
        <v>22</v>
      </c>
      <c r="E16" s="4">
        <v>4.1935483870967738E-2</v>
      </c>
      <c r="F16">
        <f t="shared" si="1"/>
        <v>0.53118279569892479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6">
        <v>0.25</v>
      </c>
      <c r="U16" s="6">
        <v>0.25</v>
      </c>
      <c r="V16" s="6">
        <v>0.25</v>
      </c>
      <c r="W16" s="6">
        <v>0.25</v>
      </c>
      <c r="X16" s="6">
        <f t="shared" si="2"/>
        <v>0</v>
      </c>
      <c r="Y16" s="6">
        <f t="shared" si="3"/>
        <v>0</v>
      </c>
      <c r="Z16" s="6">
        <f t="shared" si="4"/>
        <v>0</v>
      </c>
      <c r="AA16" s="6">
        <f t="shared" si="5"/>
        <v>0</v>
      </c>
      <c r="AB16" s="6">
        <f t="shared" si="6"/>
        <v>0</v>
      </c>
      <c r="AC16" s="6">
        <f t="shared" si="7"/>
        <v>0</v>
      </c>
      <c r="AD16" s="6">
        <f t="shared" si="8"/>
        <v>0</v>
      </c>
      <c r="AE16" s="6">
        <f t="shared" si="9"/>
        <v>0</v>
      </c>
      <c r="AF16" s="6">
        <f t="shared" si="10"/>
        <v>0</v>
      </c>
      <c r="AG16" s="6">
        <f t="shared" si="11"/>
        <v>0</v>
      </c>
      <c r="AH16" s="6">
        <f t="shared" si="12"/>
        <v>0</v>
      </c>
      <c r="AI16" s="6">
        <f t="shared" si="13"/>
        <v>0</v>
      </c>
      <c r="AJ16" s="6">
        <f t="shared" si="14"/>
        <v>0</v>
      </c>
      <c r="AK16" s="6">
        <f t="shared" si="15"/>
        <v>0.1327956989247312</v>
      </c>
      <c r="AL16" s="6">
        <f t="shared" si="16"/>
        <v>0.1327956989247312</v>
      </c>
      <c r="AM16" s="6">
        <f t="shared" si="17"/>
        <v>0.1327956989247312</v>
      </c>
      <c r="AN16" s="6">
        <f t="shared" si="18"/>
        <v>0.1327956989247312</v>
      </c>
    </row>
    <row r="17" spans="1:40" ht="15.5" x14ac:dyDescent="0.35">
      <c r="A17" s="4" t="s">
        <v>214</v>
      </c>
      <c r="B17" s="4">
        <v>5</v>
      </c>
      <c r="C17">
        <v>2</v>
      </c>
      <c r="D17" s="4" t="s">
        <v>20</v>
      </c>
      <c r="E17" s="4">
        <v>-5.3763440860215062E-2</v>
      </c>
      <c r="F17">
        <f t="shared" si="1"/>
        <v>0.43548387096774205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6">
        <v>0.25</v>
      </c>
      <c r="U17" s="6">
        <v>0.25</v>
      </c>
      <c r="V17" s="6">
        <v>0.25</v>
      </c>
      <c r="W17" s="6">
        <v>0.25</v>
      </c>
      <c r="X17" s="6">
        <f t="shared" si="2"/>
        <v>0</v>
      </c>
      <c r="Y17" s="6">
        <f t="shared" si="3"/>
        <v>0</v>
      </c>
      <c r="Z17" s="6">
        <f t="shared" si="4"/>
        <v>0</v>
      </c>
      <c r="AA17" s="6">
        <f t="shared" si="5"/>
        <v>0</v>
      </c>
      <c r="AB17" s="6">
        <f t="shared" si="6"/>
        <v>0</v>
      </c>
      <c r="AC17" s="6">
        <f t="shared" si="7"/>
        <v>0</v>
      </c>
      <c r="AD17" s="6">
        <f t="shared" si="8"/>
        <v>0</v>
      </c>
      <c r="AE17" s="6">
        <f t="shared" si="9"/>
        <v>0</v>
      </c>
      <c r="AF17" s="6">
        <f t="shared" si="10"/>
        <v>0</v>
      </c>
      <c r="AG17" s="6">
        <f t="shared" si="11"/>
        <v>0</v>
      </c>
      <c r="AH17" s="6">
        <f t="shared" si="12"/>
        <v>0</v>
      </c>
      <c r="AI17" s="6">
        <f t="shared" si="13"/>
        <v>0</v>
      </c>
      <c r="AJ17" s="6">
        <f t="shared" si="14"/>
        <v>0</v>
      </c>
      <c r="AK17" s="6">
        <f t="shared" si="15"/>
        <v>0.10887096774193551</v>
      </c>
      <c r="AL17" s="6">
        <f t="shared" si="16"/>
        <v>0.10887096774193551</v>
      </c>
      <c r="AM17" s="6">
        <f t="shared" si="17"/>
        <v>0.10887096774193551</v>
      </c>
      <c r="AN17" s="6">
        <f t="shared" si="18"/>
        <v>0.10887096774193551</v>
      </c>
    </row>
    <row r="18" spans="1:40" ht="15.5" x14ac:dyDescent="0.35">
      <c r="A18" s="4" t="s">
        <v>214</v>
      </c>
      <c r="B18" s="4">
        <v>5</v>
      </c>
      <c r="C18">
        <v>3</v>
      </c>
      <c r="D18" s="4" t="s">
        <v>21</v>
      </c>
      <c r="E18" s="4">
        <v>-5.3763440860215062E-2</v>
      </c>
      <c r="F18">
        <f t="shared" si="1"/>
        <v>0.43548387096774205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6">
        <v>0.25</v>
      </c>
      <c r="U18" s="6">
        <v>0.25</v>
      </c>
      <c r="V18" s="6">
        <v>0.25</v>
      </c>
      <c r="W18" s="6">
        <v>0.25</v>
      </c>
      <c r="X18" s="6">
        <f t="shared" si="2"/>
        <v>0</v>
      </c>
      <c r="Y18" s="6">
        <f t="shared" si="3"/>
        <v>0</v>
      </c>
      <c r="Z18" s="6">
        <f t="shared" si="4"/>
        <v>0</v>
      </c>
      <c r="AA18" s="6">
        <f t="shared" si="5"/>
        <v>0</v>
      </c>
      <c r="AB18" s="6">
        <f t="shared" si="6"/>
        <v>0</v>
      </c>
      <c r="AC18" s="6">
        <f t="shared" si="7"/>
        <v>0</v>
      </c>
      <c r="AD18" s="6">
        <f t="shared" si="8"/>
        <v>0</v>
      </c>
      <c r="AE18" s="6">
        <f t="shared" si="9"/>
        <v>0</v>
      </c>
      <c r="AF18" s="6">
        <f t="shared" si="10"/>
        <v>0</v>
      </c>
      <c r="AG18" s="6">
        <f t="shared" si="11"/>
        <v>0</v>
      </c>
      <c r="AH18" s="6">
        <f t="shared" si="12"/>
        <v>0</v>
      </c>
      <c r="AI18" s="6">
        <f t="shared" si="13"/>
        <v>0</v>
      </c>
      <c r="AJ18" s="6">
        <f t="shared" si="14"/>
        <v>0</v>
      </c>
      <c r="AK18" s="6">
        <f t="shared" si="15"/>
        <v>0.10887096774193551</v>
      </c>
      <c r="AL18" s="6">
        <f t="shared" si="16"/>
        <v>0.10887096774193551</v>
      </c>
      <c r="AM18" s="6">
        <f t="shared" si="17"/>
        <v>0.10887096774193551</v>
      </c>
      <c r="AN18" s="6">
        <f t="shared" si="18"/>
        <v>0.10887096774193551</v>
      </c>
    </row>
    <row r="19" spans="1:40" ht="15.5" x14ac:dyDescent="0.35">
      <c r="A19" s="4" t="s">
        <v>214</v>
      </c>
      <c r="B19" s="4">
        <v>5</v>
      </c>
      <c r="C19">
        <v>1</v>
      </c>
      <c r="D19" s="4" t="s">
        <v>19</v>
      </c>
      <c r="E19" s="4">
        <v>-0.12580645161290321</v>
      </c>
      <c r="F19">
        <f t="shared" si="1"/>
        <v>0.3634408602150539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6">
        <v>0.25</v>
      </c>
      <c r="U19" s="6">
        <v>0.25</v>
      </c>
      <c r="V19" s="6">
        <v>0.25</v>
      </c>
      <c r="W19" s="6">
        <v>0.25</v>
      </c>
      <c r="X19" s="6">
        <f t="shared" si="2"/>
        <v>0</v>
      </c>
      <c r="Y19" s="6">
        <f t="shared" si="3"/>
        <v>0</v>
      </c>
      <c r="Z19" s="6">
        <f t="shared" si="4"/>
        <v>0</v>
      </c>
      <c r="AA19" s="6">
        <f t="shared" si="5"/>
        <v>0</v>
      </c>
      <c r="AB19" s="6">
        <f t="shared" si="6"/>
        <v>0</v>
      </c>
      <c r="AC19" s="6">
        <f t="shared" si="7"/>
        <v>0</v>
      </c>
      <c r="AD19" s="6">
        <f t="shared" si="8"/>
        <v>0</v>
      </c>
      <c r="AE19" s="6">
        <f t="shared" si="9"/>
        <v>0</v>
      </c>
      <c r="AF19" s="6">
        <f t="shared" si="10"/>
        <v>0</v>
      </c>
      <c r="AG19" s="6">
        <f t="shared" si="11"/>
        <v>0</v>
      </c>
      <c r="AH19" s="6">
        <f t="shared" si="12"/>
        <v>0</v>
      </c>
      <c r="AI19" s="6">
        <f t="shared" si="13"/>
        <v>0</v>
      </c>
      <c r="AJ19" s="6">
        <f t="shared" si="14"/>
        <v>0</v>
      </c>
      <c r="AK19" s="6">
        <f t="shared" si="15"/>
        <v>9.0860215053763474E-2</v>
      </c>
      <c r="AL19" s="6">
        <f t="shared" si="16"/>
        <v>9.0860215053763474E-2</v>
      </c>
      <c r="AM19" s="6">
        <f t="shared" si="17"/>
        <v>9.0860215053763474E-2</v>
      </c>
      <c r="AN19" s="6">
        <f t="shared" si="18"/>
        <v>9.0860215053763474E-2</v>
      </c>
    </row>
    <row r="20" spans="1:40" ht="15.5" x14ac:dyDescent="0.35">
      <c r="A20" s="4" t="s">
        <v>214</v>
      </c>
      <c r="B20" s="4">
        <v>6</v>
      </c>
      <c r="C20">
        <v>4</v>
      </c>
      <c r="D20" s="4" t="s">
        <v>27</v>
      </c>
      <c r="E20" s="4">
        <v>0.16344086021505372</v>
      </c>
      <c r="F20">
        <f t="shared" si="1"/>
        <v>0.65268817204301088</v>
      </c>
      <c r="G20" s="7"/>
      <c r="H20" s="7"/>
      <c r="I20" s="7"/>
      <c r="J20" s="6">
        <v>0.1</v>
      </c>
      <c r="K20" s="6">
        <v>0.1</v>
      </c>
      <c r="L20" s="6">
        <v>0.1</v>
      </c>
      <c r="M20" s="6">
        <v>0.1</v>
      </c>
      <c r="N20" s="6">
        <v>0.1</v>
      </c>
      <c r="O20" s="6">
        <v>0.1</v>
      </c>
      <c r="P20" s="6">
        <v>0.1</v>
      </c>
      <c r="Q20" s="6">
        <v>0.1</v>
      </c>
      <c r="R20" s="6">
        <v>0.1</v>
      </c>
      <c r="S20" s="6">
        <v>0.1</v>
      </c>
      <c r="T20" s="7"/>
      <c r="U20" s="7"/>
      <c r="V20" s="7"/>
      <c r="W20" s="7"/>
      <c r="X20" s="6">
        <f t="shared" si="2"/>
        <v>0</v>
      </c>
      <c r="Y20" s="6">
        <f t="shared" si="3"/>
        <v>0</v>
      </c>
      <c r="Z20" s="6">
        <f t="shared" si="4"/>
        <v>0</v>
      </c>
      <c r="AA20" s="6">
        <f t="shared" si="5"/>
        <v>6.5268817204301097E-2</v>
      </c>
      <c r="AB20" s="6">
        <f t="shared" si="6"/>
        <v>6.5268817204301097E-2</v>
      </c>
      <c r="AC20" s="6">
        <f t="shared" si="7"/>
        <v>6.5268817204301097E-2</v>
      </c>
      <c r="AD20" s="6">
        <f t="shared" si="8"/>
        <v>6.5268817204301097E-2</v>
      </c>
      <c r="AE20" s="6">
        <f t="shared" si="9"/>
        <v>6.5268817204301097E-2</v>
      </c>
      <c r="AF20" s="6">
        <f t="shared" si="10"/>
        <v>6.5268817204301097E-2</v>
      </c>
      <c r="AG20" s="6">
        <f t="shared" si="11"/>
        <v>6.5268817204301097E-2</v>
      </c>
      <c r="AH20" s="6">
        <f t="shared" si="12"/>
        <v>6.5268817204301097E-2</v>
      </c>
      <c r="AI20" s="6">
        <f t="shared" si="13"/>
        <v>6.5268817204301097E-2</v>
      </c>
      <c r="AJ20" s="6">
        <f t="shared" si="14"/>
        <v>6.5268817204301097E-2</v>
      </c>
      <c r="AK20" s="6">
        <f t="shared" si="15"/>
        <v>0</v>
      </c>
      <c r="AL20" s="6">
        <f t="shared" si="16"/>
        <v>0</v>
      </c>
      <c r="AM20" s="6">
        <f t="shared" si="17"/>
        <v>0</v>
      </c>
      <c r="AN20" s="6">
        <f t="shared" si="18"/>
        <v>0</v>
      </c>
    </row>
    <row r="21" spans="1:40" ht="15.5" x14ac:dyDescent="0.35">
      <c r="A21" s="4" t="s">
        <v>214</v>
      </c>
      <c r="B21" s="4">
        <v>6</v>
      </c>
      <c r="C21">
        <v>5</v>
      </c>
      <c r="D21" s="4" t="s">
        <v>28</v>
      </c>
      <c r="E21" s="4">
        <v>0.16344086021505372</v>
      </c>
      <c r="F21">
        <f t="shared" si="1"/>
        <v>0.65268817204301088</v>
      </c>
      <c r="G21" s="7"/>
      <c r="H21" s="7"/>
      <c r="I21" s="7"/>
      <c r="J21" s="6">
        <v>0.1</v>
      </c>
      <c r="K21" s="6">
        <v>0.1</v>
      </c>
      <c r="L21" s="6">
        <v>0.1</v>
      </c>
      <c r="M21" s="6">
        <v>0.1</v>
      </c>
      <c r="N21" s="6">
        <v>0.1</v>
      </c>
      <c r="O21" s="6">
        <v>0.1</v>
      </c>
      <c r="P21" s="6">
        <v>0.1</v>
      </c>
      <c r="Q21" s="6">
        <v>0.1</v>
      </c>
      <c r="R21" s="6">
        <v>0.1</v>
      </c>
      <c r="S21" s="6">
        <v>0.1</v>
      </c>
      <c r="T21" s="7"/>
      <c r="U21" s="7"/>
      <c r="V21" s="7"/>
      <c r="W21" s="7"/>
      <c r="X21" s="6">
        <f t="shared" si="2"/>
        <v>0</v>
      </c>
      <c r="Y21" s="6">
        <f t="shared" si="3"/>
        <v>0</v>
      </c>
      <c r="Z21" s="6">
        <f t="shared" si="4"/>
        <v>0</v>
      </c>
      <c r="AA21" s="6">
        <f t="shared" si="5"/>
        <v>6.5268817204301097E-2</v>
      </c>
      <c r="AB21" s="6">
        <f t="shared" si="6"/>
        <v>6.5268817204301097E-2</v>
      </c>
      <c r="AC21" s="6">
        <f t="shared" si="7"/>
        <v>6.5268817204301097E-2</v>
      </c>
      <c r="AD21" s="6">
        <f t="shared" si="8"/>
        <v>6.5268817204301097E-2</v>
      </c>
      <c r="AE21" s="6">
        <f t="shared" si="9"/>
        <v>6.5268817204301097E-2</v>
      </c>
      <c r="AF21" s="6">
        <f t="shared" si="10"/>
        <v>6.5268817204301097E-2</v>
      </c>
      <c r="AG21" s="6">
        <f t="shared" si="11"/>
        <v>6.5268817204301097E-2</v>
      </c>
      <c r="AH21" s="6">
        <f t="shared" si="12"/>
        <v>6.5268817204301097E-2</v>
      </c>
      <c r="AI21" s="6">
        <f t="shared" si="13"/>
        <v>6.5268817204301097E-2</v>
      </c>
      <c r="AJ21" s="6">
        <f t="shared" si="14"/>
        <v>6.5268817204301097E-2</v>
      </c>
      <c r="AK21" s="6">
        <f t="shared" si="15"/>
        <v>0</v>
      </c>
      <c r="AL21" s="6">
        <f t="shared" si="16"/>
        <v>0</v>
      </c>
      <c r="AM21" s="6">
        <f t="shared" si="17"/>
        <v>0</v>
      </c>
      <c r="AN21" s="6">
        <f t="shared" si="18"/>
        <v>0</v>
      </c>
    </row>
    <row r="22" spans="1:40" ht="15.5" x14ac:dyDescent="0.35">
      <c r="A22" s="4" t="s">
        <v>214</v>
      </c>
      <c r="B22" s="4">
        <v>6</v>
      </c>
      <c r="C22">
        <v>2</v>
      </c>
      <c r="D22" s="4" t="s">
        <v>25</v>
      </c>
      <c r="E22" s="4">
        <v>9.8924731182795711E-2</v>
      </c>
      <c r="F22">
        <f t="shared" si="1"/>
        <v>0.58817204301075288</v>
      </c>
      <c r="G22" s="7"/>
      <c r="H22" s="7"/>
      <c r="I22" s="7"/>
      <c r="J22" s="6">
        <v>0.1</v>
      </c>
      <c r="K22" s="6">
        <v>0.1</v>
      </c>
      <c r="L22" s="6">
        <v>0.1</v>
      </c>
      <c r="M22" s="6">
        <v>0.1</v>
      </c>
      <c r="N22" s="6">
        <v>0.1</v>
      </c>
      <c r="O22" s="6">
        <v>0.1</v>
      </c>
      <c r="P22" s="6">
        <v>0.1</v>
      </c>
      <c r="Q22" s="6">
        <v>0.1</v>
      </c>
      <c r="R22" s="6">
        <v>0.1</v>
      </c>
      <c r="S22" s="6">
        <v>0.1</v>
      </c>
      <c r="T22" s="7"/>
      <c r="U22" s="7"/>
      <c r="V22" s="7"/>
      <c r="W22" s="7"/>
      <c r="X22" s="6">
        <f t="shared" si="2"/>
        <v>0</v>
      </c>
      <c r="Y22" s="6">
        <f t="shared" si="3"/>
        <v>0</v>
      </c>
      <c r="Z22" s="6">
        <f t="shared" si="4"/>
        <v>0</v>
      </c>
      <c r="AA22" s="6">
        <f t="shared" si="5"/>
        <v>5.8817204301075288E-2</v>
      </c>
      <c r="AB22" s="6">
        <f t="shared" si="6"/>
        <v>5.8817204301075288E-2</v>
      </c>
      <c r="AC22" s="6">
        <f t="shared" si="7"/>
        <v>5.8817204301075288E-2</v>
      </c>
      <c r="AD22" s="6">
        <f t="shared" si="8"/>
        <v>5.8817204301075288E-2</v>
      </c>
      <c r="AE22" s="6">
        <f t="shared" si="9"/>
        <v>5.8817204301075288E-2</v>
      </c>
      <c r="AF22" s="6">
        <f t="shared" si="10"/>
        <v>5.8817204301075288E-2</v>
      </c>
      <c r="AG22" s="6">
        <f t="shared" si="11"/>
        <v>5.8817204301075288E-2</v>
      </c>
      <c r="AH22" s="6">
        <f t="shared" si="12"/>
        <v>5.8817204301075288E-2</v>
      </c>
      <c r="AI22" s="6">
        <f t="shared" si="13"/>
        <v>5.8817204301075288E-2</v>
      </c>
      <c r="AJ22" s="6">
        <f t="shared" si="14"/>
        <v>5.8817204301075288E-2</v>
      </c>
      <c r="AK22" s="6">
        <f t="shared" si="15"/>
        <v>0</v>
      </c>
      <c r="AL22" s="6">
        <f t="shared" si="16"/>
        <v>0</v>
      </c>
      <c r="AM22" s="6">
        <f t="shared" si="17"/>
        <v>0</v>
      </c>
      <c r="AN22" s="6">
        <f t="shared" si="18"/>
        <v>0</v>
      </c>
    </row>
    <row r="23" spans="1:40" ht="15.5" x14ac:dyDescent="0.35">
      <c r="A23" s="4" t="s">
        <v>214</v>
      </c>
      <c r="B23" s="4">
        <v>6</v>
      </c>
      <c r="C23">
        <v>3</v>
      </c>
      <c r="D23" s="4" t="s">
        <v>26</v>
      </c>
      <c r="E23" s="4">
        <v>9.8924731182795711E-2</v>
      </c>
      <c r="F23">
        <f t="shared" si="1"/>
        <v>0.58817204301075288</v>
      </c>
      <c r="G23" s="7"/>
      <c r="H23" s="7"/>
      <c r="I23" s="7"/>
      <c r="J23" s="6">
        <v>0.1</v>
      </c>
      <c r="K23" s="6">
        <v>0.1</v>
      </c>
      <c r="L23" s="6">
        <v>0.1</v>
      </c>
      <c r="M23" s="6">
        <v>0.1</v>
      </c>
      <c r="N23" s="6">
        <v>0.1</v>
      </c>
      <c r="O23" s="6">
        <v>0.1</v>
      </c>
      <c r="P23" s="6">
        <v>0.1</v>
      </c>
      <c r="Q23" s="6">
        <v>0.1</v>
      </c>
      <c r="R23" s="6">
        <v>0.1</v>
      </c>
      <c r="S23" s="6">
        <v>0.1</v>
      </c>
      <c r="T23" s="7"/>
      <c r="U23" s="7"/>
      <c r="V23" s="7"/>
      <c r="W23" s="7"/>
      <c r="X23" s="6">
        <f t="shared" si="2"/>
        <v>0</v>
      </c>
      <c r="Y23" s="6">
        <f t="shared" si="3"/>
        <v>0</v>
      </c>
      <c r="Z23" s="6">
        <f t="shared" si="4"/>
        <v>0</v>
      </c>
      <c r="AA23" s="6">
        <f t="shared" si="5"/>
        <v>5.8817204301075288E-2</v>
      </c>
      <c r="AB23" s="6">
        <f t="shared" si="6"/>
        <v>5.8817204301075288E-2</v>
      </c>
      <c r="AC23" s="6">
        <f t="shared" si="7"/>
        <v>5.8817204301075288E-2</v>
      </c>
      <c r="AD23" s="6">
        <f t="shared" si="8"/>
        <v>5.8817204301075288E-2</v>
      </c>
      <c r="AE23" s="6">
        <f t="shared" si="9"/>
        <v>5.8817204301075288E-2</v>
      </c>
      <c r="AF23" s="6">
        <f t="shared" si="10"/>
        <v>5.8817204301075288E-2</v>
      </c>
      <c r="AG23" s="6">
        <f t="shared" si="11"/>
        <v>5.8817204301075288E-2</v>
      </c>
      <c r="AH23" s="6">
        <f t="shared" si="12"/>
        <v>5.8817204301075288E-2</v>
      </c>
      <c r="AI23" s="6">
        <f t="shared" si="13"/>
        <v>5.8817204301075288E-2</v>
      </c>
      <c r="AJ23" s="6">
        <f t="shared" si="14"/>
        <v>5.8817204301075288E-2</v>
      </c>
      <c r="AK23" s="6">
        <f t="shared" si="15"/>
        <v>0</v>
      </c>
      <c r="AL23" s="6">
        <f t="shared" si="16"/>
        <v>0</v>
      </c>
      <c r="AM23" s="6">
        <f t="shared" si="17"/>
        <v>0</v>
      </c>
      <c r="AN23" s="6">
        <f t="shared" si="18"/>
        <v>0</v>
      </c>
    </row>
    <row r="24" spans="1:40" ht="15.5" x14ac:dyDescent="0.35">
      <c r="A24" s="4" t="s">
        <v>214</v>
      </c>
      <c r="B24" s="4">
        <v>6</v>
      </c>
      <c r="C24">
        <v>1</v>
      </c>
      <c r="D24" s="4" t="s">
        <v>24</v>
      </c>
      <c r="E24" s="4">
        <v>7.5268817204301119E-2</v>
      </c>
      <c r="F24">
        <f t="shared" si="1"/>
        <v>0.56451612903225823</v>
      </c>
      <c r="G24" s="7"/>
      <c r="H24" s="7"/>
      <c r="I24" s="7"/>
      <c r="J24" s="6">
        <v>0.1</v>
      </c>
      <c r="K24" s="6">
        <v>0.1</v>
      </c>
      <c r="L24" s="6">
        <v>0.1</v>
      </c>
      <c r="M24" s="6">
        <v>0.1</v>
      </c>
      <c r="N24" s="6">
        <v>0.1</v>
      </c>
      <c r="O24" s="6">
        <v>0.1</v>
      </c>
      <c r="P24" s="6">
        <v>0.1</v>
      </c>
      <c r="Q24" s="6">
        <v>0.1</v>
      </c>
      <c r="R24" s="6">
        <v>0.1</v>
      </c>
      <c r="S24" s="6">
        <v>0.1</v>
      </c>
      <c r="T24" s="7"/>
      <c r="U24" s="7"/>
      <c r="V24" s="7"/>
      <c r="W24" s="7"/>
      <c r="X24" s="6">
        <f t="shared" si="2"/>
        <v>0</v>
      </c>
      <c r="Y24" s="6">
        <f t="shared" si="3"/>
        <v>0</v>
      </c>
      <c r="Z24" s="6">
        <f t="shared" si="4"/>
        <v>0</v>
      </c>
      <c r="AA24" s="6">
        <f t="shared" si="5"/>
        <v>5.6451612903225826E-2</v>
      </c>
      <c r="AB24" s="6">
        <f t="shared" si="6"/>
        <v>5.6451612903225826E-2</v>
      </c>
      <c r="AC24" s="6">
        <f t="shared" si="7"/>
        <v>5.6451612903225826E-2</v>
      </c>
      <c r="AD24" s="6">
        <f t="shared" si="8"/>
        <v>5.6451612903225826E-2</v>
      </c>
      <c r="AE24" s="6">
        <f t="shared" si="9"/>
        <v>5.6451612903225826E-2</v>
      </c>
      <c r="AF24" s="6">
        <f t="shared" si="10"/>
        <v>5.6451612903225826E-2</v>
      </c>
      <c r="AG24" s="6">
        <f t="shared" si="11"/>
        <v>5.6451612903225826E-2</v>
      </c>
      <c r="AH24" s="6">
        <f t="shared" si="12"/>
        <v>5.6451612903225826E-2</v>
      </c>
      <c r="AI24" s="6">
        <f t="shared" si="13"/>
        <v>5.6451612903225826E-2</v>
      </c>
      <c r="AJ24" s="6">
        <f t="shared" si="14"/>
        <v>5.6451612903225826E-2</v>
      </c>
      <c r="AK24" s="6">
        <f t="shared" si="15"/>
        <v>0</v>
      </c>
      <c r="AL24" s="6">
        <f t="shared" si="16"/>
        <v>0</v>
      </c>
      <c r="AM24" s="6">
        <f t="shared" si="17"/>
        <v>0</v>
      </c>
      <c r="AN24" s="6">
        <f t="shared" si="18"/>
        <v>0</v>
      </c>
    </row>
    <row r="25" spans="1:40" ht="15.5" x14ac:dyDescent="0.35">
      <c r="A25" s="4" t="s">
        <v>215</v>
      </c>
      <c r="B25" s="4">
        <v>7</v>
      </c>
      <c r="C25">
        <v>5</v>
      </c>
      <c r="D25" s="4" t="s">
        <v>30</v>
      </c>
      <c r="E25" s="4">
        <v>-0.3741935483870969</v>
      </c>
      <c r="F25">
        <f t="shared" si="1"/>
        <v>0.11505376344086021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6">
        <v>1</v>
      </c>
      <c r="S25" s="7"/>
      <c r="T25" s="7"/>
      <c r="U25" s="7"/>
      <c r="V25" s="7"/>
      <c r="W25" s="7"/>
      <c r="X25" s="6">
        <f t="shared" si="2"/>
        <v>0</v>
      </c>
      <c r="Y25" s="6">
        <f t="shared" si="3"/>
        <v>0</v>
      </c>
      <c r="Z25" s="6">
        <f t="shared" si="4"/>
        <v>0</v>
      </c>
      <c r="AA25" s="6">
        <f t="shared" si="5"/>
        <v>0</v>
      </c>
      <c r="AB25" s="6">
        <f t="shared" si="6"/>
        <v>0</v>
      </c>
      <c r="AC25" s="6">
        <f t="shared" si="7"/>
        <v>0</v>
      </c>
      <c r="AD25" s="6">
        <f t="shared" si="8"/>
        <v>0</v>
      </c>
      <c r="AE25" s="6">
        <f t="shared" si="9"/>
        <v>0</v>
      </c>
      <c r="AF25" s="6">
        <f t="shared" si="10"/>
        <v>0</v>
      </c>
      <c r="AG25" s="6">
        <f t="shared" si="11"/>
        <v>0</v>
      </c>
      <c r="AH25" s="6">
        <f t="shared" si="12"/>
        <v>0</v>
      </c>
      <c r="AI25" s="6">
        <f t="shared" si="13"/>
        <v>0.11505376344086021</v>
      </c>
      <c r="AJ25" s="6">
        <f t="shared" si="14"/>
        <v>0</v>
      </c>
      <c r="AK25" s="6">
        <f t="shared" si="15"/>
        <v>0</v>
      </c>
      <c r="AL25" s="6">
        <f t="shared" si="16"/>
        <v>0</v>
      </c>
      <c r="AM25" s="6">
        <f t="shared" si="17"/>
        <v>0</v>
      </c>
      <c r="AN25" s="6">
        <f t="shared" si="18"/>
        <v>0</v>
      </c>
    </row>
    <row r="26" spans="1:40" ht="15.5" x14ac:dyDescent="0.35">
      <c r="A26" s="4" t="s">
        <v>215</v>
      </c>
      <c r="B26" s="4">
        <v>7</v>
      </c>
      <c r="C26">
        <v>4</v>
      </c>
      <c r="D26" s="4" t="s">
        <v>29</v>
      </c>
      <c r="E26" s="4">
        <v>-0.46774193548387105</v>
      </c>
      <c r="F26">
        <f t="shared" si="1"/>
        <v>2.1505376344086058E-2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6">
        <v>1</v>
      </c>
      <c r="S26" s="7"/>
      <c r="T26" s="7"/>
      <c r="U26" s="7"/>
      <c r="V26" s="7"/>
      <c r="W26" s="7"/>
      <c r="X26" s="6">
        <f t="shared" si="2"/>
        <v>0</v>
      </c>
      <c r="Y26" s="6">
        <f t="shared" si="3"/>
        <v>0</v>
      </c>
      <c r="Z26" s="6">
        <f t="shared" si="4"/>
        <v>0</v>
      </c>
      <c r="AA26" s="6">
        <f t="shared" si="5"/>
        <v>0</v>
      </c>
      <c r="AB26" s="6">
        <f t="shared" si="6"/>
        <v>0</v>
      </c>
      <c r="AC26" s="6">
        <f t="shared" si="7"/>
        <v>0</v>
      </c>
      <c r="AD26" s="6">
        <f t="shared" si="8"/>
        <v>0</v>
      </c>
      <c r="AE26" s="6">
        <f t="shared" si="9"/>
        <v>0</v>
      </c>
      <c r="AF26" s="6">
        <f t="shared" si="10"/>
        <v>0</v>
      </c>
      <c r="AG26" s="6">
        <f t="shared" si="11"/>
        <v>0</v>
      </c>
      <c r="AH26" s="6">
        <f t="shared" si="12"/>
        <v>0</v>
      </c>
      <c r="AI26" s="6">
        <f t="shared" si="13"/>
        <v>2.1505376344086058E-2</v>
      </c>
      <c r="AJ26" s="6">
        <f t="shared" si="14"/>
        <v>0</v>
      </c>
      <c r="AK26" s="6">
        <f t="shared" si="15"/>
        <v>0</v>
      </c>
      <c r="AL26" s="6">
        <f t="shared" si="16"/>
        <v>0</v>
      </c>
      <c r="AM26" s="6">
        <f t="shared" si="17"/>
        <v>0</v>
      </c>
      <c r="AN26" s="6">
        <f t="shared" si="18"/>
        <v>0</v>
      </c>
    </row>
    <row r="27" spans="1:40" ht="15.5" x14ac:dyDescent="0.35">
      <c r="A27" s="4" t="s">
        <v>215</v>
      </c>
      <c r="B27" s="4">
        <v>8</v>
      </c>
      <c r="C27">
        <v>4</v>
      </c>
      <c r="D27" s="4" t="s">
        <v>31</v>
      </c>
      <c r="E27" s="4">
        <v>-0.46236559139784955</v>
      </c>
      <c r="F27">
        <f t="shared" si="1"/>
        <v>2.6881720430107559E-2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6">
        <v>1</v>
      </c>
      <c r="S27" s="7"/>
      <c r="T27" s="7"/>
      <c r="U27" s="7"/>
      <c r="V27" s="7"/>
      <c r="W27" s="7"/>
      <c r="X27" s="6">
        <f t="shared" si="2"/>
        <v>0</v>
      </c>
      <c r="Y27" s="6">
        <f t="shared" si="3"/>
        <v>0</v>
      </c>
      <c r="Z27" s="6">
        <f t="shared" si="4"/>
        <v>0</v>
      </c>
      <c r="AA27" s="6">
        <f t="shared" si="5"/>
        <v>0</v>
      </c>
      <c r="AB27" s="6">
        <f t="shared" si="6"/>
        <v>0</v>
      </c>
      <c r="AC27" s="6">
        <f t="shared" si="7"/>
        <v>0</v>
      </c>
      <c r="AD27" s="6">
        <f t="shared" si="8"/>
        <v>0</v>
      </c>
      <c r="AE27" s="6">
        <f t="shared" si="9"/>
        <v>0</v>
      </c>
      <c r="AF27" s="6">
        <f t="shared" si="10"/>
        <v>0</v>
      </c>
      <c r="AG27" s="6">
        <f t="shared" si="11"/>
        <v>0</v>
      </c>
      <c r="AH27" s="6">
        <f t="shared" si="12"/>
        <v>0</v>
      </c>
      <c r="AI27" s="6">
        <f t="shared" si="13"/>
        <v>2.6881720430107559E-2</v>
      </c>
      <c r="AJ27" s="6">
        <f t="shared" si="14"/>
        <v>0</v>
      </c>
      <c r="AK27" s="6">
        <f t="shared" si="15"/>
        <v>0</v>
      </c>
      <c r="AL27" s="6">
        <f t="shared" si="16"/>
        <v>0</v>
      </c>
      <c r="AM27" s="6">
        <f t="shared" si="17"/>
        <v>0</v>
      </c>
      <c r="AN27" s="6">
        <f t="shared" si="18"/>
        <v>0</v>
      </c>
    </row>
    <row r="28" spans="1:40" ht="15.5" x14ac:dyDescent="0.35">
      <c r="A28" s="4" t="s">
        <v>215</v>
      </c>
      <c r="B28" s="4">
        <v>8</v>
      </c>
      <c r="C28">
        <v>5</v>
      </c>
      <c r="D28" s="4" t="s">
        <v>32</v>
      </c>
      <c r="E28" s="4">
        <v>-0.47956989247311838</v>
      </c>
      <c r="F28">
        <f t="shared" si="1"/>
        <v>9.6774193548387344E-3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6">
        <v>1</v>
      </c>
      <c r="S28" s="7"/>
      <c r="T28" s="7"/>
      <c r="U28" s="7"/>
      <c r="V28" s="7"/>
      <c r="W28" s="7"/>
      <c r="X28" s="6">
        <f t="shared" si="2"/>
        <v>0</v>
      </c>
      <c r="Y28" s="6">
        <f t="shared" si="3"/>
        <v>0</v>
      </c>
      <c r="Z28" s="6">
        <f t="shared" si="4"/>
        <v>0</v>
      </c>
      <c r="AA28" s="6">
        <f t="shared" si="5"/>
        <v>0</v>
      </c>
      <c r="AB28" s="6">
        <f t="shared" si="6"/>
        <v>0</v>
      </c>
      <c r="AC28" s="6">
        <f t="shared" si="7"/>
        <v>0</v>
      </c>
      <c r="AD28" s="6">
        <f t="shared" si="8"/>
        <v>0</v>
      </c>
      <c r="AE28" s="6">
        <f t="shared" si="9"/>
        <v>0</v>
      </c>
      <c r="AF28" s="6">
        <f t="shared" si="10"/>
        <v>0</v>
      </c>
      <c r="AG28" s="6">
        <f t="shared" si="11"/>
        <v>0</v>
      </c>
      <c r="AH28" s="6">
        <f t="shared" si="12"/>
        <v>0</v>
      </c>
      <c r="AI28" s="6">
        <f t="shared" si="13"/>
        <v>9.6774193548387344E-3</v>
      </c>
      <c r="AJ28" s="6">
        <f t="shared" si="14"/>
        <v>0</v>
      </c>
      <c r="AK28" s="6">
        <f t="shared" si="15"/>
        <v>0</v>
      </c>
      <c r="AL28" s="6">
        <f t="shared" si="16"/>
        <v>0</v>
      </c>
      <c r="AM28" s="6">
        <f t="shared" si="17"/>
        <v>0</v>
      </c>
      <c r="AN28" s="6">
        <f t="shared" si="18"/>
        <v>0</v>
      </c>
    </row>
    <row r="29" spans="1:40" ht="15.5" x14ac:dyDescent="0.35">
      <c r="A29" s="4" t="s">
        <v>214</v>
      </c>
      <c r="B29" s="4">
        <v>9</v>
      </c>
      <c r="C29">
        <v>5</v>
      </c>
      <c r="D29" s="4" t="s">
        <v>37</v>
      </c>
      <c r="E29" s="4">
        <v>0.2978494623655914</v>
      </c>
      <c r="F29">
        <f t="shared" si="1"/>
        <v>0.78709677419354851</v>
      </c>
      <c r="G29" s="6">
        <v>0.25</v>
      </c>
      <c r="H29" s="6">
        <v>0.25</v>
      </c>
      <c r="I29" s="7"/>
      <c r="J29" s="7"/>
      <c r="K29" s="6">
        <v>0.25</v>
      </c>
      <c r="L29" s="6">
        <v>0.25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6">
        <f t="shared" si="2"/>
        <v>0.19677419354838713</v>
      </c>
      <c r="Y29" s="6">
        <f t="shared" si="3"/>
        <v>0.19677419354838713</v>
      </c>
      <c r="Z29" s="6">
        <f t="shared" si="4"/>
        <v>0</v>
      </c>
      <c r="AA29" s="6">
        <f t="shared" si="5"/>
        <v>0</v>
      </c>
      <c r="AB29" s="6">
        <f t="shared" si="6"/>
        <v>0.19677419354838713</v>
      </c>
      <c r="AC29" s="6">
        <f t="shared" si="7"/>
        <v>0.19677419354838713</v>
      </c>
      <c r="AD29" s="6">
        <f t="shared" si="8"/>
        <v>0</v>
      </c>
      <c r="AE29" s="6">
        <f t="shared" si="9"/>
        <v>0</v>
      </c>
      <c r="AF29" s="6">
        <f t="shared" si="10"/>
        <v>0</v>
      </c>
      <c r="AG29" s="6">
        <f t="shared" si="11"/>
        <v>0</v>
      </c>
      <c r="AH29" s="6">
        <f t="shared" si="12"/>
        <v>0</v>
      </c>
      <c r="AI29" s="6">
        <f t="shared" si="13"/>
        <v>0</v>
      </c>
      <c r="AJ29" s="6">
        <f t="shared" si="14"/>
        <v>0</v>
      </c>
      <c r="AK29" s="6">
        <f t="shared" si="15"/>
        <v>0</v>
      </c>
      <c r="AL29" s="6">
        <f t="shared" si="16"/>
        <v>0</v>
      </c>
      <c r="AM29" s="6">
        <f t="shared" si="17"/>
        <v>0</v>
      </c>
      <c r="AN29" s="6">
        <f t="shared" si="18"/>
        <v>0</v>
      </c>
    </row>
    <row r="30" spans="1:40" ht="15.5" x14ac:dyDescent="0.35">
      <c r="A30" s="4" t="s">
        <v>214</v>
      </c>
      <c r="B30" s="4">
        <v>9</v>
      </c>
      <c r="C30">
        <v>4</v>
      </c>
      <c r="D30" s="4" t="s">
        <v>36</v>
      </c>
      <c r="E30" s="4">
        <v>0.26451612903225807</v>
      </c>
      <c r="F30">
        <f t="shared" si="1"/>
        <v>0.75376344086021518</v>
      </c>
      <c r="G30" s="6">
        <v>0.25</v>
      </c>
      <c r="H30" s="6">
        <v>0.25</v>
      </c>
      <c r="I30" s="7"/>
      <c r="J30" s="7"/>
      <c r="K30" s="6">
        <v>0.25</v>
      </c>
      <c r="L30" s="6">
        <v>0.25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6">
        <f t="shared" si="2"/>
        <v>0.1884408602150538</v>
      </c>
      <c r="Y30" s="6">
        <f t="shared" si="3"/>
        <v>0.1884408602150538</v>
      </c>
      <c r="Z30" s="6">
        <f t="shared" si="4"/>
        <v>0</v>
      </c>
      <c r="AA30" s="6">
        <f t="shared" si="5"/>
        <v>0</v>
      </c>
      <c r="AB30" s="6">
        <f t="shared" si="6"/>
        <v>0.1884408602150538</v>
      </c>
      <c r="AC30" s="6">
        <f t="shared" si="7"/>
        <v>0.1884408602150538</v>
      </c>
      <c r="AD30" s="6">
        <f t="shared" si="8"/>
        <v>0</v>
      </c>
      <c r="AE30" s="6">
        <f t="shared" si="9"/>
        <v>0</v>
      </c>
      <c r="AF30" s="6">
        <f t="shared" si="10"/>
        <v>0</v>
      </c>
      <c r="AG30" s="6">
        <f t="shared" si="11"/>
        <v>0</v>
      </c>
      <c r="AH30" s="6">
        <f t="shared" si="12"/>
        <v>0</v>
      </c>
      <c r="AI30" s="6">
        <f t="shared" si="13"/>
        <v>0</v>
      </c>
      <c r="AJ30" s="6">
        <f t="shared" si="14"/>
        <v>0</v>
      </c>
      <c r="AK30" s="6">
        <f t="shared" si="15"/>
        <v>0</v>
      </c>
      <c r="AL30" s="6">
        <f t="shared" si="16"/>
        <v>0</v>
      </c>
      <c r="AM30" s="6">
        <f t="shared" si="17"/>
        <v>0</v>
      </c>
      <c r="AN30" s="6">
        <f t="shared" si="18"/>
        <v>0</v>
      </c>
    </row>
    <row r="31" spans="1:40" ht="15.5" x14ac:dyDescent="0.35">
      <c r="A31" s="4" t="s">
        <v>214</v>
      </c>
      <c r="B31" s="4">
        <v>9</v>
      </c>
      <c r="C31">
        <v>3</v>
      </c>
      <c r="D31" s="4" t="s">
        <v>35</v>
      </c>
      <c r="E31" s="4">
        <v>0.21935483870967748</v>
      </c>
      <c r="F31">
        <f t="shared" si="1"/>
        <v>0.70860215053763453</v>
      </c>
      <c r="G31" s="6">
        <v>0.25</v>
      </c>
      <c r="H31" s="6">
        <v>0.25</v>
      </c>
      <c r="I31" s="7"/>
      <c r="J31" s="7"/>
      <c r="K31" s="6">
        <v>0.25</v>
      </c>
      <c r="L31" s="6">
        <v>0.25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6">
        <f t="shared" si="2"/>
        <v>0.17715053763440863</v>
      </c>
      <c r="Y31" s="6">
        <f t="shared" si="3"/>
        <v>0.17715053763440863</v>
      </c>
      <c r="Z31" s="6">
        <f t="shared" si="4"/>
        <v>0</v>
      </c>
      <c r="AA31" s="6">
        <f t="shared" si="5"/>
        <v>0</v>
      </c>
      <c r="AB31" s="6">
        <f t="shared" si="6"/>
        <v>0.17715053763440863</v>
      </c>
      <c r="AC31" s="6">
        <f t="shared" si="7"/>
        <v>0.17715053763440863</v>
      </c>
      <c r="AD31" s="6">
        <f t="shared" si="8"/>
        <v>0</v>
      </c>
      <c r="AE31" s="6">
        <f t="shared" si="9"/>
        <v>0</v>
      </c>
      <c r="AF31" s="6">
        <f t="shared" si="10"/>
        <v>0</v>
      </c>
      <c r="AG31" s="6">
        <f t="shared" si="11"/>
        <v>0</v>
      </c>
      <c r="AH31" s="6">
        <f t="shared" si="12"/>
        <v>0</v>
      </c>
      <c r="AI31" s="6">
        <f t="shared" si="13"/>
        <v>0</v>
      </c>
      <c r="AJ31" s="6">
        <f t="shared" si="14"/>
        <v>0</v>
      </c>
      <c r="AK31" s="6">
        <f t="shared" si="15"/>
        <v>0</v>
      </c>
      <c r="AL31" s="6">
        <f t="shared" si="16"/>
        <v>0</v>
      </c>
      <c r="AM31" s="6">
        <f t="shared" si="17"/>
        <v>0</v>
      </c>
      <c r="AN31" s="6">
        <f t="shared" si="18"/>
        <v>0</v>
      </c>
    </row>
    <row r="32" spans="1:40" ht="15.5" x14ac:dyDescent="0.35">
      <c r="A32" s="4" t="s">
        <v>214</v>
      </c>
      <c r="B32" s="4">
        <v>9</v>
      </c>
      <c r="C32">
        <v>1</v>
      </c>
      <c r="D32" s="4" t="s">
        <v>33</v>
      </c>
      <c r="E32" s="4">
        <v>0.20860215053763445</v>
      </c>
      <c r="F32">
        <f t="shared" si="1"/>
        <v>0.69784946236559153</v>
      </c>
      <c r="G32" s="6">
        <v>0.25</v>
      </c>
      <c r="H32" s="6">
        <v>0.25</v>
      </c>
      <c r="I32" s="7"/>
      <c r="J32" s="7"/>
      <c r="K32" s="6">
        <v>0.25</v>
      </c>
      <c r="L32" s="6">
        <v>0.25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6">
        <f t="shared" si="2"/>
        <v>0.17446236559139788</v>
      </c>
      <c r="Y32" s="6">
        <f t="shared" si="3"/>
        <v>0.17446236559139788</v>
      </c>
      <c r="Z32" s="6">
        <f t="shared" si="4"/>
        <v>0</v>
      </c>
      <c r="AA32" s="6">
        <f t="shared" si="5"/>
        <v>0</v>
      </c>
      <c r="AB32" s="6">
        <f t="shared" si="6"/>
        <v>0.17446236559139788</v>
      </c>
      <c r="AC32" s="6">
        <f t="shared" si="7"/>
        <v>0.17446236559139788</v>
      </c>
      <c r="AD32" s="6">
        <f t="shared" si="8"/>
        <v>0</v>
      </c>
      <c r="AE32" s="6">
        <f t="shared" si="9"/>
        <v>0</v>
      </c>
      <c r="AF32" s="6">
        <f t="shared" si="10"/>
        <v>0</v>
      </c>
      <c r="AG32" s="6">
        <f t="shared" si="11"/>
        <v>0</v>
      </c>
      <c r="AH32" s="6">
        <f t="shared" si="12"/>
        <v>0</v>
      </c>
      <c r="AI32" s="6">
        <f t="shared" si="13"/>
        <v>0</v>
      </c>
      <c r="AJ32" s="6">
        <f t="shared" si="14"/>
        <v>0</v>
      </c>
      <c r="AK32" s="6">
        <f t="shared" si="15"/>
        <v>0</v>
      </c>
      <c r="AL32" s="6">
        <f t="shared" si="16"/>
        <v>0</v>
      </c>
      <c r="AM32" s="6">
        <f t="shared" si="17"/>
        <v>0</v>
      </c>
      <c r="AN32" s="6">
        <f t="shared" si="18"/>
        <v>0</v>
      </c>
    </row>
    <row r="33" spans="1:40" ht="15.5" x14ac:dyDescent="0.35">
      <c r="A33" s="4" t="s">
        <v>214</v>
      </c>
      <c r="B33" s="4">
        <v>9</v>
      </c>
      <c r="C33">
        <v>2</v>
      </c>
      <c r="D33" s="4" t="s">
        <v>34</v>
      </c>
      <c r="E33" s="4">
        <v>0.20860215053763445</v>
      </c>
      <c r="F33">
        <f t="shared" si="1"/>
        <v>0.69784946236559153</v>
      </c>
      <c r="G33" s="6">
        <v>0.25</v>
      </c>
      <c r="H33" s="6">
        <v>0.25</v>
      </c>
      <c r="I33" s="7"/>
      <c r="J33" s="7"/>
      <c r="K33" s="6">
        <v>0.25</v>
      </c>
      <c r="L33" s="6">
        <v>0.25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6">
        <f t="shared" si="2"/>
        <v>0.17446236559139788</v>
      </c>
      <c r="Y33" s="6">
        <f t="shared" si="3"/>
        <v>0.17446236559139788</v>
      </c>
      <c r="Z33" s="6">
        <f t="shared" si="4"/>
        <v>0</v>
      </c>
      <c r="AA33" s="6">
        <f t="shared" si="5"/>
        <v>0</v>
      </c>
      <c r="AB33" s="6">
        <f t="shared" si="6"/>
        <v>0.17446236559139788</v>
      </c>
      <c r="AC33" s="6">
        <f t="shared" si="7"/>
        <v>0.17446236559139788</v>
      </c>
      <c r="AD33" s="6">
        <f t="shared" si="8"/>
        <v>0</v>
      </c>
      <c r="AE33" s="6">
        <f t="shared" si="9"/>
        <v>0</v>
      </c>
      <c r="AF33" s="6">
        <f t="shared" si="10"/>
        <v>0</v>
      </c>
      <c r="AG33" s="6">
        <f t="shared" si="11"/>
        <v>0</v>
      </c>
      <c r="AH33" s="6">
        <f t="shared" si="12"/>
        <v>0</v>
      </c>
      <c r="AI33" s="6">
        <f t="shared" si="13"/>
        <v>0</v>
      </c>
      <c r="AJ33" s="6">
        <f t="shared" si="14"/>
        <v>0</v>
      </c>
      <c r="AK33" s="6">
        <f t="shared" si="15"/>
        <v>0</v>
      </c>
      <c r="AL33" s="6">
        <f t="shared" si="16"/>
        <v>0</v>
      </c>
      <c r="AM33" s="6">
        <f t="shared" si="17"/>
        <v>0</v>
      </c>
      <c r="AN33" s="6">
        <f t="shared" si="18"/>
        <v>0</v>
      </c>
    </row>
    <row r="34" spans="1:40" ht="15.5" x14ac:dyDescent="0.35">
      <c r="A34" s="4" t="s">
        <v>214</v>
      </c>
      <c r="B34" s="4">
        <v>10</v>
      </c>
      <c r="C34">
        <v>5</v>
      </c>
      <c r="D34" s="4" t="s">
        <v>42</v>
      </c>
      <c r="E34" s="4">
        <v>0.2978494623655914</v>
      </c>
      <c r="F34">
        <f t="shared" si="1"/>
        <v>0.78709677419354851</v>
      </c>
      <c r="G34" s="6">
        <v>0.2</v>
      </c>
      <c r="H34" s="6">
        <v>0.2</v>
      </c>
      <c r="I34" s="6">
        <v>0.2</v>
      </c>
      <c r="J34" s="7"/>
      <c r="K34" s="6">
        <v>0.2</v>
      </c>
      <c r="L34" s="6">
        <v>0.2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6">
        <f t="shared" si="2"/>
        <v>0.15741935483870972</v>
      </c>
      <c r="Y34" s="6">
        <f t="shared" si="3"/>
        <v>0.15741935483870972</v>
      </c>
      <c r="Z34" s="6">
        <f t="shared" si="4"/>
        <v>0.15741935483870972</v>
      </c>
      <c r="AA34" s="6">
        <f t="shared" si="5"/>
        <v>0</v>
      </c>
      <c r="AB34" s="6">
        <f t="shared" si="6"/>
        <v>0.15741935483870972</v>
      </c>
      <c r="AC34" s="6">
        <f t="shared" si="7"/>
        <v>0.15741935483870972</v>
      </c>
      <c r="AD34" s="6">
        <f t="shared" si="8"/>
        <v>0</v>
      </c>
      <c r="AE34" s="6">
        <f t="shared" si="9"/>
        <v>0</v>
      </c>
      <c r="AF34" s="6">
        <f t="shared" si="10"/>
        <v>0</v>
      </c>
      <c r="AG34" s="6">
        <f t="shared" si="11"/>
        <v>0</v>
      </c>
      <c r="AH34" s="6">
        <f t="shared" si="12"/>
        <v>0</v>
      </c>
      <c r="AI34" s="6">
        <f t="shared" si="13"/>
        <v>0</v>
      </c>
      <c r="AJ34" s="6">
        <f t="shared" si="14"/>
        <v>0</v>
      </c>
      <c r="AK34" s="6">
        <f t="shared" si="15"/>
        <v>0</v>
      </c>
      <c r="AL34" s="6">
        <f t="shared" si="16"/>
        <v>0</v>
      </c>
      <c r="AM34" s="6">
        <f t="shared" si="17"/>
        <v>0</v>
      </c>
      <c r="AN34" s="6">
        <f t="shared" si="18"/>
        <v>0</v>
      </c>
    </row>
    <row r="35" spans="1:40" ht="15.5" x14ac:dyDescent="0.35">
      <c r="A35" s="4" t="s">
        <v>214</v>
      </c>
      <c r="B35" s="4">
        <v>10</v>
      </c>
      <c r="C35">
        <v>4</v>
      </c>
      <c r="D35" s="4" t="s">
        <v>41</v>
      </c>
      <c r="E35" s="4">
        <v>0.26451612903225807</v>
      </c>
      <c r="F35">
        <f t="shared" si="1"/>
        <v>0.75376344086021518</v>
      </c>
      <c r="G35" s="6">
        <v>0.2</v>
      </c>
      <c r="H35" s="6">
        <v>0.2</v>
      </c>
      <c r="I35" s="6">
        <v>0.2</v>
      </c>
      <c r="J35" s="7"/>
      <c r="K35" s="6">
        <v>0.2</v>
      </c>
      <c r="L35" s="6">
        <v>0.2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6">
        <f t="shared" si="2"/>
        <v>0.15075268817204304</v>
      </c>
      <c r="Y35" s="6">
        <f t="shared" si="3"/>
        <v>0.15075268817204304</v>
      </c>
      <c r="Z35" s="6">
        <f t="shared" si="4"/>
        <v>0.15075268817204304</v>
      </c>
      <c r="AA35" s="6">
        <f t="shared" si="5"/>
        <v>0</v>
      </c>
      <c r="AB35" s="6">
        <f t="shared" si="6"/>
        <v>0.15075268817204304</v>
      </c>
      <c r="AC35" s="6">
        <f t="shared" si="7"/>
        <v>0.15075268817204304</v>
      </c>
      <c r="AD35" s="6">
        <f t="shared" si="8"/>
        <v>0</v>
      </c>
      <c r="AE35" s="6">
        <f t="shared" si="9"/>
        <v>0</v>
      </c>
      <c r="AF35" s="6">
        <f t="shared" si="10"/>
        <v>0</v>
      </c>
      <c r="AG35" s="6">
        <f t="shared" si="11"/>
        <v>0</v>
      </c>
      <c r="AH35" s="6">
        <f t="shared" si="12"/>
        <v>0</v>
      </c>
      <c r="AI35" s="6">
        <f t="shared" si="13"/>
        <v>0</v>
      </c>
      <c r="AJ35" s="6">
        <f t="shared" si="14"/>
        <v>0</v>
      </c>
      <c r="AK35" s="6">
        <f t="shared" si="15"/>
        <v>0</v>
      </c>
      <c r="AL35" s="6">
        <f t="shared" si="16"/>
        <v>0</v>
      </c>
      <c r="AM35" s="6">
        <f t="shared" si="17"/>
        <v>0</v>
      </c>
      <c r="AN35" s="6">
        <f t="shared" si="18"/>
        <v>0</v>
      </c>
    </row>
    <row r="36" spans="1:40" ht="15.5" x14ac:dyDescent="0.35">
      <c r="A36" s="4" t="s">
        <v>214</v>
      </c>
      <c r="B36" s="4">
        <v>10</v>
      </c>
      <c r="C36">
        <v>3</v>
      </c>
      <c r="D36" s="4" t="s">
        <v>40</v>
      </c>
      <c r="E36" s="4">
        <v>0.21935483870967748</v>
      </c>
      <c r="F36">
        <f t="shared" si="1"/>
        <v>0.70860215053763453</v>
      </c>
      <c r="G36" s="6">
        <v>0.2</v>
      </c>
      <c r="H36" s="6">
        <v>0.2</v>
      </c>
      <c r="I36" s="6">
        <v>0.2</v>
      </c>
      <c r="J36" s="7"/>
      <c r="K36" s="6">
        <v>0.2</v>
      </c>
      <c r="L36" s="6">
        <v>0.2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6">
        <f t="shared" si="2"/>
        <v>0.14172043010752691</v>
      </c>
      <c r="Y36" s="6">
        <f t="shared" si="3"/>
        <v>0.14172043010752691</v>
      </c>
      <c r="Z36" s="6">
        <f t="shared" si="4"/>
        <v>0.14172043010752691</v>
      </c>
      <c r="AA36" s="6">
        <f t="shared" si="5"/>
        <v>0</v>
      </c>
      <c r="AB36" s="6">
        <f t="shared" si="6"/>
        <v>0.14172043010752691</v>
      </c>
      <c r="AC36" s="6">
        <f t="shared" si="7"/>
        <v>0.14172043010752691</v>
      </c>
      <c r="AD36" s="6">
        <f t="shared" si="8"/>
        <v>0</v>
      </c>
      <c r="AE36" s="6">
        <f t="shared" si="9"/>
        <v>0</v>
      </c>
      <c r="AF36" s="6">
        <f t="shared" si="10"/>
        <v>0</v>
      </c>
      <c r="AG36" s="6">
        <f t="shared" si="11"/>
        <v>0</v>
      </c>
      <c r="AH36" s="6">
        <f t="shared" si="12"/>
        <v>0</v>
      </c>
      <c r="AI36" s="6">
        <f t="shared" si="13"/>
        <v>0</v>
      </c>
      <c r="AJ36" s="6">
        <f t="shared" si="14"/>
        <v>0</v>
      </c>
      <c r="AK36" s="6">
        <f t="shared" si="15"/>
        <v>0</v>
      </c>
      <c r="AL36" s="6">
        <f t="shared" si="16"/>
        <v>0</v>
      </c>
      <c r="AM36" s="6">
        <f t="shared" si="17"/>
        <v>0</v>
      </c>
      <c r="AN36" s="6">
        <f t="shared" si="18"/>
        <v>0</v>
      </c>
    </row>
    <row r="37" spans="1:40" ht="15.5" x14ac:dyDescent="0.35">
      <c r="A37" s="4" t="s">
        <v>214</v>
      </c>
      <c r="B37" s="4">
        <v>10</v>
      </c>
      <c r="C37">
        <v>1</v>
      </c>
      <c r="D37" s="4" t="s">
        <v>38</v>
      </c>
      <c r="E37" s="4">
        <v>0.20860215053763445</v>
      </c>
      <c r="F37">
        <f t="shared" si="1"/>
        <v>0.69784946236559153</v>
      </c>
      <c r="G37" s="6">
        <v>0.2</v>
      </c>
      <c r="H37" s="6">
        <v>0.2</v>
      </c>
      <c r="I37" s="6">
        <v>0.2</v>
      </c>
      <c r="J37" s="7"/>
      <c r="K37" s="6">
        <v>0.2</v>
      </c>
      <c r="L37" s="6">
        <v>0.2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6">
        <f t="shared" si="2"/>
        <v>0.13956989247311832</v>
      </c>
      <c r="Y37" s="6">
        <f t="shared" si="3"/>
        <v>0.13956989247311832</v>
      </c>
      <c r="Z37" s="6">
        <f t="shared" si="4"/>
        <v>0.13956989247311832</v>
      </c>
      <c r="AA37" s="6">
        <f t="shared" si="5"/>
        <v>0</v>
      </c>
      <c r="AB37" s="6">
        <f t="shared" si="6"/>
        <v>0.13956989247311832</v>
      </c>
      <c r="AC37" s="6">
        <f t="shared" si="7"/>
        <v>0.13956989247311832</v>
      </c>
      <c r="AD37" s="6">
        <f t="shared" si="8"/>
        <v>0</v>
      </c>
      <c r="AE37" s="6">
        <f t="shared" si="9"/>
        <v>0</v>
      </c>
      <c r="AF37" s="6">
        <f t="shared" si="10"/>
        <v>0</v>
      </c>
      <c r="AG37" s="6">
        <f t="shared" si="11"/>
        <v>0</v>
      </c>
      <c r="AH37" s="6">
        <f t="shared" si="12"/>
        <v>0</v>
      </c>
      <c r="AI37" s="6">
        <f t="shared" si="13"/>
        <v>0</v>
      </c>
      <c r="AJ37" s="6">
        <f t="shared" si="14"/>
        <v>0</v>
      </c>
      <c r="AK37" s="6">
        <f t="shared" si="15"/>
        <v>0</v>
      </c>
      <c r="AL37" s="6">
        <f t="shared" si="16"/>
        <v>0</v>
      </c>
      <c r="AM37" s="6">
        <f t="shared" si="17"/>
        <v>0</v>
      </c>
      <c r="AN37" s="6">
        <f t="shared" si="18"/>
        <v>0</v>
      </c>
    </row>
    <row r="38" spans="1:40" ht="15.5" x14ac:dyDescent="0.35">
      <c r="A38" s="4" t="s">
        <v>214</v>
      </c>
      <c r="B38" s="4">
        <v>10</v>
      </c>
      <c r="C38">
        <v>2</v>
      </c>
      <c r="D38" s="4" t="s">
        <v>39</v>
      </c>
      <c r="E38" s="4">
        <v>0.20860215053763445</v>
      </c>
      <c r="F38">
        <f t="shared" si="1"/>
        <v>0.69784946236559153</v>
      </c>
      <c r="G38" s="6">
        <v>0.2</v>
      </c>
      <c r="H38" s="6">
        <v>0.2</v>
      </c>
      <c r="I38" s="6">
        <v>0.2</v>
      </c>
      <c r="J38" s="7"/>
      <c r="K38" s="6">
        <v>0.2</v>
      </c>
      <c r="L38" s="6">
        <v>0.2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6">
        <f t="shared" si="2"/>
        <v>0.13956989247311832</v>
      </c>
      <c r="Y38" s="6">
        <f t="shared" si="3"/>
        <v>0.13956989247311832</v>
      </c>
      <c r="Z38" s="6">
        <f t="shared" si="4"/>
        <v>0.13956989247311832</v>
      </c>
      <c r="AA38" s="6">
        <f t="shared" si="5"/>
        <v>0</v>
      </c>
      <c r="AB38" s="6">
        <f t="shared" si="6"/>
        <v>0.13956989247311832</v>
      </c>
      <c r="AC38" s="6">
        <f t="shared" si="7"/>
        <v>0.13956989247311832</v>
      </c>
      <c r="AD38" s="6">
        <f t="shared" si="8"/>
        <v>0</v>
      </c>
      <c r="AE38" s="6">
        <f t="shared" si="9"/>
        <v>0</v>
      </c>
      <c r="AF38" s="6">
        <f t="shared" si="10"/>
        <v>0</v>
      </c>
      <c r="AG38" s="6">
        <f t="shared" si="11"/>
        <v>0</v>
      </c>
      <c r="AH38" s="6">
        <f t="shared" si="12"/>
        <v>0</v>
      </c>
      <c r="AI38" s="6">
        <f t="shared" si="13"/>
        <v>0</v>
      </c>
      <c r="AJ38" s="6">
        <f t="shared" si="14"/>
        <v>0</v>
      </c>
      <c r="AK38" s="6">
        <f t="shared" si="15"/>
        <v>0</v>
      </c>
      <c r="AL38" s="6">
        <f t="shared" si="16"/>
        <v>0</v>
      </c>
      <c r="AM38" s="6">
        <f t="shared" si="17"/>
        <v>0</v>
      </c>
      <c r="AN38" s="6">
        <f t="shared" si="18"/>
        <v>0</v>
      </c>
    </row>
    <row r="39" spans="1:40" ht="15.5" x14ac:dyDescent="0.35">
      <c r="A39" s="4" t="s">
        <v>214</v>
      </c>
      <c r="B39" s="4">
        <v>11</v>
      </c>
      <c r="C39">
        <v>3</v>
      </c>
      <c r="D39" s="4" t="s">
        <v>45</v>
      </c>
      <c r="E39" s="4">
        <v>0.34086021505376352</v>
      </c>
      <c r="F39">
        <f t="shared" si="1"/>
        <v>0.83010752688172063</v>
      </c>
      <c r="G39" s="7"/>
      <c r="H39" s="6">
        <v>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6">
        <f t="shared" si="2"/>
        <v>0</v>
      </c>
      <c r="Y39" s="6">
        <f t="shared" si="3"/>
        <v>0.83010752688172063</v>
      </c>
      <c r="Z39" s="6">
        <f t="shared" si="4"/>
        <v>0</v>
      </c>
      <c r="AA39" s="6">
        <f t="shared" si="5"/>
        <v>0</v>
      </c>
      <c r="AB39" s="6">
        <f t="shared" si="6"/>
        <v>0</v>
      </c>
      <c r="AC39" s="6">
        <f t="shared" si="7"/>
        <v>0</v>
      </c>
      <c r="AD39" s="6">
        <f t="shared" si="8"/>
        <v>0</v>
      </c>
      <c r="AE39" s="6">
        <f t="shared" si="9"/>
        <v>0</v>
      </c>
      <c r="AF39" s="6">
        <f t="shared" si="10"/>
        <v>0</v>
      </c>
      <c r="AG39" s="6">
        <f t="shared" si="11"/>
        <v>0</v>
      </c>
      <c r="AH39" s="6">
        <f t="shared" si="12"/>
        <v>0</v>
      </c>
      <c r="AI39" s="6">
        <f t="shared" si="13"/>
        <v>0</v>
      </c>
      <c r="AJ39" s="6">
        <f t="shared" si="14"/>
        <v>0</v>
      </c>
      <c r="AK39" s="6">
        <f t="shared" si="15"/>
        <v>0</v>
      </c>
      <c r="AL39" s="6">
        <f t="shared" si="16"/>
        <v>0</v>
      </c>
      <c r="AM39" s="6">
        <f t="shared" si="17"/>
        <v>0</v>
      </c>
      <c r="AN39" s="6">
        <f t="shared" si="18"/>
        <v>0</v>
      </c>
    </row>
    <row r="40" spans="1:40" ht="15.5" x14ac:dyDescent="0.35">
      <c r="A40" s="4" t="s">
        <v>214</v>
      </c>
      <c r="B40" s="4">
        <v>11</v>
      </c>
      <c r="C40">
        <v>5</v>
      </c>
      <c r="D40" s="4" t="s">
        <v>47</v>
      </c>
      <c r="E40" s="4">
        <v>0.2978494623655914</v>
      </c>
      <c r="F40">
        <f t="shared" si="1"/>
        <v>0.78709677419354851</v>
      </c>
      <c r="G40" s="7"/>
      <c r="H40" s="6">
        <v>1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6">
        <f t="shared" si="2"/>
        <v>0</v>
      </c>
      <c r="Y40" s="6">
        <f t="shared" si="3"/>
        <v>0.78709677419354851</v>
      </c>
      <c r="Z40" s="6">
        <f t="shared" si="4"/>
        <v>0</v>
      </c>
      <c r="AA40" s="6">
        <f t="shared" si="5"/>
        <v>0</v>
      </c>
      <c r="AB40" s="6">
        <f t="shared" si="6"/>
        <v>0</v>
      </c>
      <c r="AC40" s="6">
        <f t="shared" si="7"/>
        <v>0</v>
      </c>
      <c r="AD40" s="6">
        <f t="shared" si="8"/>
        <v>0</v>
      </c>
      <c r="AE40" s="6">
        <f t="shared" si="9"/>
        <v>0</v>
      </c>
      <c r="AF40" s="6">
        <f t="shared" si="10"/>
        <v>0</v>
      </c>
      <c r="AG40" s="6">
        <f t="shared" si="11"/>
        <v>0</v>
      </c>
      <c r="AH40" s="6">
        <f t="shared" si="12"/>
        <v>0</v>
      </c>
      <c r="AI40" s="6">
        <f t="shared" si="13"/>
        <v>0</v>
      </c>
      <c r="AJ40" s="6">
        <f t="shared" si="14"/>
        <v>0</v>
      </c>
      <c r="AK40" s="6">
        <f t="shared" si="15"/>
        <v>0</v>
      </c>
      <c r="AL40" s="6">
        <f t="shared" si="16"/>
        <v>0</v>
      </c>
      <c r="AM40" s="6">
        <f t="shared" si="17"/>
        <v>0</v>
      </c>
      <c r="AN40" s="6">
        <f t="shared" si="18"/>
        <v>0</v>
      </c>
    </row>
    <row r="41" spans="1:40" ht="15.5" x14ac:dyDescent="0.35">
      <c r="A41" s="4" t="s">
        <v>214</v>
      </c>
      <c r="B41" s="4">
        <v>11</v>
      </c>
      <c r="C41">
        <v>4</v>
      </c>
      <c r="D41" s="4" t="s">
        <v>46</v>
      </c>
      <c r="E41" s="4">
        <v>0.26451612903225807</v>
      </c>
      <c r="F41">
        <f t="shared" si="1"/>
        <v>0.75376344086021518</v>
      </c>
      <c r="G41" s="7"/>
      <c r="H41" s="6">
        <v>1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6">
        <f t="shared" si="2"/>
        <v>0</v>
      </c>
      <c r="Y41" s="6">
        <f t="shared" si="3"/>
        <v>0.75376344086021518</v>
      </c>
      <c r="Z41" s="6">
        <f t="shared" si="4"/>
        <v>0</v>
      </c>
      <c r="AA41" s="6">
        <f t="shared" si="5"/>
        <v>0</v>
      </c>
      <c r="AB41" s="6">
        <f t="shared" si="6"/>
        <v>0</v>
      </c>
      <c r="AC41" s="6">
        <f t="shared" si="7"/>
        <v>0</v>
      </c>
      <c r="AD41" s="6">
        <f t="shared" si="8"/>
        <v>0</v>
      </c>
      <c r="AE41" s="6">
        <f t="shared" si="9"/>
        <v>0</v>
      </c>
      <c r="AF41" s="6">
        <f t="shared" si="10"/>
        <v>0</v>
      </c>
      <c r="AG41" s="6">
        <f t="shared" si="11"/>
        <v>0</v>
      </c>
      <c r="AH41" s="6">
        <f t="shared" si="12"/>
        <v>0</v>
      </c>
      <c r="AI41" s="6">
        <f t="shared" si="13"/>
        <v>0</v>
      </c>
      <c r="AJ41" s="6">
        <f t="shared" si="14"/>
        <v>0</v>
      </c>
      <c r="AK41" s="6">
        <f t="shared" si="15"/>
        <v>0</v>
      </c>
      <c r="AL41" s="6">
        <f t="shared" si="16"/>
        <v>0</v>
      </c>
      <c r="AM41" s="6">
        <f t="shared" si="17"/>
        <v>0</v>
      </c>
      <c r="AN41" s="6">
        <f t="shared" si="18"/>
        <v>0</v>
      </c>
    </row>
    <row r="42" spans="1:40" ht="15.5" x14ac:dyDescent="0.35">
      <c r="A42" s="4" t="s">
        <v>214</v>
      </c>
      <c r="B42" s="4">
        <v>11</v>
      </c>
      <c r="C42">
        <v>1</v>
      </c>
      <c r="D42" s="4" t="s">
        <v>43</v>
      </c>
      <c r="E42" s="4">
        <v>0.20860215053763445</v>
      </c>
      <c r="F42">
        <f t="shared" si="1"/>
        <v>0.69784946236559153</v>
      </c>
      <c r="G42" s="7"/>
      <c r="H42" s="6">
        <v>1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6">
        <f t="shared" si="2"/>
        <v>0</v>
      </c>
      <c r="Y42" s="6">
        <f t="shared" si="3"/>
        <v>0.69784946236559153</v>
      </c>
      <c r="Z42" s="6">
        <f t="shared" si="4"/>
        <v>0</v>
      </c>
      <c r="AA42" s="6">
        <f t="shared" si="5"/>
        <v>0</v>
      </c>
      <c r="AB42" s="6">
        <f t="shared" si="6"/>
        <v>0</v>
      </c>
      <c r="AC42" s="6">
        <f t="shared" si="7"/>
        <v>0</v>
      </c>
      <c r="AD42" s="6">
        <f t="shared" si="8"/>
        <v>0</v>
      </c>
      <c r="AE42" s="6">
        <f t="shared" si="9"/>
        <v>0</v>
      </c>
      <c r="AF42" s="6">
        <f t="shared" si="10"/>
        <v>0</v>
      </c>
      <c r="AG42" s="6">
        <f t="shared" si="11"/>
        <v>0</v>
      </c>
      <c r="AH42" s="6">
        <f t="shared" si="12"/>
        <v>0</v>
      </c>
      <c r="AI42" s="6">
        <f t="shared" si="13"/>
        <v>0</v>
      </c>
      <c r="AJ42" s="6">
        <f t="shared" si="14"/>
        <v>0</v>
      </c>
      <c r="AK42" s="6">
        <f t="shared" si="15"/>
        <v>0</v>
      </c>
      <c r="AL42" s="6">
        <f t="shared" si="16"/>
        <v>0</v>
      </c>
      <c r="AM42" s="6">
        <f t="shared" si="17"/>
        <v>0</v>
      </c>
      <c r="AN42" s="6">
        <f t="shared" si="18"/>
        <v>0</v>
      </c>
    </row>
    <row r="43" spans="1:40" ht="15.5" x14ac:dyDescent="0.35">
      <c r="A43" s="4" t="s">
        <v>214</v>
      </c>
      <c r="B43" s="4">
        <v>11</v>
      </c>
      <c r="C43">
        <v>2</v>
      </c>
      <c r="D43" s="4" t="s">
        <v>44</v>
      </c>
      <c r="E43" s="4">
        <v>0.20860215053763445</v>
      </c>
      <c r="F43">
        <f t="shared" si="1"/>
        <v>0.69784946236559153</v>
      </c>
      <c r="G43" s="7"/>
      <c r="H43" s="6">
        <v>1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6">
        <f t="shared" si="2"/>
        <v>0</v>
      </c>
      <c r="Y43" s="6">
        <f t="shared" si="3"/>
        <v>0.69784946236559153</v>
      </c>
      <c r="Z43" s="6">
        <f t="shared" si="4"/>
        <v>0</v>
      </c>
      <c r="AA43" s="6">
        <f t="shared" si="5"/>
        <v>0</v>
      </c>
      <c r="AB43" s="6">
        <f t="shared" si="6"/>
        <v>0</v>
      </c>
      <c r="AC43" s="6">
        <f t="shared" si="7"/>
        <v>0</v>
      </c>
      <c r="AD43" s="6">
        <f t="shared" si="8"/>
        <v>0</v>
      </c>
      <c r="AE43" s="6">
        <f t="shared" si="9"/>
        <v>0</v>
      </c>
      <c r="AF43" s="6">
        <f t="shared" si="10"/>
        <v>0</v>
      </c>
      <c r="AG43" s="6">
        <f t="shared" si="11"/>
        <v>0</v>
      </c>
      <c r="AH43" s="6">
        <f t="shared" si="12"/>
        <v>0</v>
      </c>
      <c r="AI43" s="6">
        <f t="shared" si="13"/>
        <v>0</v>
      </c>
      <c r="AJ43" s="6">
        <f t="shared" si="14"/>
        <v>0</v>
      </c>
      <c r="AK43" s="6">
        <f t="shared" si="15"/>
        <v>0</v>
      </c>
      <c r="AL43" s="6">
        <f t="shared" si="16"/>
        <v>0</v>
      </c>
      <c r="AM43" s="6">
        <f t="shared" si="17"/>
        <v>0</v>
      </c>
      <c r="AN43" s="6">
        <f t="shared" si="18"/>
        <v>0</v>
      </c>
    </row>
    <row r="44" spans="1:40" ht="15.5" x14ac:dyDescent="0.35">
      <c r="A44" s="4" t="s">
        <v>214</v>
      </c>
      <c r="B44" s="4">
        <v>12</v>
      </c>
      <c r="C44">
        <v>4</v>
      </c>
      <c r="D44" s="4" t="s">
        <v>51</v>
      </c>
      <c r="E44" s="4">
        <v>9.354838709677421E-2</v>
      </c>
      <c r="F44">
        <f t="shared" si="1"/>
        <v>0.58279569892473138</v>
      </c>
      <c r="G44" s="6">
        <v>1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6">
        <f t="shared" si="2"/>
        <v>0.58279569892473138</v>
      </c>
      <c r="Y44" s="6">
        <f t="shared" si="3"/>
        <v>0</v>
      </c>
      <c r="Z44" s="6">
        <f t="shared" si="4"/>
        <v>0</v>
      </c>
      <c r="AA44" s="6">
        <f t="shared" si="5"/>
        <v>0</v>
      </c>
      <c r="AB44" s="6">
        <f t="shared" si="6"/>
        <v>0</v>
      </c>
      <c r="AC44" s="6">
        <f t="shared" si="7"/>
        <v>0</v>
      </c>
      <c r="AD44" s="6">
        <f t="shared" si="8"/>
        <v>0</v>
      </c>
      <c r="AE44" s="6">
        <f t="shared" si="9"/>
        <v>0</v>
      </c>
      <c r="AF44" s="6">
        <f t="shared" si="10"/>
        <v>0</v>
      </c>
      <c r="AG44" s="6">
        <f t="shared" si="11"/>
        <v>0</v>
      </c>
      <c r="AH44" s="6">
        <f t="shared" si="12"/>
        <v>0</v>
      </c>
      <c r="AI44" s="6">
        <f t="shared" si="13"/>
        <v>0</v>
      </c>
      <c r="AJ44" s="6">
        <f t="shared" si="14"/>
        <v>0</v>
      </c>
      <c r="AK44" s="6">
        <f t="shared" si="15"/>
        <v>0</v>
      </c>
      <c r="AL44" s="6">
        <f t="shared" si="16"/>
        <v>0</v>
      </c>
      <c r="AM44" s="6">
        <f t="shared" si="17"/>
        <v>0</v>
      </c>
      <c r="AN44" s="6">
        <f t="shared" si="18"/>
        <v>0</v>
      </c>
    </row>
    <row r="45" spans="1:40" ht="15.5" x14ac:dyDescent="0.35">
      <c r="A45" s="4" t="s">
        <v>214</v>
      </c>
      <c r="B45" s="4">
        <v>12</v>
      </c>
      <c r="C45">
        <v>3</v>
      </c>
      <c r="D45" s="4" t="s">
        <v>50</v>
      </c>
      <c r="E45" s="4">
        <v>4.8387096774193561E-2</v>
      </c>
      <c r="F45">
        <f t="shared" si="1"/>
        <v>0.53763440860215073</v>
      </c>
      <c r="G45" s="8">
        <v>1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6">
        <f t="shared" si="2"/>
        <v>0.53763440860215073</v>
      </c>
      <c r="Y45" s="6">
        <f t="shared" si="3"/>
        <v>0</v>
      </c>
      <c r="Z45" s="6">
        <f t="shared" si="4"/>
        <v>0</v>
      </c>
      <c r="AA45" s="6">
        <f t="shared" si="5"/>
        <v>0</v>
      </c>
      <c r="AB45" s="6">
        <f t="shared" si="6"/>
        <v>0</v>
      </c>
      <c r="AC45" s="6">
        <f t="shared" si="7"/>
        <v>0</v>
      </c>
      <c r="AD45" s="6">
        <f t="shared" si="8"/>
        <v>0</v>
      </c>
      <c r="AE45" s="6">
        <f t="shared" si="9"/>
        <v>0</v>
      </c>
      <c r="AF45" s="6">
        <f t="shared" si="10"/>
        <v>0</v>
      </c>
      <c r="AG45" s="6">
        <f t="shared" si="11"/>
        <v>0</v>
      </c>
      <c r="AH45" s="6">
        <f t="shared" si="12"/>
        <v>0</v>
      </c>
      <c r="AI45" s="6">
        <f t="shared" si="13"/>
        <v>0</v>
      </c>
      <c r="AJ45" s="6">
        <f t="shared" si="14"/>
        <v>0</v>
      </c>
      <c r="AK45" s="6">
        <f t="shared" si="15"/>
        <v>0</v>
      </c>
      <c r="AL45" s="6">
        <f t="shared" si="16"/>
        <v>0</v>
      </c>
      <c r="AM45" s="6">
        <f t="shared" si="17"/>
        <v>0</v>
      </c>
      <c r="AN45" s="6">
        <f t="shared" si="18"/>
        <v>0</v>
      </c>
    </row>
    <row r="46" spans="1:40" ht="15.5" x14ac:dyDescent="0.35">
      <c r="A46" s="4" t="s">
        <v>214</v>
      </c>
      <c r="B46" s="4">
        <v>12</v>
      </c>
      <c r="C46">
        <v>1</v>
      </c>
      <c r="D46" s="4" t="s">
        <v>48</v>
      </c>
      <c r="E46" s="4">
        <v>3.763440860215056E-2</v>
      </c>
      <c r="F46">
        <f t="shared" si="1"/>
        <v>0.52688172043010773</v>
      </c>
      <c r="G46" s="6">
        <v>1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6">
        <f t="shared" si="2"/>
        <v>0.52688172043010773</v>
      </c>
      <c r="Y46" s="6">
        <f t="shared" si="3"/>
        <v>0</v>
      </c>
      <c r="Z46" s="6">
        <f t="shared" si="4"/>
        <v>0</v>
      </c>
      <c r="AA46" s="6">
        <f t="shared" si="5"/>
        <v>0</v>
      </c>
      <c r="AB46" s="6">
        <f t="shared" si="6"/>
        <v>0</v>
      </c>
      <c r="AC46" s="6">
        <f t="shared" si="7"/>
        <v>0</v>
      </c>
      <c r="AD46" s="6">
        <f t="shared" si="8"/>
        <v>0</v>
      </c>
      <c r="AE46" s="6">
        <f t="shared" si="9"/>
        <v>0</v>
      </c>
      <c r="AF46" s="6">
        <f t="shared" si="10"/>
        <v>0</v>
      </c>
      <c r="AG46" s="6">
        <f t="shared" si="11"/>
        <v>0</v>
      </c>
      <c r="AH46" s="6">
        <f t="shared" si="12"/>
        <v>0</v>
      </c>
      <c r="AI46" s="6">
        <f t="shared" si="13"/>
        <v>0</v>
      </c>
      <c r="AJ46" s="6">
        <f t="shared" si="14"/>
        <v>0</v>
      </c>
      <c r="AK46" s="6">
        <f t="shared" si="15"/>
        <v>0</v>
      </c>
      <c r="AL46" s="6">
        <f t="shared" si="16"/>
        <v>0</v>
      </c>
      <c r="AM46" s="6">
        <f t="shared" si="17"/>
        <v>0</v>
      </c>
      <c r="AN46" s="6">
        <f t="shared" si="18"/>
        <v>0</v>
      </c>
    </row>
    <row r="47" spans="1:40" ht="15.5" x14ac:dyDescent="0.35">
      <c r="A47" s="4" t="s">
        <v>214</v>
      </c>
      <c r="B47" s="4">
        <v>12</v>
      </c>
      <c r="C47">
        <v>2</v>
      </c>
      <c r="D47" s="4" t="s">
        <v>49</v>
      </c>
      <c r="E47" s="4">
        <v>3.763440860215056E-2</v>
      </c>
      <c r="F47">
        <f t="shared" si="1"/>
        <v>0.52688172043010773</v>
      </c>
      <c r="G47" s="8">
        <v>1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6">
        <f t="shared" si="2"/>
        <v>0.52688172043010773</v>
      </c>
      <c r="Y47" s="6">
        <f t="shared" si="3"/>
        <v>0</v>
      </c>
      <c r="Z47" s="6">
        <f t="shared" si="4"/>
        <v>0</v>
      </c>
      <c r="AA47" s="6">
        <f t="shared" si="5"/>
        <v>0</v>
      </c>
      <c r="AB47" s="6">
        <f t="shared" si="6"/>
        <v>0</v>
      </c>
      <c r="AC47" s="6">
        <f t="shared" si="7"/>
        <v>0</v>
      </c>
      <c r="AD47" s="6">
        <f t="shared" si="8"/>
        <v>0</v>
      </c>
      <c r="AE47" s="6">
        <f t="shared" si="9"/>
        <v>0</v>
      </c>
      <c r="AF47" s="6">
        <f t="shared" si="10"/>
        <v>0</v>
      </c>
      <c r="AG47" s="6">
        <f t="shared" si="11"/>
        <v>0</v>
      </c>
      <c r="AH47" s="6">
        <f t="shared" si="12"/>
        <v>0</v>
      </c>
      <c r="AI47" s="6">
        <f t="shared" si="13"/>
        <v>0</v>
      </c>
      <c r="AJ47" s="6">
        <f t="shared" si="14"/>
        <v>0</v>
      </c>
      <c r="AK47" s="6">
        <f t="shared" si="15"/>
        <v>0</v>
      </c>
      <c r="AL47" s="6">
        <f t="shared" si="16"/>
        <v>0</v>
      </c>
      <c r="AM47" s="6">
        <f t="shared" si="17"/>
        <v>0</v>
      </c>
      <c r="AN47" s="6">
        <f t="shared" si="18"/>
        <v>0</v>
      </c>
    </row>
    <row r="48" spans="1:40" ht="15.5" x14ac:dyDescent="0.35">
      <c r="A48" s="4" t="s">
        <v>214</v>
      </c>
      <c r="B48" s="4">
        <v>12</v>
      </c>
      <c r="C48">
        <v>5</v>
      </c>
      <c r="D48" s="4" t="s">
        <v>52</v>
      </c>
      <c r="E48" s="4">
        <v>3.1182795698924737E-2</v>
      </c>
      <c r="F48">
        <f t="shared" si="1"/>
        <v>0.52043010752688179</v>
      </c>
      <c r="G48" s="6">
        <v>1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6">
        <f t="shared" si="2"/>
        <v>0.52043010752688179</v>
      </c>
      <c r="Y48" s="6">
        <f t="shared" si="3"/>
        <v>0</v>
      </c>
      <c r="Z48" s="6">
        <f t="shared" si="4"/>
        <v>0</v>
      </c>
      <c r="AA48" s="6">
        <f t="shared" si="5"/>
        <v>0</v>
      </c>
      <c r="AB48" s="6">
        <f t="shared" si="6"/>
        <v>0</v>
      </c>
      <c r="AC48" s="6">
        <f t="shared" si="7"/>
        <v>0</v>
      </c>
      <c r="AD48" s="6">
        <f t="shared" si="8"/>
        <v>0</v>
      </c>
      <c r="AE48" s="6">
        <f t="shared" si="9"/>
        <v>0</v>
      </c>
      <c r="AF48" s="6">
        <f t="shared" si="10"/>
        <v>0</v>
      </c>
      <c r="AG48" s="6">
        <f t="shared" si="11"/>
        <v>0</v>
      </c>
      <c r="AH48" s="6">
        <f t="shared" si="12"/>
        <v>0</v>
      </c>
      <c r="AI48" s="6">
        <f t="shared" si="13"/>
        <v>0</v>
      </c>
      <c r="AJ48" s="6">
        <f t="shared" si="14"/>
        <v>0</v>
      </c>
      <c r="AK48" s="6">
        <f t="shared" si="15"/>
        <v>0</v>
      </c>
      <c r="AL48" s="6">
        <f t="shared" si="16"/>
        <v>0</v>
      </c>
      <c r="AM48" s="6">
        <f t="shared" si="17"/>
        <v>0</v>
      </c>
      <c r="AN48" s="6">
        <f t="shared" si="18"/>
        <v>0</v>
      </c>
    </row>
    <row r="49" spans="1:40" ht="15.5" x14ac:dyDescent="0.35">
      <c r="A49" s="4" t="s">
        <v>214</v>
      </c>
      <c r="B49" s="4">
        <v>13</v>
      </c>
      <c r="C49">
        <v>5</v>
      </c>
      <c r="D49" s="4" t="s">
        <v>55</v>
      </c>
      <c r="E49" s="4">
        <v>-4.8387096774193616E-2</v>
      </c>
      <c r="F49">
        <f t="shared" si="1"/>
        <v>0.44086021505376349</v>
      </c>
      <c r="G49" s="6">
        <v>0.2</v>
      </c>
      <c r="H49" s="6">
        <v>0.2</v>
      </c>
      <c r="I49" s="6">
        <v>0.2</v>
      </c>
      <c r="J49" s="7"/>
      <c r="K49" s="6">
        <v>0.2</v>
      </c>
      <c r="L49" s="6">
        <v>0.2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6">
        <f t="shared" si="2"/>
        <v>8.817204301075271E-2</v>
      </c>
      <c r="Y49" s="6">
        <f t="shared" si="3"/>
        <v>8.817204301075271E-2</v>
      </c>
      <c r="Z49" s="6">
        <f t="shared" si="4"/>
        <v>8.817204301075271E-2</v>
      </c>
      <c r="AA49" s="6">
        <f t="shared" si="5"/>
        <v>0</v>
      </c>
      <c r="AB49" s="6">
        <f t="shared" si="6"/>
        <v>8.817204301075271E-2</v>
      </c>
      <c r="AC49" s="6">
        <f t="shared" si="7"/>
        <v>8.817204301075271E-2</v>
      </c>
      <c r="AD49" s="6">
        <f t="shared" si="8"/>
        <v>0</v>
      </c>
      <c r="AE49" s="6">
        <f t="shared" si="9"/>
        <v>0</v>
      </c>
      <c r="AF49" s="6">
        <f t="shared" si="10"/>
        <v>0</v>
      </c>
      <c r="AG49" s="6">
        <f t="shared" si="11"/>
        <v>0</v>
      </c>
      <c r="AH49" s="6">
        <f t="shared" si="12"/>
        <v>0</v>
      </c>
      <c r="AI49" s="6">
        <f t="shared" si="13"/>
        <v>0</v>
      </c>
      <c r="AJ49" s="6">
        <f t="shared" si="14"/>
        <v>0</v>
      </c>
      <c r="AK49" s="6">
        <f t="shared" si="15"/>
        <v>0</v>
      </c>
      <c r="AL49" s="6">
        <f t="shared" si="16"/>
        <v>0</v>
      </c>
      <c r="AM49" s="6">
        <f t="shared" si="17"/>
        <v>0</v>
      </c>
      <c r="AN49" s="6">
        <f t="shared" si="18"/>
        <v>0</v>
      </c>
    </row>
    <row r="50" spans="1:40" ht="15.5" x14ac:dyDescent="0.35">
      <c r="A50" s="4" t="s">
        <v>214</v>
      </c>
      <c r="B50" s="4">
        <v>13</v>
      </c>
      <c r="C50">
        <v>4</v>
      </c>
      <c r="D50" s="4" t="s">
        <v>54</v>
      </c>
      <c r="E50" s="4">
        <v>-0.11827956989247307</v>
      </c>
      <c r="F50">
        <f t="shared" si="1"/>
        <v>0.37096774193548404</v>
      </c>
      <c r="G50" s="6">
        <v>0.2</v>
      </c>
      <c r="H50" s="6">
        <v>0.2</v>
      </c>
      <c r="I50" s="6">
        <v>0.2</v>
      </c>
      <c r="J50" s="7"/>
      <c r="K50" s="6">
        <v>0.2</v>
      </c>
      <c r="L50" s="6">
        <v>0.2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6">
        <f t="shared" si="2"/>
        <v>7.4193548387096811E-2</v>
      </c>
      <c r="Y50" s="6">
        <f t="shared" si="3"/>
        <v>7.4193548387096811E-2</v>
      </c>
      <c r="Z50" s="6">
        <f t="shared" si="4"/>
        <v>7.4193548387096811E-2</v>
      </c>
      <c r="AA50" s="6">
        <f t="shared" si="5"/>
        <v>0</v>
      </c>
      <c r="AB50" s="6">
        <f t="shared" si="6"/>
        <v>7.4193548387096811E-2</v>
      </c>
      <c r="AC50" s="6">
        <f t="shared" si="7"/>
        <v>7.4193548387096811E-2</v>
      </c>
      <c r="AD50" s="6">
        <f t="shared" si="8"/>
        <v>0</v>
      </c>
      <c r="AE50" s="6">
        <f t="shared" si="9"/>
        <v>0</v>
      </c>
      <c r="AF50" s="6">
        <f t="shared" si="10"/>
        <v>0</v>
      </c>
      <c r="AG50" s="6">
        <f t="shared" si="11"/>
        <v>0</v>
      </c>
      <c r="AH50" s="6">
        <f t="shared" si="12"/>
        <v>0</v>
      </c>
      <c r="AI50" s="6">
        <f t="shared" si="13"/>
        <v>0</v>
      </c>
      <c r="AJ50" s="6">
        <f t="shared" si="14"/>
        <v>0</v>
      </c>
      <c r="AK50" s="6">
        <f t="shared" si="15"/>
        <v>0</v>
      </c>
      <c r="AL50" s="6">
        <f t="shared" si="16"/>
        <v>0</v>
      </c>
      <c r="AM50" s="6">
        <f t="shared" si="17"/>
        <v>0</v>
      </c>
      <c r="AN50" s="6">
        <f t="shared" si="18"/>
        <v>0</v>
      </c>
    </row>
    <row r="51" spans="1:40" ht="15.5" x14ac:dyDescent="0.35">
      <c r="A51" s="4" t="s">
        <v>214</v>
      </c>
      <c r="B51" s="4">
        <v>13</v>
      </c>
      <c r="C51">
        <v>3</v>
      </c>
      <c r="D51" s="4" t="s">
        <v>53</v>
      </c>
      <c r="E51" s="4">
        <v>-0.20860215053763437</v>
      </c>
      <c r="F51">
        <f t="shared" si="1"/>
        <v>0.28064516129032274</v>
      </c>
      <c r="G51" s="6">
        <v>0.2</v>
      </c>
      <c r="H51" s="6">
        <v>0.2</v>
      </c>
      <c r="I51" s="6">
        <v>0.2</v>
      </c>
      <c r="J51" s="7"/>
      <c r="K51" s="6">
        <v>0.2</v>
      </c>
      <c r="L51" s="6">
        <v>0.2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6">
        <f t="shared" si="2"/>
        <v>5.6129032258064551E-2</v>
      </c>
      <c r="Y51" s="6">
        <f t="shared" si="3"/>
        <v>5.6129032258064551E-2</v>
      </c>
      <c r="Z51" s="6">
        <f t="shared" si="4"/>
        <v>5.6129032258064551E-2</v>
      </c>
      <c r="AA51" s="6">
        <f t="shared" si="5"/>
        <v>0</v>
      </c>
      <c r="AB51" s="6">
        <f t="shared" si="6"/>
        <v>5.6129032258064551E-2</v>
      </c>
      <c r="AC51" s="6">
        <f t="shared" si="7"/>
        <v>5.6129032258064551E-2</v>
      </c>
      <c r="AD51" s="6">
        <f t="shared" si="8"/>
        <v>0</v>
      </c>
      <c r="AE51" s="6">
        <f t="shared" si="9"/>
        <v>0</v>
      </c>
      <c r="AF51" s="6">
        <f t="shared" si="10"/>
        <v>0</v>
      </c>
      <c r="AG51" s="6">
        <f t="shared" si="11"/>
        <v>0</v>
      </c>
      <c r="AH51" s="6">
        <f t="shared" si="12"/>
        <v>0</v>
      </c>
      <c r="AI51" s="6">
        <f t="shared" si="13"/>
        <v>0</v>
      </c>
      <c r="AJ51" s="6">
        <f t="shared" si="14"/>
        <v>0</v>
      </c>
      <c r="AK51" s="6">
        <f t="shared" si="15"/>
        <v>0</v>
      </c>
      <c r="AL51" s="6">
        <f t="shared" si="16"/>
        <v>0</v>
      </c>
      <c r="AM51" s="6">
        <f t="shared" si="17"/>
        <v>0</v>
      </c>
      <c r="AN51" s="6">
        <f t="shared" si="18"/>
        <v>0</v>
      </c>
    </row>
    <row r="52" spans="1:40" ht="15.5" x14ac:dyDescent="0.35">
      <c r="A52" s="4" t="s">
        <v>214</v>
      </c>
      <c r="B52" s="4">
        <v>14</v>
      </c>
      <c r="C52">
        <v>5</v>
      </c>
      <c r="D52" s="4" t="s">
        <v>58</v>
      </c>
      <c r="E52" s="4">
        <v>-1.6129032258064502E-2</v>
      </c>
      <c r="F52">
        <f t="shared" si="1"/>
        <v>0.47311827956989261</v>
      </c>
      <c r="G52" s="7"/>
      <c r="H52" s="7"/>
      <c r="I52" s="7"/>
      <c r="J52" s="6">
        <v>0.1</v>
      </c>
      <c r="K52" s="6">
        <v>0.1</v>
      </c>
      <c r="L52" s="6">
        <v>0.1</v>
      </c>
      <c r="M52" s="6">
        <v>0.1</v>
      </c>
      <c r="N52" s="6">
        <v>0.1</v>
      </c>
      <c r="O52" s="6">
        <v>0.1</v>
      </c>
      <c r="P52" s="6">
        <v>0.1</v>
      </c>
      <c r="Q52" s="6">
        <v>0.1</v>
      </c>
      <c r="R52" s="6">
        <v>0.1</v>
      </c>
      <c r="S52" s="6">
        <v>0.1</v>
      </c>
      <c r="T52" s="7"/>
      <c r="U52" s="7"/>
      <c r="V52" s="7"/>
      <c r="W52" s="7"/>
      <c r="X52" s="6">
        <f t="shared" si="2"/>
        <v>0</v>
      </c>
      <c r="Y52" s="6">
        <f t="shared" si="3"/>
        <v>0</v>
      </c>
      <c r="Z52" s="6">
        <f t="shared" si="4"/>
        <v>0</v>
      </c>
      <c r="AA52" s="6">
        <f t="shared" si="5"/>
        <v>4.7311827956989266E-2</v>
      </c>
      <c r="AB52" s="6">
        <f t="shared" si="6"/>
        <v>4.7311827956989266E-2</v>
      </c>
      <c r="AC52" s="6">
        <f t="shared" si="7"/>
        <v>4.7311827956989266E-2</v>
      </c>
      <c r="AD52" s="6">
        <f t="shared" si="8"/>
        <v>4.7311827956989266E-2</v>
      </c>
      <c r="AE52" s="6">
        <f t="shared" si="9"/>
        <v>4.7311827956989266E-2</v>
      </c>
      <c r="AF52" s="6">
        <f t="shared" si="10"/>
        <v>4.7311827956989266E-2</v>
      </c>
      <c r="AG52" s="6">
        <f t="shared" si="11"/>
        <v>4.7311827956989266E-2</v>
      </c>
      <c r="AH52" s="6">
        <f t="shared" si="12"/>
        <v>4.7311827956989266E-2</v>
      </c>
      <c r="AI52" s="6">
        <f t="shared" si="13"/>
        <v>4.7311827956989266E-2</v>
      </c>
      <c r="AJ52" s="6">
        <f t="shared" si="14"/>
        <v>4.7311827956989266E-2</v>
      </c>
      <c r="AK52" s="6">
        <f t="shared" si="15"/>
        <v>0</v>
      </c>
      <c r="AL52" s="6">
        <f t="shared" si="16"/>
        <v>0</v>
      </c>
      <c r="AM52" s="6">
        <f t="shared" si="17"/>
        <v>0</v>
      </c>
      <c r="AN52" s="6">
        <f t="shared" si="18"/>
        <v>0</v>
      </c>
    </row>
    <row r="53" spans="1:40" ht="15.5" x14ac:dyDescent="0.35">
      <c r="A53" s="4" t="s">
        <v>214</v>
      </c>
      <c r="B53" s="4">
        <v>14</v>
      </c>
      <c r="C53">
        <v>4</v>
      </c>
      <c r="D53" s="4" t="s">
        <v>57</v>
      </c>
      <c r="E53" s="4">
        <v>-0.1064516129032258</v>
      </c>
      <c r="F53">
        <f t="shared" si="1"/>
        <v>0.38279569892473131</v>
      </c>
      <c r="G53" s="7"/>
      <c r="H53" s="7"/>
      <c r="I53" s="7"/>
      <c r="J53" s="6">
        <v>0.1</v>
      </c>
      <c r="K53" s="6">
        <v>0.1</v>
      </c>
      <c r="L53" s="6">
        <v>0.1</v>
      </c>
      <c r="M53" s="6">
        <v>0.1</v>
      </c>
      <c r="N53" s="6">
        <v>0.1</v>
      </c>
      <c r="O53" s="6">
        <v>0.1</v>
      </c>
      <c r="P53" s="6">
        <v>0.1</v>
      </c>
      <c r="Q53" s="6">
        <v>0.1</v>
      </c>
      <c r="R53" s="6">
        <v>0.1</v>
      </c>
      <c r="S53" s="6">
        <v>0.1</v>
      </c>
      <c r="T53" s="7"/>
      <c r="U53" s="7"/>
      <c r="V53" s="7"/>
      <c r="W53" s="7"/>
      <c r="X53" s="6">
        <f t="shared" si="2"/>
        <v>0</v>
      </c>
      <c r="Y53" s="6">
        <f t="shared" si="3"/>
        <v>0</v>
      </c>
      <c r="Z53" s="6">
        <f t="shared" si="4"/>
        <v>0</v>
      </c>
      <c r="AA53" s="6">
        <f t="shared" si="5"/>
        <v>3.8279569892473136E-2</v>
      </c>
      <c r="AB53" s="6">
        <f t="shared" si="6"/>
        <v>3.8279569892473136E-2</v>
      </c>
      <c r="AC53" s="6">
        <f t="shared" si="7"/>
        <v>3.8279569892473136E-2</v>
      </c>
      <c r="AD53" s="6">
        <f t="shared" si="8"/>
        <v>3.8279569892473136E-2</v>
      </c>
      <c r="AE53" s="6">
        <f t="shared" si="9"/>
        <v>3.8279569892473136E-2</v>
      </c>
      <c r="AF53" s="6">
        <f t="shared" si="10"/>
        <v>3.8279569892473136E-2</v>
      </c>
      <c r="AG53" s="6">
        <f t="shared" si="11"/>
        <v>3.8279569892473136E-2</v>
      </c>
      <c r="AH53" s="6">
        <f t="shared" si="12"/>
        <v>3.8279569892473136E-2</v>
      </c>
      <c r="AI53" s="6">
        <f t="shared" si="13"/>
        <v>3.8279569892473136E-2</v>
      </c>
      <c r="AJ53" s="6">
        <f t="shared" si="14"/>
        <v>3.8279569892473136E-2</v>
      </c>
      <c r="AK53" s="6">
        <f t="shared" si="15"/>
        <v>0</v>
      </c>
      <c r="AL53" s="6">
        <f t="shared" si="16"/>
        <v>0</v>
      </c>
      <c r="AM53" s="6">
        <f t="shared" si="17"/>
        <v>0</v>
      </c>
      <c r="AN53" s="6">
        <f t="shared" si="18"/>
        <v>0</v>
      </c>
    </row>
    <row r="54" spans="1:40" ht="15.5" x14ac:dyDescent="0.35">
      <c r="A54" s="4" t="s">
        <v>214</v>
      </c>
      <c r="B54" s="4">
        <v>14</v>
      </c>
      <c r="C54">
        <v>3</v>
      </c>
      <c r="D54" s="4" t="s">
        <v>56</v>
      </c>
      <c r="E54" s="4">
        <v>-0.1118279569892473</v>
      </c>
      <c r="F54">
        <f t="shared" si="1"/>
        <v>0.37741935483870981</v>
      </c>
      <c r="G54" s="7"/>
      <c r="H54" s="7"/>
      <c r="I54" s="7"/>
      <c r="J54" s="6">
        <v>0.1</v>
      </c>
      <c r="K54" s="6">
        <v>0.1</v>
      </c>
      <c r="L54" s="6">
        <v>0.1</v>
      </c>
      <c r="M54" s="6">
        <v>0.1</v>
      </c>
      <c r="N54" s="6">
        <v>0.1</v>
      </c>
      <c r="O54" s="6">
        <v>0.1</v>
      </c>
      <c r="P54" s="6">
        <v>0.1</v>
      </c>
      <c r="Q54" s="6">
        <v>0.1</v>
      </c>
      <c r="R54" s="6">
        <v>0.1</v>
      </c>
      <c r="S54" s="6">
        <v>0.1</v>
      </c>
      <c r="T54" s="7"/>
      <c r="U54" s="7"/>
      <c r="V54" s="7"/>
      <c r="W54" s="7"/>
      <c r="X54" s="6">
        <f t="shared" si="2"/>
        <v>0</v>
      </c>
      <c r="Y54" s="6">
        <f t="shared" si="3"/>
        <v>0</v>
      </c>
      <c r="Z54" s="6">
        <f t="shared" si="4"/>
        <v>0</v>
      </c>
      <c r="AA54" s="6">
        <f t="shared" si="5"/>
        <v>3.7741935483870982E-2</v>
      </c>
      <c r="AB54" s="6">
        <f t="shared" si="6"/>
        <v>3.7741935483870982E-2</v>
      </c>
      <c r="AC54" s="6">
        <f t="shared" si="7"/>
        <v>3.7741935483870982E-2</v>
      </c>
      <c r="AD54" s="6">
        <f t="shared" si="8"/>
        <v>3.7741935483870982E-2</v>
      </c>
      <c r="AE54" s="6">
        <f t="shared" si="9"/>
        <v>3.7741935483870982E-2</v>
      </c>
      <c r="AF54" s="6">
        <f t="shared" si="10"/>
        <v>3.7741935483870982E-2</v>
      </c>
      <c r="AG54" s="6">
        <f t="shared" si="11"/>
        <v>3.7741935483870982E-2</v>
      </c>
      <c r="AH54" s="6">
        <f t="shared" si="12"/>
        <v>3.7741935483870982E-2</v>
      </c>
      <c r="AI54" s="6">
        <f t="shared" si="13"/>
        <v>3.7741935483870982E-2</v>
      </c>
      <c r="AJ54" s="6">
        <f t="shared" si="14"/>
        <v>3.7741935483870982E-2</v>
      </c>
      <c r="AK54" s="6">
        <f t="shared" si="15"/>
        <v>0</v>
      </c>
      <c r="AL54" s="6">
        <f t="shared" si="16"/>
        <v>0</v>
      </c>
      <c r="AM54" s="6">
        <f t="shared" si="17"/>
        <v>0</v>
      </c>
      <c r="AN54" s="6">
        <f t="shared" si="18"/>
        <v>0</v>
      </c>
    </row>
    <row r="55" spans="1:40" ht="15.5" x14ac:dyDescent="0.35">
      <c r="A55" s="4" t="s">
        <v>214</v>
      </c>
      <c r="B55" s="4">
        <v>15</v>
      </c>
      <c r="C55">
        <v>4</v>
      </c>
      <c r="D55" s="4" t="s">
        <v>62</v>
      </c>
      <c r="E55" s="4">
        <v>9.354838709677421E-2</v>
      </c>
      <c r="F55">
        <f t="shared" si="1"/>
        <v>0.58279569892473138</v>
      </c>
      <c r="G55" s="7"/>
      <c r="H55" s="7"/>
      <c r="I55" s="7"/>
      <c r="J55" s="7"/>
      <c r="K55" s="6">
        <v>0.5</v>
      </c>
      <c r="L55" s="6">
        <v>0.5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6">
        <f t="shared" si="2"/>
        <v>0</v>
      </c>
      <c r="Y55" s="6">
        <f t="shared" si="3"/>
        <v>0</v>
      </c>
      <c r="Z55" s="6">
        <f t="shared" si="4"/>
        <v>0</v>
      </c>
      <c r="AA55" s="6">
        <f t="shared" si="5"/>
        <v>0</v>
      </c>
      <c r="AB55" s="6">
        <f t="shared" si="6"/>
        <v>0.29139784946236569</v>
      </c>
      <c r="AC55" s="6">
        <f t="shared" si="7"/>
        <v>0.29139784946236569</v>
      </c>
      <c r="AD55" s="6">
        <f t="shared" si="8"/>
        <v>0</v>
      </c>
      <c r="AE55" s="6">
        <f t="shared" si="9"/>
        <v>0</v>
      </c>
      <c r="AF55" s="6">
        <f t="shared" si="10"/>
        <v>0</v>
      </c>
      <c r="AG55" s="6">
        <f t="shared" si="11"/>
        <v>0</v>
      </c>
      <c r="AH55" s="6">
        <f t="shared" si="12"/>
        <v>0</v>
      </c>
      <c r="AI55" s="6">
        <f t="shared" si="13"/>
        <v>0</v>
      </c>
      <c r="AJ55" s="6">
        <f t="shared" si="14"/>
        <v>0</v>
      </c>
      <c r="AK55" s="6">
        <f t="shared" si="15"/>
        <v>0</v>
      </c>
      <c r="AL55" s="6">
        <f t="shared" si="16"/>
        <v>0</v>
      </c>
      <c r="AM55" s="6">
        <f t="shared" si="17"/>
        <v>0</v>
      </c>
      <c r="AN55" s="6">
        <f t="shared" si="18"/>
        <v>0</v>
      </c>
    </row>
    <row r="56" spans="1:40" ht="15.5" x14ac:dyDescent="0.35">
      <c r="A56" s="4" t="s">
        <v>214</v>
      </c>
      <c r="B56" s="4">
        <v>15</v>
      </c>
      <c r="C56">
        <v>3</v>
      </c>
      <c r="D56" s="4" t="s">
        <v>61</v>
      </c>
      <c r="E56" s="4">
        <v>4.8387096774193561E-2</v>
      </c>
      <c r="F56">
        <f t="shared" si="1"/>
        <v>0.53763440860215073</v>
      </c>
      <c r="G56" s="7"/>
      <c r="H56" s="7"/>
      <c r="I56" s="7"/>
      <c r="J56" s="7"/>
      <c r="K56" s="6">
        <v>0.5</v>
      </c>
      <c r="L56" s="6">
        <v>0.5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6">
        <f t="shared" si="2"/>
        <v>0</v>
      </c>
      <c r="Y56" s="6">
        <f t="shared" si="3"/>
        <v>0</v>
      </c>
      <c r="Z56" s="6">
        <f t="shared" si="4"/>
        <v>0</v>
      </c>
      <c r="AA56" s="6">
        <f t="shared" si="5"/>
        <v>0</v>
      </c>
      <c r="AB56" s="6">
        <f t="shared" si="6"/>
        <v>0.26881720430107536</v>
      </c>
      <c r="AC56" s="6">
        <f t="shared" si="7"/>
        <v>0.26881720430107536</v>
      </c>
      <c r="AD56" s="6">
        <f t="shared" si="8"/>
        <v>0</v>
      </c>
      <c r="AE56" s="6">
        <f t="shared" si="9"/>
        <v>0</v>
      </c>
      <c r="AF56" s="6">
        <f t="shared" si="10"/>
        <v>0</v>
      </c>
      <c r="AG56" s="6">
        <f t="shared" si="11"/>
        <v>0</v>
      </c>
      <c r="AH56" s="6">
        <f t="shared" si="12"/>
        <v>0</v>
      </c>
      <c r="AI56" s="6">
        <f t="shared" si="13"/>
        <v>0</v>
      </c>
      <c r="AJ56" s="6">
        <f t="shared" si="14"/>
        <v>0</v>
      </c>
      <c r="AK56" s="6">
        <f t="shared" si="15"/>
        <v>0</v>
      </c>
      <c r="AL56" s="6">
        <f t="shared" si="16"/>
        <v>0</v>
      </c>
      <c r="AM56" s="6">
        <f t="shared" si="17"/>
        <v>0</v>
      </c>
      <c r="AN56" s="6">
        <f t="shared" si="18"/>
        <v>0</v>
      </c>
    </row>
    <row r="57" spans="1:40" ht="15.5" x14ac:dyDescent="0.35">
      <c r="A57" s="4" t="s">
        <v>214</v>
      </c>
      <c r="B57" s="4">
        <v>15</v>
      </c>
      <c r="C57">
        <v>1</v>
      </c>
      <c r="D57" s="4" t="s">
        <v>59</v>
      </c>
      <c r="E57" s="4">
        <v>3.763440860215056E-2</v>
      </c>
      <c r="F57">
        <f t="shared" si="1"/>
        <v>0.52688172043010773</v>
      </c>
      <c r="G57" s="7"/>
      <c r="H57" s="7"/>
      <c r="I57" s="7"/>
      <c r="J57" s="7"/>
      <c r="K57" s="6">
        <v>0.5</v>
      </c>
      <c r="L57" s="6">
        <v>0.5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6">
        <f t="shared" si="2"/>
        <v>0</v>
      </c>
      <c r="Y57" s="6">
        <f t="shared" si="3"/>
        <v>0</v>
      </c>
      <c r="Z57" s="6">
        <f t="shared" si="4"/>
        <v>0</v>
      </c>
      <c r="AA57" s="6">
        <f t="shared" si="5"/>
        <v>0</v>
      </c>
      <c r="AB57" s="6">
        <f t="shared" si="6"/>
        <v>0.26344086021505386</v>
      </c>
      <c r="AC57" s="6">
        <f t="shared" si="7"/>
        <v>0.26344086021505386</v>
      </c>
      <c r="AD57" s="6">
        <f t="shared" si="8"/>
        <v>0</v>
      </c>
      <c r="AE57" s="6">
        <f t="shared" si="9"/>
        <v>0</v>
      </c>
      <c r="AF57" s="6">
        <f t="shared" si="10"/>
        <v>0</v>
      </c>
      <c r="AG57" s="6">
        <f t="shared" si="11"/>
        <v>0</v>
      </c>
      <c r="AH57" s="6">
        <f t="shared" si="12"/>
        <v>0</v>
      </c>
      <c r="AI57" s="6">
        <f t="shared" si="13"/>
        <v>0</v>
      </c>
      <c r="AJ57" s="6">
        <f t="shared" si="14"/>
        <v>0</v>
      </c>
      <c r="AK57" s="6">
        <f t="shared" si="15"/>
        <v>0</v>
      </c>
      <c r="AL57" s="6">
        <f t="shared" si="16"/>
        <v>0</v>
      </c>
      <c r="AM57" s="6">
        <f t="shared" si="17"/>
        <v>0</v>
      </c>
      <c r="AN57" s="6">
        <f t="shared" si="18"/>
        <v>0</v>
      </c>
    </row>
    <row r="58" spans="1:40" ht="15.5" x14ac:dyDescent="0.35">
      <c r="A58" s="4" t="s">
        <v>214</v>
      </c>
      <c r="B58" s="4">
        <v>15</v>
      </c>
      <c r="C58">
        <v>2</v>
      </c>
      <c r="D58" s="4" t="s">
        <v>60</v>
      </c>
      <c r="E58" s="4">
        <v>3.763440860215056E-2</v>
      </c>
      <c r="F58">
        <f t="shared" si="1"/>
        <v>0.52688172043010773</v>
      </c>
      <c r="G58" s="7"/>
      <c r="H58" s="7"/>
      <c r="I58" s="7"/>
      <c r="J58" s="7"/>
      <c r="K58" s="6">
        <v>0.5</v>
      </c>
      <c r="L58" s="6">
        <v>0.5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6">
        <f t="shared" si="2"/>
        <v>0</v>
      </c>
      <c r="Y58" s="6">
        <f t="shared" si="3"/>
        <v>0</v>
      </c>
      <c r="Z58" s="6">
        <f t="shared" si="4"/>
        <v>0</v>
      </c>
      <c r="AA58" s="6">
        <f t="shared" si="5"/>
        <v>0</v>
      </c>
      <c r="AB58" s="6">
        <f t="shared" si="6"/>
        <v>0.26344086021505386</v>
      </c>
      <c r="AC58" s="6">
        <f t="shared" si="7"/>
        <v>0.26344086021505386</v>
      </c>
      <c r="AD58" s="6">
        <f t="shared" si="8"/>
        <v>0</v>
      </c>
      <c r="AE58" s="6">
        <f t="shared" si="9"/>
        <v>0</v>
      </c>
      <c r="AF58" s="6">
        <f t="shared" si="10"/>
        <v>0</v>
      </c>
      <c r="AG58" s="6">
        <f t="shared" si="11"/>
        <v>0</v>
      </c>
      <c r="AH58" s="6">
        <f t="shared" si="12"/>
        <v>0</v>
      </c>
      <c r="AI58" s="6">
        <f t="shared" si="13"/>
        <v>0</v>
      </c>
      <c r="AJ58" s="6">
        <f t="shared" si="14"/>
        <v>0</v>
      </c>
      <c r="AK58" s="6">
        <f t="shared" si="15"/>
        <v>0</v>
      </c>
      <c r="AL58" s="6">
        <f t="shared" si="16"/>
        <v>0</v>
      </c>
      <c r="AM58" s="6">
        <f t="shared" si="17"/>
        <v>0</v>
      </c>
      <c r="AN58" s="6">
        <f t="shared" si="18"/>
        <v>0</v>
      </c>
    </row>
    <row r="59" spans="1:40" ht="15.5" x14ac:dyDescent="0.35">
      <c r="A59" s="4" t="s">
        <v>214</v>
      </c>
      <c r="B59" s="4">
        <v>15</v>
      </c>
      <c r="C59">
        <v>5</v>
      </c>
      <c r="D59" s="4" t="s">
        <v>63</v>
      </c>
      <c r="E59" s="4">
        <v>3.1182795698924737E-2</v>
      </c>
      <c r="F59">
        <f t="shared" si="1"/>
        <v>0.52043010752688179</v>
      </c>
      <c r="G59" s="7"/>
      <c r="H59" s="7"/>
      <c r="I59" s="7"/>
      <c r="J59" s="7"/>
      <c r="K59" s="6">
        <v>0.5</v>
      </c>
      <c r="L59" s="6">
        <v>0.5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6">
        <f t="shared" si="2"/>
        <v>0</v>
      </c>
      <c r="Y59" s="6">
        <f t="shared" si="3"/>
        <v>0</v>
      </c>
      <c r="Z59" s="6">
        <f t="shared" si="4"/>
        <v>0</v>
      </c>
      <c r="AA59" s="6">
        <f t="shared" si="5"/>
        <v>0</v>
      </c>
      <c r="AB59" s="6">
        <f t="shared" si="6"/>
        <v>0.2602150537634409</v>
      </c>
      <c r="AC59" s="6">
        <f t="shared" si="7"/>
        <v>0.2602150537634409</v>
      </c>
      <c r="AD59" s="6">
        <f t="shared" si="8"/>
        <v>0</v>
      </c>
      <c r="AE59" s="6">
        <f t="shared" si="9"/>
        <v>0</v>
      </c>
      <c r="AF59" s="6">
        <f t="shared" si="10"/>
        <v>0</v>
      </c>
      <c r="AG59" s="6">
        <f t="shared" si="11"/>
        <v>0</v>
      </c>
      <c r="AH59" s="6">
        <f t="shared" si="12"/>
        <v>0</v>
      </c>
      <c r="AI59" s="6">
        <f t="shared" si="13"/>
        <v>0</v>
      </c>
      <c r="AJ59" s="6">
        <f t="shared" si="14"/>
        <v>0</v>
      </c>
      <c r="AK59" s="6">
        <f t="shared" si="15"/>
        <v>0</v>
      </c>
      <c r="AL59" s="6">
        <f t="shared" si="16"/>
        <v>0</v>
      </c>
      <c r="AM59" s="6">
        <f t="shared" si="17"/>
        <v>0</v>
      </c>
      <c r="AN59" s="6">
        <f t="shared" si="18"/>
        <v>0</v>
      </c>
    </row>
    <row r="60" spans="1:40" ht="15.5" x14ac:dyDescent="0.35">
      <c r="A60" s="4" t="s">
        <v>214</v>
      </c>
      <c r="B60" s="4">
        <v>16</v>
      </c>
      <c r="C60">
        <v>3</v>
      </c>
      <c r="D60" s="4" t="s">
        <v>66</v>
      </c>
      <c r="E60" s="4">
        <v>0.34086021505376352</v>
      </c>
      <c r="F60">
        <f t="shared" si="1"/>
        <v>0.83010752688172063</v>
      </c>
      <c r="G60" s="7"/>
      <c r="H60" s="7"/>
      <c r="I60" s="7"/>
      <c r="J60" s="7"/>
      <c r="K60" s="7"/>
      <c r="L60" s="7"/>
      <c r="M60" s="7"/>
      <c r="N60" s="7"/>
      <c r="O60" s="6">
        <v>0.5</v>
      </c>
      <c r="P60" s="7"/>
      <c r="Q60" s="7"/>
      <c r="R60" s="7"/>
      <c r="S60" s="6">
        <v>0.5</v>
      </c>
      <c r="T60" s="7"/>
      <c r="U60" s="7"/>
      <c r="V60" s="7"/>
      <c r="W60" s="7"/>
      <c r="X60" s="6">
        <f t="shared" si="2"/>
        <v>0</v>
      </c>
      <c r="Y60" s="6">
        <f t="shared" si="3"/>
        <v>0</v>
      </c>
      <c r="Z60" s="6">
        <f t="shared" si="4"/>
        <v>0</v>
      </c>
      <c r="AA60" s="6">
        <f t="shared" si="5"/>
        <v>0</v>
      </c>
      <c r="AB60" s="6">
        <f t="shared" si="6"/>
        <v>0</v>
      </c>
      <c r="AC60" s="6">
        <f t="shared" si="7"/>
        <v>0</v>
      </c>
      <c r="AD60" s="6">
        <f t="shared" si="8"/>
        <v>0</v>
      </c>
      <c r="AE60" s="6">
        <f t="shared" si="9"/>
        <v>0</v>
      </c>
      <c r="AF60" s="6">
        <f t="shared" si="10"/>
        <v>0.41505376344086031</v>
      </c>
      <c r="AG60" s="6">
        <f t="shared" si="11"/>
        <v>0</v>
      </c>
      <c r="AH60" s="6">
        <f t="shared" si="12"/>
        <v>0</v>
      </c>
      <c r="AI60" s="6">
        <f t="shared" si="13"/>
        <v>0</v>
      </c>
      <c r="AJ60" s="6">
        <f t="shared" si="14"/>
        <v>0.41505376344086031</v>
      </c>
      <c r="AK60" s="6">
        <f t="shared" si="15"/>
        <v>0</v>
      </c>
      <c r="AL60" s="6">
        <f t="shared" si="16"/>
        <v>0</v>
      </c>
      <c r="AM60" s="6">
        <f t="shared" si="17"/>
        <v>0</v>
      </c>
      <c r="AN60" s="6">
        <f t="shared" si="18"/>
        <v>0</v>
      </c>
    </row>
    <row r="61" spans="1:40" ht="15.5" x14ac:dyDescent="0.35">
      <c r="A61" s="4" t="s">
        <v>214</v>
      </c>
      <c r="B61" s="4">
        <v>16</v>
      </c>
      <c r="C61">
        <v>2</v>
      </c>
      <c r="D61" s="4" t="s">
        <v>65</v>
      </c>
      <c r="E61" s="4">
        <v>0.31182795698924737</v>
      </c>
      <c r="F61">
        <f t="shared" si="1"/>
        <v>0.80107526881720448</v>
      </c>
      <c r="G61" s="7"/>
      <c r="H61" s="7"/>
      <c r="I61" s="7"/>
      <c r="J61" s="7"/>
      <c r="K61" s="7"/>
      <c r="L61" s="7"/>
      <c r="M61" s="7"/>
      <c r="N61" s="7"/>
      <c r="O61" s="6">
        <v>0.5</v>
      </c>
      <c r="P61" s="7"/>
      <c r="Q61" s="7"/>
      <c r="R61" s="7"/>
      <c r="S61" s="6">
        <v>0.5</v>
      </c>
      <c r="T61" s="7"/>
      <c r="U61" s="7"/>
      <c r="V61" s="7"/>
      <c r="W61" s="7"/>
      <c r="X61" s="6">
        <f t="shared" si="2"/>
        <v>0</v>
      </c>
      <c r="Y61" s="6">
        <f t="shared" si="3"/>
        <v>0</v>
      </c>
      <c r="Z61" s="6">
        <f t="shared" si="4"/>
        <v>0</v>
      </c>
      <c r="AA61" s="6">
        <f t="shared" si="5"/>
        <v>0</v>
      </c>
      <c r="AB61" s="6">
        <f t="shared" si="6"/>
        <v>0</v>
      </c>
      <c r="AC61" s="6">
        <f t="shared" si="7"/>
        <v>0</v>
      </c>
      <c r="AD61" s="6">
        <f t="shared" si="8"/>
        <v>0</v>
      </c>
      <c r="AE61" s="6">
        <f t="shared" si="9"/>
        <v>0</v>
      </c>
      <c r="AF61" s="6">
        <f t="shared" si="10"/>
        <v>0.40053763440860224</v>
      </c>
      <c r="AG61" s="6">
        <f t="shared" si="11"/>
        <v>0</v>
      </c>
      <c r="AH61" s="6">
        <f t="shared" si="12"/>
        <v>0</v>
      </c>
      <c r="AI61" s="6">
        <f t="shared" si="13"/>
        <v>0</v>
      </c>
      <c r="AJ61" s="6">
        <f t="shared" si="14"/>
        <v>0.40053763440860224</v>
      </c>
      <c r="AK61" s="6">
        <f t="shared" si="15"/>
        <v>0</v>
      </c>
      <c r="AL61" s="6">
        <f t="shared" si="16"/>
        <v>0</v>
      </c>
      <c r="AM61" s="6">
        <f t="shared" si="17"/>
        <v>0</v>
      </c>
      <c r="AN61" s="6">
        <f t="shared" si="18"/>
        <v>0</v>
      </c>
    </row>
    <row r="62" spans="1:40" ht="15.5" x14ac:dyDescent="0.35">
      <c r="A62" s="4" t="s">
        <v>214</v>
      </c>
      <c r="B62" s="4">
        <v>16</v>
      </c>
      <c r="C62">
        <v>5</v>
      </c>
      <c r="D62" s="4" t="s">
        <v>68</v>
      </c>
      <c r="E62" s="4">
        <v>0.2978494623655914</v>
      </c>
      <c r="F62">
        <f t="shared" si="1"/>
        <v>0.78709677419354851</v>
      </c>
      <c r="G62" s="7"/>
      <c r="H62" s="7"/>
      <c r="I62" s="7"/>
      <c r="J62" s="7"/>
      <c r="K62" s="7"/>
      <c r="L62" s="7"/>
      <c r="M62" s="7"/>
      <c r="N62" s="7"/>
      <c r="O62" s="6">
        <v>0.5</v>
      </c>
      <c r="P62" s="7"/>
      <c r="Q62" s="7"/>
      <c r="R62" s="7"/>
      <c r="S62" s="6">
        <v>0.5</v>
      </c>
      <c r="T62" s="7"/>
      <c r="U62" s="7"/>
      <c r="V62" s="7"/>
      <c r="W62" s="7"/>
      <c r="X62" s="6">
        <f t="shared" si="2"/>
        <v>0</v>
      </c>
      <c r="Y62" s="6">
        <f t="shared" si="3"/>
        <v>0</v>
      </c>
      <c r="Z62" s="6">
        <f t="shared" si="4"/>
        <v>0</v>
      </c>
      <c r="AA62" s="6">
        <f t="shared" si="5"/>
        <v>0</v>
      </c>
      <c r="AB62" s="6">
        <f t="shared" si="6"/>
        <v>0</v>
      </c>
      <c r="AC62" s="6">
        <f t="shared" si="7"/>
        <v>0</v>
      </c>
      <c r="AD62" s="6">
        <f t="shared" si="8"/>
        <v>0</v>
      </c>
      <c r="AE62" s="6">
        <f t="shared" si="9"/>
        <v>0</v>
      </c>
      <c r="AF62" s="6">
        <f t="shared" si="10"/>
        <v>0.39354838709677425</v>
      </c>
      <c r="AG62" s="6">
        <f t="shared" si="11"/>
        <v>0</v>
      </c>
      <c r="AH62" s="6">
        <f t="shared" si="12"/>
        <v>0</v>
      </c>
      <c r="AI62" s="6">
        <f t="shared" si="13"/>
        <v>0</v>
      </c>
      <c r="AJ62" s="6">
        <f t="shared" si="14"/>
        <v>0.39354838709677425</v>
      </c>
      <c r="AK62" s="6">
        <f t="shared" si="15"/>
        <v>0</v>
      </c>
      <c r="AL62" s="6">
        <f t="shared" si="16"/>
        <v>0</v>
      </c>
      <c r="AM62" s="6">
        <f t="shared" si="17"/>
        <v>0</v>
      </c>
      <c r="AN62" s="6">
        <f t="shared" si="18"/>
        <v>0</v>
      </c>
    </row>
    <row r="63" spans="1:40" ht="15.5" x14ac:dyDescent="0.35">
      <c r="A63" s="4" t="s">
        <v>214</v>
      </c>
      <c r="B63" s="4">
        <v>16</v>
      </c>
      <c r="C63">
        <v>4</v>
      </c>
      <c r="D63" s="4" t="s">
        <v>67</v>
      </c>
      <c r="E63" s="4">
        <v>0.26451612903225807</v>
      </c>
      <c r="F63">
        <f t="shared" si="1"/>
        <v>0.75376344086021518</v>
      </c>
      <c r="G63" s="7"/>
      <c r="H63" s="7"/>
      <c r="I63" s="7"/>
      <c r="J63" s="7"/>
      <c r="K63" s="7"/>
      <c r="L63" s="7"/>
      <c r="M63" s="7"/>
      <c r="N63" s="7"/>
      <c r="O63" s="6">
        <v>0.5</v>
      </c>
      <c r="P63" s="7"/>
      <c r="Q63" s="7"/>
      <c r="R63" s="7"/>
      <c r="S63" s="6">
        <v>0.5</v>
      </c>
      <c r="T63" s="7"/>
      <c r="U63" s="7"/>
      <c r="V63" s="7"/>
      <c r="W63" s="7"/>
      <c r="X63" s="6">
        <f t="shared" si="2"/>
        <v>0</v>
      </c>
      <c r="Y63" s="6">
        <f t="shared" si="3"/>
        <v>0</v>
      </c>
      <c r="Z63" s="6">
        <f t="shared" si="4"/>
        <v>0</v>
      </c>
      <c r="AA63" s="6">
        <f t="shared" si="5"/>
        <v>0</v>
      </c>
      <c r="AB63" s="6">
        <f t="shared" si="6"/>
        <v>0</v>
      </c>
      <c r="AC63" s="6">
        <f t="shared" si="7"/>
        <v>0</v>
      </c>
      <c r="AD63" s="6">
        <f t="shared" si="8"/>
        <v>0</v>
      </c>
      <c r="AE63" s="6">
        <f t="shared" si="9"/>
        <v>0</v>
      </c>
      <c r="AF63" s="6">
        <f t="shared" si="10"/>
        <v>0.37688172043010759</v>
      </c>
      <c r="AG63" s="6">
        <f t="shared" si="11"/>
        <v>0</v>
      </c>
      <c r="AH63" s="6">
        <f t="shared" si="12"/>
        <v>0</v>
      </c>
      <c r="AI63" s="6">
        <f t="shared" si="13"/>
        <v>0</v>
      </c>
      <c r="AJ63" s="6">
        <f t="shared" si="14"/>
        <v>0.37688172043010759</v>
      </c>
      <c r="AK63" s="6">
        <f t="shared" si="15"/>
        <v>0</v>
      </c>
      <c r="AL63" s="6">
        <f t="shared" si="16"/>
        <v>0</v>
      </c>
      <c r="AM63" s="6">
        <f t="shared" si="17"/>
        <v>0</v>
      </c>
      <c r="AN63" s="6">
        <f t="shared" si="18"/>
        <v>0</v>
      </c>
    </row>
    <row r="64" spans="1:40" ht="15.5" x14ac:dyDescent="0.35">
      <c r="A64" s="4" t="s">
        <v>214</v>
      </c>
      <c r="B64" s="4">
        <v>16</v>
      </c>
      <c r="C64">
        <v>1</v>
      </c>
      <c r="D64" s="4" t="s">
        <v>64</v>
      </c>
      <c r="E64" s="4">
        <v>0.20860215053763445</v>
      </c>
      <c r="F64">
        <f t="shared" si="1"/>
        <v>0.69784946236559153</v>
      </c>
      <c r="G64" s="7"/>
      <c r="H64" s="7"/>
      <c r="I64" s="7"/>
      <c r="J64" s="7"/>
      <c r="K64" s="7"/>
      <c r="L64" s="7"/>
      <c r="M64" s="7"/>
      <c r="N64" s="7"/>
      <c r="O64" s="6">
        <v>0.5</v>
      </c>
      <c r="P64" s="7"/>
      <c r="Q64" s="7"/>
      <c r="R64" s="7"/>
      <c r="S64" s="6">
        <v>0.5</v>
      </c>
      <c r="T64" s="7"/>
      <c r="U64" s="7"/>
      <c r="V64" s="7"/>
      <c r="W64" s="7"/>
      <c r="X64" s="6">
        <f t="shared" si="2"/>
        <v>0</v>
      </c>
      <c r="Y64" s="6">
        <f t="shared" si="3"/>
        <v>0</v>
      </c>
      <c r="Z64" s="6">
        <f t="shared" si="4"/>
        <v>0</v>
      </c>
      <c r="AA64" s="6">
        <f t="shared" si="5"/>
        <v>0</v>
      </c>
      <c r="AB64" s="6">
        <f t="shared" si="6"/>
        <v>0</v>
      </c>
      <c r="AC64" s="6">
        <f t="shared" si="7"/>
        <v>0</v>
      </c>
      <c r="AD64" s="6">
        <f t="shared" si="8"/>
        <v>0</v>
      </c>
      <c r="AE64" s="6">
        <f t="shared" si="9"/>
        <v>0</v>
      </c>
      <c r="AF64" s="6">
        <f t="shared" si="10"/>
        <v>0.34892473118279577</v>
      </c>
      <c r="AG64" s="6">
        <f t="shared" si="11"/>
        <v>0</v>
      </c>
      <c r="AH64" s="6">
        <f t="shared" si="12"/>
        <v>0</v>
      </c>
      <c r="AI64" s="6">
        <f t="shared" si="13"/>
        <v>0</v>
      </c>
      <c r="AJ64" s="6">
        <f t="shared" si="14"/>
        <v>0.34892473118279577</v>
      </c>
      <c r="AK64" s="6">
        <f t="shared" si="15"/>
        <v>0</v>
      </c>
      <c r="AL64" s="6">
        <f t="shared" si="16"/>
        <v>0</v>
      </c>
      <c r="AM64" s="6">
        <f t="shared" si="17"/>
        <v>0</v>
      </c>
      <c r="AN64" s="6">
        <f t="shared" si="18"/>
        <v>0</v>
      </c>
    </row>
    <row r="65" spans="1:40" ht="15.5" x14ac:dyDescent="0.35">
      <c r="A65" s="4" t="s">
        <v>214</v>
      </c>
      <c r="B65" s="4">
        <v>17</v>
      </c>
      <c r="C65">
        <v>4</v>
      </c>
      <c r="D65" s="4" t="s">
        <v>72</v>
      </c>
      <c r="E65" s="4">
        <v>1.2903225806451646E-2</v>
      </c>
      <c r="F65">
        <f t="shared" si="1"/>
        <v>0.50215053763440876</v>
      </c>
      <c r="G65" s="7"/>
      <c r="H65" s="7"/>
      <c r="I65" s="7"/>
      <c r="J65" s="7"/>
      <c r="K65" s="7"/>
      <c r="L65" s="7"/>
      <c r="M65" s="7"/>
      <c r="N65" s="7"/>
      <c r="O65" s="6">
        <v>0.5</v>
      </c>
      <c r="P65" s="7"/>
      <c r="Q65" s="7"/>
      <c r="R65" s="7"/>
      <c r="S65" s="6">
        <v>0.5</v>
      </c>
      <c r="T65" s="7"/>
      <c r="U65" s="7"/>
      <c r="V65" s="7"/>
      <c r="W65" s="7"/>
      <c r="X65" s="6">
        <f t="shared" si="2"/>
        <v>0</v>
      </c>
      <c r="Y65" s="6">
        <f t="shared" si="3"/>
        <v>0</v>
      </c>
      <c r="Z65" s="6">
        <f t="shared" si="4"/>
        <v>0</v>
      </c>
      <c r="AA65" s="6">
        <f t="shared" si="5"/>
        <v>0</v>
      </c>
      <c r="AB65" s="6">
        <f t="shared" si="6"/>
        <v>0</v>
      </c>
      <c r="AC65" s="6">
        <f t="shared" si="7"/>
        <v>0</v>
      </c>
      <c r="AD65" s="6">
        <f t="shared" si="8"/>
        <v>0</v>
      </c>
      <c r="AE65" s="6">
        <f t="shared" si="9"/>
        <v>0</v>
      </c>
      <c r="AF65" s="6">
        <f t="shared" si="10"/>
        <v>0.25107526881720438</v>
      </c>
      <c r="AG65" s="6">
        <f t="shared" si="11"/>
        <v>0</v>
      </c>
      <c r="AH65" s="6">
        <f t="shared" si="12"/>
        <v>0</v>
      </c>
      <c r="AI65" s="6">
        <f t="shared" si="13"/>
        <v>0</v>
      </c>
      <c r="AJ65" s="6">
        <f t="shared" si="14"/>
        <v>0.25107526881720438</v>
      </c>
      <c r="AK65" s="6">
        <f t="shared" si="15"/>
        <v>0</v>
      </c>
      <c r="AL65" s="6">
        <f t="shared" si="16"/>
        <v>0</v>
      </c>
      <c r="AM65" s="6">
        <f t="shared" si="17"/>
        <v>0</v>
      </c>
      <c r="AN65" s="6">
        <f t="shared" si="18"/>
        <v>0</v>
      </c>
    </row>
    <row r="66" spans="1:40" ht="15.5" x14ac:dyDescent="0.35">
      <c r="A66" s="4" t="s">
        <v>214</v>
      </c>
      <c r="B66" s="4">
        <v>17</v>
      </c>
      <c r="C66">
        <v>2</v>
      </c>
      <c r="D66" s="4" t="s">
        <v>70</v>
      </c>
      <c r="E66" s="4">
        <v>-6.4516129032257674E-3</v>
      </c>
      <c r="F66">
        <f t="shared" si="1"/>
        <v>0.48279569892473134</v>
      </c>
      <c r="G66" s="7"/>
      <c r="H66" s="7"/>
      <c r="I66" s="7"/>
      <c r="J66" s="7"/>
      <c r="K66" s="7"/>
      <c r="L66" s="7"/>
      <c r="M66" s="7"/>
      <c r="N66" s="7"/>
      <c r="O66" s="6">
        <v>0.5</v>
      </c>
      <c r="P66" s="7"/>
      <c r="Q66" s="7"/>
      <c r="R66" s="7"/>
      <c r="S66" s="6">
        <v>0.5</v>
      </c>
      <c r="T66" s="7"/>
      <c r="U66" s="7"/>
      <c r="V66" s="7"/>
      <c r="W66" s="7"/>
      <c r="X66" s="6">
        <f t="shared" si="2"/>
        <v>0</v>
      </c>
      <c r="Y66" s="6">
        <f t="shared" si="3"/>
        <v>0</v>
      </c>
      <c r="Z66" s="6">
        <f t="shared" si="4"/>
        <v>0</v>
      </c>
      <c r="AA66" s="6">
        <f t="shared" si="5"/>
        <v>0</v>
      </c>
      <c r="AB66" s="6">
        <f t="shared" si="6"/>
        <v>0</v>
      </c>
      <c r="AC66" s="6">
        <f t="shared" si="7"/>
        <v>0</v>
      </c>
      <c r="AD66" s="6">
        <f t="shared" si="8"/>
        <v>0</v>
      </c>
      <c r="AE66" s="6">
        <f t="shared" si="9"/>
        <v>0</v>
      </c>
      <c r="AF66" s="6">
        <f t="shared" si="10"/>
        <v>0.24139784946236567</v>
      </c>
      <c r="AG66" s="6">
        <f t="shared" si="11"/>
        <v>0</v>
      </c>
      <c r="AH66" s="6">
        <f t="shared" si="12"/>
        <v>0</v>
      </c>
      <c r="AI66" s="6">
        <f t="shared" si="13"/>
        <v>0</v>
      </c>
      <c r="AJ66" s="6">
        <f t="shared" si="14"/>
        <v>0.24139784946236567</v>
      </c>
      <c r="AK66" s="6">
        <f t="shared" si="15"/>
        <v>0</v>
      </c>
      <c r="AL66" s="6">
        <f t="shared" si="16"/>
        <v>0</v>
      </c>
      <c r="AM66" s="6">
        <f t="shared" si="17"/>
        <v>0</v>
      </c>
      <c r="AN66" s="6">
        <f t="shared" si="18"/>
        <v>0</v>
      </c>
    </row>
    <row r="67" spans="1:40" ht="15.5" x14ac:dyDescent="0.35">
      <c r="A67" s="4" t="s">
        <v>214</v>
      </c>
      <c r="B67" s="4">
        <v>17</v>
      </c>
      <c r="C67">
        <v>1</v>
      </c>
      <c r="D67" s="4" t="s">
        <v>69</v>
      </c>
      <c r="E67" s="4">
        <v>-3.5483870967741915E-2</v>
      </c>
      <c r="F67">
        <f t="shared" ref="F67:F130" si="19">E67-$E$121</f>
        <v>0.45376344086021519</v>
      </c>
      <c r="G67" s="7"/>
      <c r="H67" s="7"/>
      <c r="I67" s="7"/>
      <c r="J67" s="7"/>
      <c r="K67" s="7"/>
      <c r="L67" s="7"/>
      <c r="M67" s="7"/>
      <c r="N67" s="7"/>
      <c r="O67" s="6">
        <v>0.5</v>
      </c>
      <c r="P67" s="7"/>
      <c r="Q67" s="7"/>
      <c r="R67" s="7"/>
      <c r="S67" s="6">
        <v>0.5</v>
      </c>
      <c r="T67" s="7"/>
      <c r="U67" s="7"/>
      <c r="V67" s="7"/>
      <c r="W67" s="7"/>
      <c r="X67" s="6">
        <f t="shared" ref="X67:X130" si="20">$F67*G67</f>
        <v>0</v>
      </c>
      <c r="Y67" s="6">
        <f t="shared" ref="Y67:Y130" si="21">$F67*H67</f>
        <v>0</v>
      </c>
      <c r="Z67" s="6">
        <f t="shared" ref="Z67:Z130" si="22">$F67*I67</f>
        <v>0</v>
      </c>
      <c r="AA67" s="6">
        <f t="shared" ref="AA67:AA130" si="23">$F67*J67</f>
        <v>0</v>
      </c>
      <c r="AB67" s="6">
        <f t="shared" ref="AB67:AB130" si="24">$F67*K67</f>
        <v>0</v>
      </c>
      <c r="AC67" s="6">
        <f t="shared" ref="AC67:AC130" si="25">$F67*L67</f>
        <v>0</v>
      </c>
      <c r="AD67" s="6">
        <f t="shared" ref="AD67:AD130" si="26">$F67*M67</f>
        <v>0</v>
      </c>
      <c r="AE67" s="6">
        <f t="shared" ref="AE67:AE130" si="27">$F67*N67</f>
        <v>0</v>
      </c>
      <c r="AF67" s="6">
        <f t="shared" ref="AF67:AF130" si="28">$F67*O67</f>
        <v>0.2268817204301076</v>
      </c>
      <c r="AG67" s="6">
        <f t="shared" ref="AG67:AG130" si="29">$F67*P67</f>
        <v>0</v>
      </c>
      <c r="AH67" s="6">
        <f t="shared" ref="AH67:AH130" si="30">$F67*Q67</f>
        <v>0</v>
      </c>
      <c r="AI67" s="6">
        <f t="shared" ref="AI67:AI130" si="31">$F67*R67</f>
        <v>0</v>
      </c>
      <c r="AJ67" s="6">
        <f t="shared" ref="AJ67:AJ130" si="32">$F67*S67</f>
        <v>0.2268817204301076</v>
      </c>
      <c r="AK67" s="6">
        <f t="shared" ref="AK67:AK130" si="33">$F67*T67</f>
        <v>0</v>
      </c>
      <c r="AL67" s="6">
        <f t="shared" ref="AL67:AL130" si="34">$F67*U67</f>
        <v>0</v>
      </c>
      <c r="AM67" s="6">
        <f t="shared" ref="AM67:AM130" si="35">$F67*V67</f>
        <v>0</v>
      </c>
      <c r="AN67" s="6">
        <f t="shared" ref="AN67:AN130" si="36">$F67*W67</f>
        <v>0</v>
      </c>
    </row>
    <row r="68" spans="1:40" ht="15.5" x14ac:dyDescent="0.35">
      <c r="A68" s="4" t="s">
        <v>214</v>
      </c>
      <c r="B68" s="4">
        <v>17</v>
      </c>
      <c r="C68">
        <v>5</v>
      </c>
      <c r="D68" s="4" t="s">
        <v>73</v>
      </c>
      <c r="E68" s="4">
        <v>-4.9462365591397828E-2</v>
      </c>
      <c r="F68">
        <f t="shared" si="19"/>
        <v>0.43978494623655928</v>
      </c>
      <c r="G68" s="7"/>
      <c r="H68" s="7"/>
      <c r="I68" s="7"/>
      <c r="J68" s="7"/>
      <c r="K68" s="7"/>
      <c r="L68" s="7"/>
      <c r="M68" s="7"/>
      <c r="N68" s="7"/>
      <c r="O68" s="6">
        <v>0.5</v>
      </c>
      <c r="P68" s="7"/>
      <c r="Q68" s="7"/>
      <c r="R68" s="7"/>
      <c r="S68" s="6">
        <v>0.5</v>
      </c>
      <c r="T68" s="7"/>
      <c r="U68" s="7"/>
      <c r="V68" s="7"/>
      <c r="W68" s="7"/>
      <c r="X68" s="6">
        <f t="shared" si="20"/>
        <v>0</v>
      </c>
      <c r="Y68" s="6">
        <f t="shared" si="21"/>
        <v>0</v>
      </c>
      <c r="Z68" s="6">
        <f t="shared" si="22"/>
        <v>0</v>
      </c>
      <c r="AA68" s="6">
        <f t="shared" si="23"/>
        <v>0</v>
      </c>
      <c r="AB68" s="6">
        <f t="shared" si="24"/>
        <v>0</v>
      </c>
      <c r="AC68" s="6">
        <f t="shared" si="25"/>
        <v>0</v>
      </c>
      <c r="AD68" s="6">
        <f t="shared" si="26"/>
        <v>0</v>
      </c>
      <c r="AE68" s="6">
        <f t="shared" si="27"/>
        <v>0</v>
      </c>
      <c r="AF68" s="6">
        <f t="shared" si="28"/>
        <v>0.21989247311827964</v>
      </c>
      <c r="AG68" s="6">
        <f t="shared" si="29"/>
        <v>0</v>
      </c>
      <c r="AH68" s="6">
        <f t="shared" si="30"/>
        <v>0</v>
      </c>
      <c r="AI68" s="6">
        <f t="shared" si="31"/>
        <v>0</v>
      </c>
      <c r="AJ68" s="6">
        <f t="shared" si="32"/>
        <v>0.21989247311827964</v>
      </c>
      <c r="AK68" s="6">
        <f t="shared" si="33"/>
        <v>0</v>
      </c>
      <c r="AL68" s="6">
        <f t="shared" si="34"/>
        <v>0</v>
      </c>
      <c r="AM68" s="6">
        <f t="shared" si="35"/>
        <v>0</v>
      </c>
      <c r="AN68" s="6">
        <f t="shared" si="36"/>
        <v>0</v>
      </c>
    </row>
    <row r="69" spans="1:40" ht="15.5" x14ac:dyDescent="0.35">
      <c r="A69" s="4" t="s">
        <v>214</v>
      </c>
      <c r="B69" s="4">
        <v>17</v>
      </c>
      <c r="C69">
        <v>3</v>
      </c>
      <c r="D69" s="4" t="s">
        <v>71</v>
      </c>
      <c r="E69" s="4">
        <v>-8.2795698924731154E-2</v>
      </c>
      <c r="F69">
        <f t="shared" si="19"/>
        <v>0.40645161290322596</v>
      </c>
      <c r="G69" s="7"/>
      <c r="H69" s="7"/>
      <c r="I69" s="7"/>
      <c r="J69" s="7"/>
      <c r="K69" s="7"/>
      <c r="L69" s="7"/>
      <c r="M69" s="7"/>
      <c r="N69" s="7"/>
      <c r="O69" s="6">
        <v>0.5</v>
      </c>
      <c r="P69" s="7"/>
      <c r="Q69" s="7"/>
      <c r="R69" s="7"/>
      <c r="S69" s="6">
        <v>0.5</v>
      </c>
      <c r="T69" s="7"/>
      <c r="U69" s="7"/>
      <c r="V69" s="7"/>
      <c r="W69" s="7"/>
      <c r="X69" s="6">
        <f t="shared" si="20"/>
        <v>0</v>
      </c>
      <c r="Y69" s="6">
        <f t="shared" si="21"/>
        <v>0</v>
      </c>
      <c r="Z69" s="6">
        <f t="shared" si="22"/>
        <v>0</v>
      </c>
      <c r="AA69" s="6">
        <f t="shared" si="23"/>
        <v>0</v>
      </c>
      <c r="AB69" s="6">
        <f t="shared" si="24"/>
        <v>0</v>
      </c>
      <c r="AC69" s="6">
        <f t="shared" si="25"/>
        <v>0</v>
      </c>
      <c r="AD69" s="6">
        <f t="shared" si="26"/>
        <v>0</v>
      </c>
      <c r="AE69" s="6">
        <f t="shared" si="27"/>
        <v>0</v>
      </c>
      <c r="AF69" s="6">
        <f t="shared" si="28"/>
        <v>0.20322580645161298</v>
      </c>
      <c r="AG69" s="6">
        <f t="shared" si="29"/>
        <v>0</v>
      </c>
      <c r="AH69" s="6">
        <f t="shared" si="30"/>
        <v>0</v>
      </c>
      <c r="AI69" s="6">
        <f t="shared" si="31"/>
        <v>0</v>
      </c>
      <c r="AJ69" s="6">
        <f t="shared" si="32"/>
        <v>0.20322580645161298</v>
      </c>
      <c r="AK69" s="6">
        <f t="shared" si="33"/>
        <v>0</v>
      </c>
      <c r="AL69" s="6">
        <f t="shared" si="34"/>
        <v>0</v>
      </c>
      <c r="AM69" s="6">
        <f t="shared" si="35"/>
        <v>0</v>
      </c>
      <c r="AN69" s="6">
        <f t="shared" si="36"/>
        <v>0</v>
      </c>
    </row>
    <row r="70" spans="1:40" ht="15.5" x14ac:dyDescent="0.35">
      <c r="A70" s="4" t="s">
        <v>214</v>
      </c>
      <c r="B70" s="4">
        <v>18</v>
      </c>
      <c r="C70">
        <v>3</v>
      </c>
      <c r="D70" s="4" t="s">
        <v>76</v>
      </c>
      <c r="E70" s="4">
        <v>-6.4516129032257674E-3</v>
      </c>
      <c r="F70">
        <f t="shared" si="19"/>
        <v>0.48279569892473134</v>
      </c>
      <c r="G70" s="7"/>
      <c r="H70" s="7"/>
      <c r="I70" s="7"/>
      <c r="J70" s="7"/>
      <c r="K70" s="7"/>
      <c r="L70" s="7"/>
      <c r="M70" s="7"/>
      <c r="N70" s="7"/>
      <c r="O70" s="6">
        <v>0.5</v>
      </c>
      <c r="P70" s="7"/>
      <c r="Q70" s="7"/>
      <c r="R70" s="7"/>
      <c r="S70" s="6">
        <v>0.5</v>
      </c>
      <c r="T70" s="7"/>
      <c r="U70" s="7"/>
      <c r="V70" s="7"/>
      <c r="W70" s="7"/>
      <c r="X70" s="6">
        <f t="shared" si="20"/>
        <v>0</v>
      </c>
      <c r="Y70" s="6">
        <f t="shared" si="21"/>
        <v>0</v>
      </c>
      <c r="Z70" s="6">
        <f t="shared" si="22"/>
        <v>0</v>
      </c>
      <c r="AA70" s="6">
        <f t="shared" si="23"/>
        <v>0</v>
      </c>
      <c r="AB70" s="6">
        <f t="shared" si="24"/>
        <v>0</v>
      </c>
      <c r="AC70" s="6">
        <f t="shared" si="25"/>
        <v>0</v>
      </c>
      <c r="AD70" s="6">
        <f t="shared" si="26"/>
        <v>0</v>
      </c>
      <c r="AE70" s="6">
        <f t="shared" si="27"/>
        <v>0</v>
      </c>
      <c r="AF70" s="6">
        <f t="shared" si="28"/>
        <v>0.24139784946236567</v>
      </c>
      <c r="AG70" s="6">
        <f t="shared" si="29"/>
        <v>0</v>
      </c>
      <c r="AH70" s="6">
        <f t="shared" si="30"/>
        <v>0</v>
      </c>
      <c r="AI70" s="6">
        <f t="shared" si="31"/>
        <v>0</v>
      </c>
      <c r="AJ70" s="6">
        <f t="shared" si="32"/>
        <v>0.24139784946236567</v>
      </c>
      <c r="AK70" s="6">
        <f t="shared" si="33"/>
        <v>0</v>
      </c>
      <c r="AL70" s="6">
        <f t="shared" si="34"/>
        <v>0</v>
      </c>
      <c r="AM70" s="6">
        <f t="shared" si="35"/>
        <v>0</v>
      </c>
      <c r="AN70" s="6">
        <f t="shared" si="36"/>
        <v>0</v>
      </c>
    </row>
    <row r="71" spans="1:40" ht="15.5" x14ac:dyDescent="0.35">
      <c r="A71" s="4" t="s">
        <v>214</v>
      </c>
      <c r="B71" s="4">
        <v>18</v>
      </c>
      <c r="C71">
        <v>2</v>
      </c>
      <c r="D71" s="4" t="s">
        <v>75</v>
      </c>
      <c r="E71" s="4">
        <v>-3.5483870967741915E-2</v>
      </c>
      <c r="F71">
        <f t="shared" si="19"/>
        <v>0.45376344086021519</v>
      </c>
      <c r="G71" s="7"/>
      <c r="H71" s="7"/>
      <c r="I71" s="7"/>
      <c r="J71" s="7"/>
      <c r="K71" s="7"/>
      <c r="L71" s="7"/>
      <c r="M71" s="7"/>
      <c r="N71" s="7"/>
      <c r="O71" s="6">
        <v>0.5</v>
      </c>
      <c r="P71" s="7"/>
      <c r="Q71" s="7"/>
      <c r="R71" s="7"/>
      <c r="S71" s="6">
        <v>0.5</v>
      </c>
      <c r="T71" s="7"/>
      <c r="U71" s="7"/>
      <c r="V71" s="7"/>
      <c r="W71" s="7"/>
      <c r="X71" s="6">
        <f t="shared" si="20"/>
        <v>0</v>
      </c>
      <c r="Y71" s="6">
        <f t="shared" si="21"/>
        <v>0</v>
      </c>
      <c r="Z71" s="6">
        <f t="shared" si="22"/>
        <v>0</v>
      </c>
      <c r="AA71" s="6">
        <f t="shared" si="23"/>
        <v>0</v>
      </c>
      <c r="AB71" s="6">
        <f t="shared" si="24"/>
        <v>0</v>
      </c>
      <c r="AC71" s="6">
        <f t="shared" si="25"/>
        <v>0</v>
      </c>
      <c r="AD71" s="6">
        <f t="shared" si="26"/>
        <v>0</v>
      </c>
      <c r="AE71" s="6">
        <f t="shared" si="27"/>
        <v>0</v>
      </c>
      <c r="AF71" s="6">
        <f t="shared" si="28"/>
        <v>0.2268817204301076</v>
      </c>
      <c r="AG71" s="6">
        <f t="shared" si="29"/>
        <v>0</v>
      </c>
      <c r="AH71" s="6">
        <f t="shared" si="30"/>
        <v>0</v>
      </c>
      <c r="AI71" s="6">
        <f t="shared" si="31"/>
        <v>0</v>
      </c>
      <c r="AJ71" s="6">
        <f t="shared" si="32"/>
        <v>0.2268817204301076</v>
      </c>
      <c r="AK71" s="6">
        <f t="shared" si="33"/>
        <v>0</v>
      </c>
      <c r="AL71" s="6">
        <f t="shared" si="34"/>
        <v>0</v>
      </c>
      <c r="AM71" s="6">
        <f t="shared" si="35"/>
        <v>0</v>
      </c>
      <c r="AN71" s="6">
        <f t="shared" si="36"/>
        <v>0</v>
      </c>
    </row>
    <row r="72" spans="1:40" ht="15.5" x14ac:dyDescent="0.35">
      <c r="A72" s="4" t="s">
        <v>214</v>
      </c>
      <c r="B72" s="4">
        <v>18</v>
      </c>
      <c r="C72">
        <v>5</v>
      </c>
      <c r="D72" s="4" t="s">
        <v>78</v>
      </c>
      <c r="E72" s="4">
        <v>-4.9462365591397828E-2</v>
      </c>
      <c r="F72">
        <f t="shared" si="19"/>
        <v>0.43978494623655928</v>
      </c>
      <c r="G72" s="7"/>
      <c r="H72" s="7"/>
      <c r="I72" s="7"/>
      <c r="J72" s="7"/>
      <c r="K72" s="7"/>
      <c r="L72" s="7"/>
      <c r="M72" s="7"/>
      <c r="N72" s="7"/>
      <c r="O72" s="6">
        <v>0.5</v>
      </c>
      <c r="P72" s="7"/>
      <c r="Q72" s="7"/>
      <c r="R72" s="7"/>
      <c r="S72" s="6">
        <v>0.5</v>
      </c>
      <c r="T72" s="7"/>
      <c r="U72" s="7"/>
      <c r="V72" s="7"/>
      <c r="W72" s="7"/>
      <c r="X72" s="6">
        <f t="shared" si="20"/>
        <v>0</v>
      </c>
      <c r="Y72" s="6">
        <f t="shared" si="21"/>
        <v>0</v>
      </c>
      <c r="Z72" s="6">
        <f t="shared" si="22"/>
        <v>0</v>
      </c>
      <c r="AA72" s="6">
        <f t="shared" si="23"/>
        <v>0</v>
      </c>
      <c r="AB72" s="6">
        <f t="shared" si="24"/>
        <v>0</v>
      </c>
      <c r="AC72" s="6">
        <f t="shared" si="25"/>
        <v>0</v>
      </c>
      <c r="AD72" s="6">
        <f t="shared" si="26"/>
        <v>0</v>
      </c>
      <c r="AE72" s="6">
        <f t="shared" si="27"/>
        <v>0</v>
      </c>
      <c r="AF72" s="6">
        <f t="shared" si="28"/>
        <v>0.21989247311827964</v>
      </c>
      <c r="AG72" s="6">
        <f t="shared" si="29"/>
        <v>0</v>
      </c>
      <c r="AH72" s="6">
        <f t="shared" si="30"/>
        <v>0</v>
      </c>
      <c r="AI72" s="6">
        <f t="shared" si="31"/>
        <v>0</v>
      </c>
      <c r="AJ72" s="6">
        <f t="shared" si="32"/>
        <v>0.21989247311827964</v>
      </c>
      <c r="AK72" s="6">
        <f t="shared" si="33"/>
        <v>0</v>
      </c>
      <c r="AL72" s="6">
        <f t="shared" si="34"/>
        <v>0</v>
      </c>
      <c r="AM72" s="6">
        <f t="shared" si="35"/>
        <v>0</v>
      </c>
      <c r="AN72" s="6">
        <f t="shared" si="36"/>
        <v>0</v>
      </c>
    </row>
    <row r="73" spans="1:40" ht="15.5" x14ac:dyDescent="0.35">
      <c r="A73" s="4" t="s">
        <v>214</v>
      </c>
      <c r="B73" s="4">
        <v>18</v>
      </c>
      <c r="C73">
        <v>4</v>
      </c>
      <c r="D73" s="4" t="s">
        <v>77</v>
      </c>
      <c r="E73" s="4">
        <v>-8.2795698924731154E-2</v>
      </c>
      <c r="F73">
        <f t="shared" si="19"/>
        <v>0.40645161290322596</v>
      </c>
      <c r="G73" s="7"/>
      <c r="H73" s="7"/>
      <c r="I73" s="7"/>
      <c r="J73" s="7"/>
      <c r="K73" s="7"/>
      <c r="L73" s="7"/>
      <c r="M73" s="7"/>
      <c r="N73" s="7"/>
      <c r="O73" s="6">
        <v>0.5</v>
      </c>
      <c r="P73" s="7"/>
      <c r="Q73" s="7"/>
      <c r="R73" s="7"/>
      <c r="S73" s="6">
        <v>0.5</v>
      </c>
      <c r="T73" s="7"/>
      <c r="U73" s="7"/>
      <c r="V73" s="7"/>
      <c r="W73" s="7"/>
      <c r="X73" s="6">
        <f t="shared" si="20"/>
        <v>0</v>
      </c>
      <c r="Y73" s="6">
        <f t="shared" si="21"/>
        <v>0</v>
      </c>
      <c r="Z73" s="6">
        <f t="shared" si="22"/>
        <v>0</v>
      </c>
      <c r="AA73" s="6">
        <f t="shared" si="23"/>
        <v>0</v>
      </c>
      <c r="AB73" s="6">
        <f t="shared" si="24"/>
        <v>0</v>
      </c>
      <c r="AC73" s="6">
        <f t="shared" si="25"/>
        <v>0</v>
      </c>
      <c r="AD73" s="6">
        <f t="shared" si="26"/>
        <v>0</v>
      </c>
      <c r="AE73" s="6">
        <f t="shared" si="27"/>
        <v>0</v>
      </c>
      <c r="AF73" s="6">
        <f t="shared" si="28"/>
        <v>0.20322580645161298</v>
      </c>
      <c r="AG73" s="6">
        <f t="shared" si="29"/>
        <v>0</v>
      </c>
      <c r="AH73" s="6">
        <f t="shared" si="30"/>
        <v>0</v>
      </c>
      <c r="AI73" s="6">
        <f t="shared" si="31"/>
        <v>0</v>
      </c>
      <c r="AJ73" s="6">
        <f t="shared" si="32"/>
        <v>0.20322580645161298</v>
      </c>
      <c r="AK73" s="6">
        <f t="shared" si="33"/>
        <v>0</v>
      </c>
      <c r="AL73" s="6">
        <f t="shared" si="34"/>
        <v>0</v>
      </c>
      <c r="AM73" s="6">
        <f t="shared" si="35"/>
        <v>0</v>
      </c>
      <c r="AN73" s="6">
        <f t="shared" si="36"/>
        <v>0</v>
      </c>
    </row>
    <row r="74" spans="1:40" ht="15.5" x14ac:dyDescent="0.35">
      <c r="A74" s="4" t="s">
        <v>214</v>
      </c>
      <c r="B74" s="4">
        <v>18</v>
      </c>
      <c r="C74">
        <v>1</v>
      </c>
      <c r="D74" s="4" t="s">
        <v>74</v>
      </c>
      <c r="E74" s="4">
        <v>-0.1387096774193548</v>
      </c>
      <c r="F74">
        <f t="shared" si="19"/>
        <v>0.35053763440860231</v>
      </c>
      <c r="G74" s="7"/>
      <c r="H74" s="7"/>
      <c r="I74" s="7"/>
      <c r="J74" s="7"/>
      <c r="K74" s="7"/>
      <c r="L74" s="7"/>
      <c r="M74" s="7"/>
      <c r="N74" s="7"/>
      <c r="O74" s="6">
        <v>0.5</v>
      </c>
      <c r="P74" s="7"/>
      <c r="Q74" s="7"/>
      <c r="R74" s="7"/>
      <c r="S74" s="6">
        <v>0.5</v>
      </c>
      <c r="T74" s="7"/>
      <c r="U74" s="7"/>
      <c r="V74" s="7"/>
      <c r="W74" s="7"/>
      <c r="X74" s="6">
        <f t="shared" si="20"/>
        <v>0</v>
      </c>
      <c r="Y74" s="6">
        <f t="shared" si="21"/>
        <v>0</v>
      </c>
      <c r="Z74" s="6">
        <f t="shared" si="22"/>
        <v>0</v>
      </c>
      <c r="AA74" s="6">
        <f t="shared" si="23"/>
        <v>0</v>
      </c>
      <c r="AB74" s="6">
        <f t="shared" si="24"/>
        <v>0</v>
      </c>
      <c r="AC74" s="6">
        <f t="shared" si="25"/>
        <v>0</v>
      </c>
      <c r="AD74" s="6">
        <f t="shared" si="26"/>
        <v>0</v>
      </c>
      <c r="AE74" s="6">
        <f t="shared" si="27"/>
        <v>0</v>
      </c>
      <c r="AF74" s="6">
        <f t="shared" si="28"/>
        <v>0.17526881720430115</v>
      </c>
      <c r="AG74" s="6">
        <f t="shared" si="29"/>
        <v>0</v>
      </c>
      <c r="AH74" s="6">
        <f t="shared" si="30"/>
        <v>0</v>
      </c>
      <c r="AI74" s="6">
        <f t="shared" si="31"/>
        <v>0</v>
      </c>
      <c r="AJ74" s="6">
        <f t="shared" si="32"/>
        <v>0.17526881720430115</v>
      </c>
      <c r="AK74" s="6">
        <f t="shared" si="33"/>
        <v>0</v>
      </c>
      <c r="AL74" s="6">
        <f t="shared" si="34"/>
        <v>0</v>
      </c>
      <c r="AM74" s="6">
        <f t="shared" si="35"/>
        <v>0</v>
      </c>
      <c r="AN74" s="6">
        <f t="shared" si="36"/>
        <v>0</v>
      </c>
    </row>
    <row r="75" spans="1:40" ht="15.5" x14ac:dyDescent="0.35">
      <c r="A75" s="4" t="s">
        <v>214</v>
      </c>
      <c r="B75" s="4">
        <v>19</v>
      </c>
      <c r="C75">
        <v>3</v>
      </c>
      <c r="D75" s="4" t="s">
        <v>81</v>
      </c>
      <c r="E75" s="4">
        <v>-6.4516129032257674E-3</v>
      </c>
      <c r="F75">
        <f t="shared" si="19"/>
        <v>0.48279569892473134</v>
      </c>
      <c r="G75" s="7"/>
      <c r="H75" s="7"/>
      <c r="I75" s="7"/>
      <c r="J75" s="7"/>
      <c r="K75" s="7"/>
      <c r="L75" s="7"/>
      <c r="M75" s="7"/>
      <c r="N75" s="7"/>
      <c r="O75" s="6">
        <v>0.5</v>
      </c>
      <c r="P75" s="7"/>
      <c r="Q75" s="7"/>
      <c r="R75" s="7"/>
      <c r="S75" s="6">
        <v>0.5</v>
      </c>
      <c r="T75" s="7"/>
      <c r="U75" s="7"/>
      <c r="V75" s="7"/>
      <c r="W75" s="7"/>
      <c r="X75" s="6">
        <f t="shared" si="20"/>
        <v>0</v>
      </c>
      <c r="Y75" s="6">
        <f t="shared" si="21"/>
        <v>0</v>
      </c>
      <c r="Z75" s="6">
        <f t="shared" si="22"/>
        <v>0</v>
      </c>
      <c r="AA75" s="6">
        <f t="shared" si="23"/>
        <v>0</v>
      </c>
      <c r="AB75" s="6">
        <f t="shared" si="24"/>
        <v>0</v>
      </c>
      <c r="AC75" s="6">
        <f t="shared" si="25"/>
        <v>0</v>
      </c>
      <c r="AD75" s="6">
        <f t="shared" si="26"/>
        <v>0</v>
      </c>
      <c r="AE75" s="6">
        <f t="shared" si="27"/>
        <v>0</v>
      </c>
      <c r="AF75" s="6">
        <f t="shared" si="28"/>
        <v>0.24139784946236567</v>
      </c>
      <c r="AG75" s="6">
        <f t="shared" si="29"/>
        <v>0</v>
      </c>
      <c r="AH75" s="6">
        <f t="shared" si="30"/>
        <v>0</v>
      </c>
      <c r="AI75" s="6">
        <f t="shared" si="31"/>
        <v>0</v>
      </c>
      <c r="AJ75" s="6">
        <f t="shared" si="32"/>
        <v>0.24139784946236567</v>
      </c>
      <c r="AK75" s="6">
        <f t="shared" si="33"/>
        <v>0</v>
      </c>
      <c r="AL75" s="6">
        <f t="shared" si="34"/>
        <v>0</v>
      </c>
      <c r="AM75" s="6">
        <f t="shared" si="35"/>
        <v>0</v>
      </c>
      <c r="AN75" s="6">
        <f t="shared" si="36"/>
        <v>0</v>
      </c>
    </row>
    <row r="76" spans="1:40" ht="15.5" x14ac:dyDescent="0.35">
      <c r="A76" s="4" t="s">
        <v>214</v>
      </c>
      <c r="B76" s="4">
        <v>19</v>
      </c>
      <c r="C76">
        <v>2</v>
      </c>
      <c r="D76" s="4" t="s">
        <v>80</v>
      </c>
      <c r="E76" s="4">
        <v>-3.5483870967741915E-2</v>
      </c>
      <c r="F76">
        <f t="shared" si="19"/>
        <v>0.45376344086021519</v>
      </c>
      <c r="G76" s="7"/>
      <c r="H76" s="7"/>
      <c r="I76" s="7"/>
      <c r="J76" s="7"/>
      <c r="K76" s="7"/>
      <c r="L76" s="7"/>
      <c r="M76" s="7"/>
      <c r="N76" s="7"/>
      <c r="O76" s="6">
        <v>0.5</v>
      </c>
      <c r="P76" s="7"/>
      <c r="Q76" s="7"/>
      <c r="R76" s="7"/>
      <c r="S76" s="6">
        <v>0.5</v>
      </c>
      <c r="T76" s="7"/>
      <c r="U76" s="7"/>
      <c r="V76" s="7"/>
      <c r="W76" s="7"/>
      <c r="X76" s="6">
        <f t="shared" si="20"/>
        <v>0</v>
      </c>
      <c r="Y76" s="6">
        <f t="shared" si="21"/>
        <v>0</v>
      </c>
      <c r="Z76" s="6">
        <f t="shared" si="22"/>
        <v>0</v>
      </c>
      <c r="AA76" s="6">
        <f t="shared" si="23"/>
        <v>0</v>
      </c>
      <c r="AB76" s="6">
        <f t="shared" si="24"/>
        <v>0</v>
      </c>
      <c r="AC76" s="6">
        <f t="shared" si="25"/>
        <v>0</v>
      </c>
      <c r="AD76" s="6">
        <f t="shared" si="26"/>
        <v>0</v>
      </c>
      <c r="AE76" s="6">
        <f t="shared" si="27"/>
        <v>0</v>
      </c>
      <c r="AF76" s="6">
        <f t="shared" si="28"/>
        <v>0.2268817204301076</v>
      </c>
      <c r="AG76" s="6">
        <f t="shared" si="29"/>
        <v>0</v>
      </c>
      <c r="AH76" s="6">
        <f t="shared" si="30"/>
        <v>0</v>
      </c>
      <c r="AI76" s="6">
        <f t="shared" si="31"/>
        <v>0</v>
      </c>
      <c r="AJ76" s="6">
        <f t="shared" si="32"/>
        <v>0.2268817204301076</v>
      </c>
      <c r="AK76" s="6">
        <f t="shared" si="33"/>
        <v>0</v>
      </c>
      <c r="AL76" s="6">
        <f t="shared" si="34"/>
        <v>0</v>
      </c>
      <c r="AM76" s="6">
        <f t="shared" si="35"/>
        <v>0</v>
      </c>
      <c r="AN76" s="6">
        <f t="shared" si="36"/>
        <v>0</v>
      </c>
    </row>
    <row r="77" spans="1:40" ht="15.5" x14ac:dyDescent="0.35">
      <c r="A77" s="4" t="s">
        <v>214</v>
      </c>
      <c r="B77" s="4">
        <v>19</v>
      </c>
      <c r="C77">
        <v>5</v>
      </c>
      <c r="D77" s="4" t="s">
        <v>83</v>
      </c>
      <c r="E77" s="4">
        <v>-4.9462365591397828E-2</v>
      </c>
      <c r="F77">
        <f t="shared" si="19"/>
        <v>0.43978494623655928</v>
      </c>
      <c r="G77" s="7"/>
      <c r="H77" s="7"/>
      <c r="I77" s="7"/>
      <c r="J77" s="7"/>
      <c r="K77" s="7"/>
      <c r="L77" s="7"/>
      <c r="M77" s="7"/>
      <c r="N77" s="7"/>
      <c r="O77" s="6">
        <v>0.5</v>
      </c>
      <c r="P77" s="7"/>
      <c r="Q77" s="7"/>
      <c r="R77" s="7"/>
      <c r="S77" s="6">
        <v>0.5</v>
      </c>
      <c r="T77" s="7"/>
      <c r="U77" s="7"/>
      <c r="V77" s="7"/>
      <c r="W77" s="7"/>
      <c r="X77" s="6">
        <f t="shared" si="20"/>
        <v>0</v>
      </c>
      <c r="Y77" s="6">
        <f t="shared" si="21"/>
        <v>0</v>
      </c>
      <c r="Z77" s="6">
        <f t="shared" si="22"/>
        <v>0</v>
      </c>
      <c r="AA77" s="6">
        <f t="shared" si="23"/>
        <v>0</v>
      </c>
      <c r="AB77" s="6">
        <f t="shared" si="24"/>
        <v>0</v>
      </c>
      <c r="AC77" s="6">
        <f t="shared" si="25"/>
        <v>0</v>
      </c>
      <c r="AD77" s="6">
        <f t="shared" si="26"/>
        <v>0</v>
      </c>
      <c r="AE77" s="6">
        <f t="shared" si="27"/>
        <v>0</v>
      </c>
      <c r="AF77" s="6">
        <f t="shared" si="28"/>
        <v>0.21989247311827964</v>
      </c>
      <c r="AG77" s="6">
        <f t="shared" si="29"/>
        <v>0</v>
      </c>
      <c r="AH77" s="6">
        <f t="shared" si="30"/>
        <v>0</v>
      </c>
      <c r="AI77" s="6">
        <f t="shared" si="31"/>
        <v>0</v>
      </c>
      <c r="AJ77" s="6">
        <f t="shared" si="32"/>
        <v>0.21989247311827964</v>
      </c>
      <c r="AK77" s="6">
        <f t="shared" si="33"/>
        <v>0</v>
      </c>
      <c r="AL77" s="6">
        <f t="shared" si="34"/>
        <v>0</v>
      </c>
      <c r="AM77" s="6">
        <f t="shared" si="35"/>
        <v>0</v>
      </c>
      <c r="AN77" s="6">
        <f t="shared" si="36"/>
        <v>0</v>
      </c>
    </row>
    <row r="78" spans="1:40" ht="15.5" x14ac:dyDescent="0.35">
      <c r="A78" s="4" t="s">
        <v>214</v>
      </c>
      <c r="B78" s="4">
        <v>19</v>
      </c>
      <c r="C78">
        <v>4</v>
      </c>
      <c r="D78" s="4" t="s">
        <v>82</v>
      </c>
      <c r="E78" s="4">
        <v>-8.2795698924731154E-2</v>
      </c>
      <c r="F78">
        <f t="shared" si="19"/>
        <v>0.40645161290322596</v>
      </c>
      <c r="G78" s="7"/>
      <c r="H78" s="7"/>
      <c r="I78" s="7"/>
      <c r="J78" s="7"/>
      <c r="K78" s="7"/>
      <c r="L78" s="7"/>
      <c r="M78" s="7"/>
      <c r="N78" s="7"/>
      <c r="O78" s="6">
        <v>0.5</v>
      </c>
      <c r="P78" s="7"/>
      <c r="Q78" s="7"/>
      <c r="R78" s="7"/>
      <c r="S78" s="6">
        <v>0.5</v>
      </c>
      <c r="T78" s="7"/>
      <c r="U78" s="7"/>
      <c r="V78" s="7"/>
      <c r="W78" s="7"/>
      <c r="X78" s="6">
        <f t="shared" si="20"/>
        <v>0</v>
      </c>
      <c r="Y78" s="6">
        <f t="shared" si="21"/>
        <v>0</v>
      </c>
      <c r="Z78" s="6">
        <f t="shared" si="22"/>
        <v>0</v>
      </c>
      <c r="AA78" s="6">
        <f t="shared" si="23"/>
        <v>0</v>
      </c>
      <c r="AB78" s="6">
        <f t="shared" si="24"/>
        <v>0</v>
      </c>
      <c r="AC78" s="6">
        <f t="shared" si="25"/>
        <v>0</v>
      </c>
      <c r="AD78" s="6">
        <f t="shared" si="26"/>
        <v>0</v>
      </c>
      <c r="AE78" s="6">
        <f t="shared" si="27"/>
        <v>0</v>
      </c>
      <c r="AF78" s="6">
        <f t="shared" si="28"/>
        <v>0.20322580645161298</v>
      </c>
      <c r="AG78" s="6">
        <f t="shared" si="29"/>
        <v>0</v>
      </c>
      <c r="AH78" s="6">
        <f t="shared" si="30"/>
        <v>0</v>
      </c>
      <c r="AI78" s="6">
        <f t="shared" si="31"/>
        <v>0</v>
      </c>
      <c r="AJ78" s="6">
        <f t="shared" si="32"/>
        <v>0.20322580645161298</v>
      </c>
      <c r="AK78" s="6">
        <f t="shared" si="33"/>
        <v>0</v>
      </c>
      <c r="AL78" s="6">
        <f t="shared" si="34"/>
        <v>0</v>
      </c>
      <c r="AM78" s="6">
        <f t="shared" si="35"/>
        <v>0</v>
      </c>
      <c r="AN78" s="6">
        <f t="shared" si="36"/>
        <v>0</v>
      </c>
    </row>
    <row r="79" spans="1:40" ht="15.5" x14ac:dyDescent="0.35">
      <c r="A79" s="4" t="s">
        <v>214</v>
      </c>
      <c r="B79" s="4">
        <v>19</v>
      </c>
      <c r="C79">
        <v>1</v>
      </c>
      <c r="D79" s="4" t="s">
        <v>79</v>
      </c>
      <c r="E79" s="4">
        <v>-0.1387096774193548</v>
      </c>
      <c r="F79">
        <f t="shared" si="19"/>
        <v>0.35053763440860231</v>
      </c>
      <c r="G79" s="7"/>
      <c r="H79" s="7"/>
      <c r="I79" s="7"/>
      <c r="J79" s="7"/>
      <c r="K79" s="7"/>
      <c r="L79" s="7"/>
      <c r="M79" s="7"/>
      <c r="N79" s="7"/>
      <c r="O79" s="6">
        <v>0.5</v>
      </c>
      <c r="P79" s="7"/>
      <c r="Q79" s="7"/>
      <c r="R79" s="7"/>
      <c r="S79" s="6">
        <v>0.5</v>
      </c>
      <c r="T79" s="7"/>
      <c r="U79" s="7"/>
      <c r="V79" s="7"/>
      <c r="W79" s="7"/>
      <c r="X79" s="6">
        <f t="shared" si="20"/>
        <v>0</v>
      </c>
      <c r="Y79" s="6">
        <f t="shared" si="21"/>
        <v>0</v>
      </c>
      <c r="Z79" s="6">
        <f t="shared" si="22"/>
        <v>0</v>
      </c>
      <c r="AA79" s="6">
        <f t="shared" si="23"/>
        <v>0</v>
      </c>
      <c r="AB79" s="6">
        <f t="shared" si="24"/>
        <v>0</v>
      </c>
      <c r="AC79" s="6">
        <f t="shared" si="25"/>
        <v>0</v>
      </c>
      <c r="AD79" s="6">
        <f t="shared" si="26"/>
        <v>0</v>
      </c>
      <c r="AE79" s="6">
        <f t="shared" si="27"/>
        <v>0</v>
      </c>
      <c r="AF79" s="6">
        <f t="shared" si="28"/>
        <v>0.17526881720430115</v>
      </c>
      <c r="AG79" s="6">
        <f t="shared" si="29"/>
        <v>0</v>
      </c>
      <c r="AH79" s="6">
        <f t="shared" si="30"/>
        <v>0</v>
      </c>
      <c r="AI79" s="6">
        <f t="shared" si="31"/>
        <v>0</v>
      </c>
      <c r="AJ79" s="6">
        <f t="shared" si="32"/>
        <v>0.17526881720430115</v>
      </c>
      <c r="AK79" s="6">
        <f t="shared" si="33"/>
        <v>0</v>
      </c>
      <c r="AL79" s="6">
        <f t="shared" si="34"/>
        <v>0</v>
      </c>
      <c r="AM79" s="6">
        <f t="shared" si="35"/>
        <v>0</v>
      </c>
      <c r="AN79" s="6">
        <f t="shared" si="36"/>
        <v>0</v>
      </c>
    </row>
    <row r="80" spans="1:40" ht="15.5" x14ac:dyDescent="0.35">
      <c r="A80" s="4" t="s">
        <v>214</v>
      </c>
      <c r="B80" s="4">
        <v>20</v>
      </c>
      <c r="C80">
        <v>5</v>
      </c>
      <c r="D80" s="4" t="s">
        <v>88</v>
      </c>
      <c r="E80" s="4">
        <v>0.13655913978494624</v>
      </c>
      <c r="F80">
        <f t="shared" si="19"/>
        <v>0.62580645161290338</v>
      </c>
      <c r="G80" s="7"/>
      <c r="H80" s="7"/>
      <c r="I80" s="7"/>
      <c r="J80" s="7"/>
      <c r="K80" s="7"/>
      <c r="L80" s="7"/>
      <c r="M80" s="7"/>
      <c r="N80" s="7"/>
      <c r="O80" s="6">
        <v>0.5</v>
      </c>
      <c r="P80" s="7"/>
      <c r="Q80" s="7"/>
      <c r="R80" s="7"/>
      <c r="S80" s="6">
        <v>0.5</v>
      </c>
      <c r="T80" s="7"/>
      <c r="U80" s="7"/>
      <c r="V80" s="7"/>
      <c r="W80" s="7"/>
      <c r="X80" s="6">
        <f t="shared" si="20"/>
        <v>0</v>
      </c>
      <c r="Y80" s="6">
        <f t="shared" si="21"/>
        <v>0</v>
      </c>
      <c r="Z80" s="6">
        <f t="shared" si="22"/>
        <v>0</v>
      </c>
      <c r="AA80" s="6">
        <f t="shared" si="23"/>
        <v>0</v>
      </c>
      <c r="AB80" s="6">
        <f t="shared" si="24"/>
        <v>0</v>
      </c>
      <c r="AC80" s="6">
        <f t="shared" si="25"/>
        <v>0</v>
      </c>
      <c r="AD80" s="6">
        <f t="shared" si="26"/>
        <v>0</v>
      </c>
      <c r="AE80" s="6">
        <f t="shared" si="27"/>
        <v>0</v>
      </c>
      <c r="AF80" s="6">
        <f t="shared" si="28"/>
        <v>0.31290322580645169</v>
      </c>
      <c r="AG80" s="6">
        <f t="shared" si="29"/>
        <v>0</v>
      </c>
      <c r="AH80" s="6">
        <f t="shared" si="30"/>
        <v>0</v>
      </c>
      <c r="AI80" s="6">
        <f t="shared" si="31"/>
        <v>0</v>
      </c>
      <c r="AJ80" s="6">
        <f t="shared" si="32"/>
        <v>0.31290322580645169</v>
      </c>
      <c r="AK80" s="6">
        <f t="shared" si="33"/>
        <v>0</v>
      </c>
      <c r="AL80" s="6">
        <f t="shared" si="34"/>
        <v>0</v>
      </c>
      <c r="AM80" s="6">
        <f t="shared" si="35"/>
        <v>0</v>
      </c>
      <c r="AN80" s="6">
        <f t="shared" si="36"/>
        <v>0</v>
      </c>
    </row>
    <row r="81" spans="1:40" ht="15.5" x14ac:dyDescent="0.35">
      <c r="A81" s="4" t="s">
        <v>214</v>
      </c>
      <c r="B81" s="4">
        <v>20</v>
      </c>
      <c r="C81">
        <v>4</v>
      </c>
      <c r="D81" s="4" t="s">
        <v>87</v>
      </c>
      <c r="E81" s="4">
        <v>0.10322580645161289</v>
      </c>
      <c r="F81">
        <f t="shared" si="19"/>
        <v>0.59247311827956994</v>
      </c>
      <c r="G81" s="7"/>
      <c r="H81" s="7"/>
      <c r="I81" s="7"/>
      <c r="J81" s="7"/>
      <c r="K81" s="7"/>
      <c r="L81" s="7"/>
      <c r="M81" s="7"/>
      <c r="N81" s="7"/>
      <c r="O81" s="6">
        <v>0.5</v>
      </c>
      <c r="P81" s="7"/>
      <c r="Q81" s="7"/>
      <c r="R81" s="7"/>
      <c r="S81" s="6">
        <v>0.5</v>
      </c>
      <c r="T81" s="7"/>
      <c r="U81" s="7"/>
      <c r="V81" s="7"/>
      <c r="W81" s="7"/>
      <c r="X81" s="6">
        <f t="shared" si="20"/>
        <v>0</v>
      </c>
      <c r="Y81" s="6">
        <f t="shared" si="21"/>
        <v>0</v>
      </c>
      <c r="Z81" s="6">
        <f t="shared" si="22"/>
        <v>0</v>
      </c>
      <c r="AA81" s="6">
        <f t="shared" si="23"/>
        <v>0</v>
      </c>
      <c r="AB81" s="6">
        <f t="shared" si="24"/>
        <v>0</v>
      </c>
      <c r="AC81" s="6">
        <f t="shared" si="25"/>
        <v>0</v>
      </c>
      <c r="AD81" s="6">
        <f t="shared" si="26"/>
        <v>0</v>
      </c>
      <c r="AE81" s="6">
        <f t="shared" si="27"/>
        <v>0</v>
      </c>
      <c r="AF81" s="6">
        <f t="shared" si="28"/>
        <v>0.29623655913978497</v>
      </c>
      <c r="AG81" s="6">
        <f t="shared" si="29"/>
        <v>0</v>
      </c>
      <c r="AH81" s="6">
        <f t="shared" si="30"/>
        <v>0</v>
      </c>
      <c r="AI81" s="6">
        <f t="shared" si="31"/>
        <v>0</v>
      </c>
      <c r="AJ81" s="6">
        <f t="shared" si="32"/>
        <v>0.29623655913978497</v>
      </c>
      <c r="AK81" s="6">
        <f t="shared" si="33"/>
        <v>0</v>
      </c>
      <c r="AL81" s="6">
        <f t="shared" si="34"/>
        <v>0</v>
      </c>
      <c r="AM81" s="6">
        <f t="shared" si="35"/>
        <v>0</v>
      </c>
      <c r="AN81" s="6">
        <f t="shared" si="36"/>
        <v>0</v>
      </c>
    </row>
    <row r="82" spans="1:40" ht="15.5" x14ac:dyDescent="0.35">
      <c r="A82" s="4" t="s">
        <v>214</v>
      </c>
      <c r="B82" s="4">
        <v>20</v>
      </c>
      <c r="C82">
        <v>3</v>
      </c>
      <c r="D82" s="4" t="s">
        <v>86</v>
      </c>
      <c r="E82" s="4">
        <v>5.8064516129032295E-2</v>
      </c>
      <c r="F82">
        <f t="shared" si="19"/>
        <v>0.54731182795698941</v>
      </c>
      <c r="G82" s="7"/>
      <c r="H82" s="7"/>
      <c r="I82" s="7"/>
      <c r="J82" s="7"/>
      <c r="K82" s="7"/>
      <c r="L82" s="7"/>
      <c r="M82" s="7"/>
      <c r="N82" s="7"/>
      <c r="O82" s="6">
        <v>0.5</v>
      </c>
      <c r="P82" s="7"/>
      <c r="Q82" s="7"/>
      <c r="R82" s="7"/>
      <c r="S82" s="6">
        <v>0.5</v>
      </c>
      <c r="T82" s="7"/>
      <c r="U82" s="7"/>
      <c r="V82" s="7"/>
      <c r="W82" s="7"/>
      <c r="X82" s="6">
        <f t="shared" si="20"/>
        <v>0</v>
      </c>
      <c r="Y82" s="6">
        <f t="shared" si="21"/>
        <v>0</v>
      </c>
      <c r="Z82" s="6">
        <f t="shared" si="22"/>
        <v>0</v>
      </c>
      <c r="AA82" s="6">
        <f t="shared" si="23"/>
        <v>0</v>
      </c>
      <c r="AB82" s="6">
        <f t="shared" si="24"/>
        <v>0</v>
      </c>
      <c r="AC82" s="6">
        <f t="shared" si="25"/>
        <v>0</v>
      </c>
      <c r="AD82" s="6">
        <f t="shared" si="26"/>
        <v>0</v>
      </c>
      <c r="AE82" s="6">
        <f t="shared" si="27"/>
        <v>0</v>
      </c>
      <c r="AF82" s="6">
        <f t="shared" si="28"/>
        <v>0.2736559139784947</v>
      </c>
      <c r="AG82" s="6">
        <f t="shared" si="29"/>
        <v>0</v>
      </c>
      <c r="AH82" s="6">
        <f t="shared" si="30"/>
        <v>0</v>
      </c>
      <c r="AI82" s="6">
        <f t="shared" si="31"/>
        <v>0</v>
      </c>
      <c r="AJ82" s="6">
        <f t="shared" si="32"/>
        <v>0.2736559139784947</v>
      </c>
      <c r="AK82" s="6">
        <f t="shared" si="33"/>
        <v>0</v>
      </c>
      <c r="AL82" s="6">
        <f t="shared" si="34"/>
        <v>0</v>
      </c>
      <c r="AM82" s="6">
        <f t="shared" si="35"/>
        <v>0</v>
      </c>
      <c r="AN82" s="6">
        <f t="shared" si="36"/>
        <v>0</v>
      </c>
    </row>
    <row r="83" spans="1:40" ht="15.5" x14ac:dyDescent="0.35">
      <c r="A83" s="4" t="s">
        <v>214</v>
      </c>
      <c r="B83" s="4">
        <v>20</v>
      </c>
      <c r="C83">
        <v>1</v>
      </c>
      <c r="D83" s="4" t="s">
        <v>84</v>
      </c>
      <c r="E83" s="4">
        <v>4.7311827956989294E-2</v>
      </c>
      <c r="F83">
        <f t="shared" si="19"/>
        <v>0.5365591397849464</v>
      </c>
      <c r="G83" s="7"/>
      <c r="H83" s="7"/>
      <c r="I83" s="7"/>
      <c r="J83" s="7"/>
      <c r="K83" s="7"/>
      <c r="L83" s="7"/>
      <c r="M83" s="7"/>
      <c r="N83" s="7"/>
      <c r="O83" s="6">
        <v>0.5</v>
      </c>
      <c r="P83" s="7"/>
      <c r="Q83" s="7"/>
      <c r="R83" s="7"/>
      <c r="S83" s="6">
        <v>0.5</v>
      </c>
      <c r="T83" s="7"/>
      <c r="U83" s="7"/>
      <c r="V83" s="7"/>
      <c r="W83" s="7"/>
      <c r="X83" s="6">
        <f t="shared" si="20"/>
        <v>0</v>
      </c>
      <c r="Y83" s="6">
        <f t="shared" si="21"/>
        <v>0</v>
      </c>
      <c r="Z83" s="6">
        <f t="shared" si="22"/>
        <v>0</v>
      </c>
      <c r="AA83" s="6">
        <f t="shared" si="23"/>
        <v>0</v>
      </c>
      <c r="AB83" s="6">
        <f t="shared" si="24"/>
        <v>0</v>
      </c>
      <c r="AC83" s="6">
        <f t="shared" si="25"/>
        <v>0</v>
      </c>
      <c r="AD83" s="6">
        <f t="shared" si="26"/>
        <v>0</v>
      </c>
      <c r="AE83" s="6">
        <f t="shared" si="27"/>
        <v>0</v>
      </c>
      <c r="AF83" s="6">
        <f t="shared" si="28"/>
        <v>0.2682795698924732</v>
      </c>
      <c r="AG83" s="6">
        <f t="shared" si="29"/>
        <v>0</v>
      </c>
      <c r="AH83" s="6">
        <f t="shared" si="30"/>
        <v>0</v>
      </c>
      <c r="AI83" s="6">
        <f t="shared" si="31"/>
        <v>0</v>
      </c>
      <c r="AJ83" s="6">
        <f t="shared" si="32"/>
        <v>0.2682795698924732</v>
      </c>
      <c r="AK83" s="6">
        <f t="shared" si="33"/>
        <v>0</v>
      </c>
      <c r="AL83" s="6">
        <f t="shared" si="34"/>
        <v>0</v>
      </c>
      <c r="AM83" s="6">
        <f t="shared" si="35"/>
        <v>0</v>
      </c>
      <c r="AN83" s="6">
        <f t="shared" si="36"/>
        <v>0</v>
      </c>
    </row>
    <row r="84" spans="1:40" ht="15.5" x14ac:dyDescent="0.35">
      <c r="A84" s="4" t="s">
        <v>214</v>
      </c>
      <c r="B84" s="4">
        <v>20</v>
      </c>
      <c r="C84">
        <v>2</v>
      </c>
      <c r="D84" s="4" t="s">
        <v>85</v>
      </c>
      <c r="E84" s="4">
        <v>4.7311827956989294E-2</v>
      </c>
      <c r="F84">
        <f t="shared" si="19"/>
        <v>0.5365591397849464</v>
      </c>
      <c r="G84" s="7"/>
      <c r="H84" s="7"/>
      <c r="I84" s="7"/>
      <c r="J84" s="7"/>
      <c r="K84" s="7"/>
      <c r="L84" s="7"/>
      <c r="M84" s="7"/>
      <c r="N84" s="7"/>
      <c r="O84" s="6">
        <v>0.5</v>
      </c>
      <c r="P84" s="7"/>
      <c r="Q84" s="7"/>
      <c r="R84" s="7"/>
      <c r="S84" s="6">
        <v>0.5</v>
      </c>
      <c r="T84" s="7"/>
      <c r="U84" s="7"/>
      <c r="V84" s="7"/>
      <c r="W84" s="7"/>
      <c r="X84" s="6">
        <f t="shared" si="20"/>
        <v>0</v>
      </c>
      <c r="Y84" s="6">
        <f t="shared" si="21"/>
        <v>0</v>
      </c>
      <c r="Z84" s="6">
        <f t="shared" si="22"/>
        <v>0</v>
      </c>
      <c r="AA84" s="6">
        <f t="shared" si="23"/>
        <v>0</v>
      </c>
      <c r="AB84" s="6">
        <f t="shared" si="24"/>
        <v>0</v>
      </c>
      <c r="AC84" s="6">
        <f t="shared" si="25"/>
        <v>0</v>
      </c>
      <c r="AD84" s="6">
        <f t="shared" si="26"/>
        <v>0</v>
      </c>
      <c r="AE84" s="6">
        <f t="shared" si="27"/>
        <v>0</v>
      </c>
      <c r="AF84" s="6">
        <f t="shared" si="28"/>
        <v>0.2682795698924732</v>
      </c>
      <c r="AG84" s="6">
        <f t="shared" si="29"/>
        <v>0</v>
      </c>
      <c r="AH84" s="6">
        <f t="shared" si="30"/>
        <v>0</v>
      </c>
      <c r="AI84" s="6">
        <f t="shared" si="31"/>
        <v>0</v>
      </c>
      <c r="AJ84" s="6">
        <f t="shared" si="32"/>
        <v>0.2682795698924732</v>
      </c>
      <c r="AK84" s="6">
        <f t="shared" si="33"/>
        <v>0</v>
      </c>
      <c r="AL84" s="6">
        <f t="shared" si="34"/>
        <v>0</v>
      </c>
      <c r="AM84" s="6">
        <f t="shared" si="35"/>
        <v>0</v>
      </c>
      <c r="AN84" s="6">
        <f t="shared" si="36"/>
        <v>0</v>
      </c>
    </row>
    <row r="85" spans="1:40" ht="15.5" x14ac:dyDescent="0.35">
      <c r="A85" s="4" t="s">
        <v>215</v>
      </c>
      <c r="B85" s="4">
        <v>21</v>
      </c>
      <c r="C85">
        <v>4</v>
      </c>
      <c r="D85" s="4" t="s">
        <v>89</v>
      </c>
      <c r="E85" s="4">
        <v>-0.32580645161290334</v>
      </c>
      <c r="F85">
        <f t="shared" si="19"/>
        <v>0.16344086021505377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6">
        <v>1</v>
      </c>
      <c r="T85" s="7"/>
      <c r="U85" s="7"/>
      <c r="V85" s="7"/>
      <c r="W85" s="7"/>
      <c r="X85" s="6">
        <f t="shared" si="20"/>
        <v>0</v>
      </c>
      <c r="Y85" s="6">
        <f t="shared" si="21"/>
        <v>0</v>
      </c>
      <c r="Z85" s="6">
        <f t="shared" si="22"/>
        <v>0</v>
      </c>
      <c r="AA85" s="6">
        <f t="shared" si="23"/>
        <v>0</v>
      </c>
      <c r="AB85" s="6">
        <f t="shared" si="24"/>
        <v>0</v>
      </c>
      <c r="AC85" s="6">
        <f t="shared" si="25"/>
        <v>0</v>
      </c>
      <c r="AD85" s="6">
        <f t="shared" si="26"/>
        <v>0</v>
      </c>
      <c r="AE85" s="6">
        <f t="shared" si="27"/>
        <v>0</v>
      </c>
      <c r="AF85" s="6">
        <f t="shared" si="28"/>
        <v>0</v>
      </c>
      <c r="AG85" s="6">
        <f t="shared" si="29"/>
        <v>0</v>
      </c>
      <c r="AH85" s="6">
        <f t="shared" si="30"/>
        <v>0</v>
      </c>
      <c r="AI85" s="6">
        <f t="shared" si="31"/>
        <v>0</v>
      </c>
      <c r="AJ85" s="6">
        <f t="shared" si="32"/>
        <v>0.16344086021505377</v>
      </c>
      <c r="AK85" s="6">
        <f t="shared" si="33"/>
        <v>0</v>
      </c>
      <c r="AL85" s="6">
        <f t="shared" si="34"/>
        <v>0</v>
      </c>
      <c r="AM85" s="6">
        <f t="shared" si="35"/>
        <v>0</v>
      </c>
      <c r="AN85" s="6">
        <f t="shared" si="36"/>
        <v>0</v>
      </c>
    </row>
    <row r="86" spans="1:40" ht="15.5" x14ac:dyDescent="0.35">
      <c r="A86" s="4" t="s">
        <v>215</v>
      </c>
      <c r="B86" s="4">
        <v>21</v>
      </c>
      <c r="C86">
        <v>5</v>
      </c>
      <c r="D86" s="4" t="s">
        <v>90</v>
      </c>
      <c r="E86" s="4">
        <v>-0.36881720430107523</v>
      </c>
      <c r="F86">
        <f t="shared" si="19"/>
        <v>0.12043010752688188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6">
        <v>1</v>
      </c>
      <c r="T86" s="7"/>
      <c r="U86" s="7"/>
      <c r="V86" s="7"/>
      <c r="W86" s="7"/>
      <c r="X86" s="6">
        <f t="shared" si="20"/>
        <v>0</v>
      </c>
      <c r="Y86" s="6">
        <f t="shared" si="21"/>
        <v>0</v>
      </c>
      <c r="Z86" s="6">
        <f t="shared" si="22"/>
        <v>0</v>
      </c>
      <c r="AA86" s="6">
        <f t="shared" si="23"/>
        <v>0</v>
      </c>
      <c r="AB86" s="6">
        <f t="shared" si="24"/>
        <v>0</v>
      </c>
      <c r="AC86" s="6">
        <f t="shared" si="25"/>
        <v>0</v>
      </c>
      <c r="AD86" s="6">
        <f t="shared" si="26"/>
        <v>0</v>
      </c>
      <c r="AE86" s="6">
        <f t="shared" si="27"/>
        <v>0</v>
      </c>
      <c r="AF86" s="6">
        <f t="shared" si="28"/>
        <v>0</v>
      </c>
      <c r="AG86" s="6">
        <f t="shared" si="29"/>
        <v>0</v>
      </c>
      <c r="AH86" s="6">
        <f t="shared" si="30"/>
        <v>0</v>
      </c>
      <c r="AI86" s="6">
        <f t="shared" si="31"/>
        <v>0</v>
      </c>
      <c r="AJ86" s="6">
        <f t="shared" si="32"/>
        <v>0.12043010752688188</v>
      </c>
      <c r="AK86" s="6">
        <f t="shared" si="33"/>
        <v>0</v>
      </c>
      <c r="AL86" s="6">
        <f t="shared" si="34"/>
        <v>0</v>
      </c>
      <c r="AM86" s="6">
        <f t="shared" si="35"/>
        <v>0</v>
      </c>
      <c r="AN86" s="6">
        <f t="shared" si="36"/>
        <v>0</v>
      </c>
    </row>
    <row r="87" spans="1:40" ht="15.5" x14ac:dyDescent="0.35">
      <c r="A87" s="4" t="s">
        <v>214</v>
      </c>
      <c r="B87" s="4">
        <v>22</v>
      </c>
      <c r="C87">
        <v>4</v>
      </c>
      <c r="D87" s="4" t="s">
        <v>94</v>
      </c>
      <c r="E87" s="4">
        <v>-0.25376344086021507</v>
      </c>
      <c r="F87">
        <f t="shared" si="19"/>
        <v>0.23548387096774204</v>
      </c>
      <c r="G87" s="7"/>
      <c r="H87" s="7"/>
      <c r="I87" s="7"/>
      <c r="J87" s="6">
        <v>0.5</v>
      </c>
      <c r="K87" s="7"/>
      <c r="L87" s="6">
        <v>0.5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6">
        <f t="shared" si="20"/>
        <v>0</v>
      </c>
      <c r="Y87" s="6">
        <f t="shared" si="21"/>
        <v>0</v>
      </c>
      <c r="Z87" s="6">
        <f t="shared" si="22"/>
        <v>0</v>
      </c>
      <c r="AA87" s="6">
        <f t="shared" si="23"/>
        <v>0.11774193548387102</v>
      </c>
      <c r="AB87" s="6">
        <f t="shared" si="24"/>
        <v>0</v>
      </c>
      <c r="AC87" s="6">
        <f t="shared" si="25"/>
        <v>0.11774193548387102</v>
      </c>
      <c r="AD87" s="6">
        <f t="shared" si="26"/>
        <v>0</v>
      </c>
      <c r="AE87" s="6">
        <f t="shared" si="27"/>
        <v>0</v>
      </c>
      <c r="AF87" s="6">
        <f t="shared" si="28"/>
        <v>0</v>
      </c>
      <c r="AG87" s="6">
        <f t="shared" si="29"/>
        <v>0</v>
      </c>
      <c r="AH87" s="6">
        <f t="shared" si="30"/>
        <v>0</v>
      </c>
      <c r="AI87" s="6">
        <f t="shared" si="31"/>
        <v>0</v>
      </c>
      <c r="AJ87" s="6">
        <f t="shared" si="32"/>
        <v>0</v>
      </c>
      <c r="AK87" s="6">
        <f t="shared" si="33"/>
        <v>0</v>
      </c>
      <c r="AL87" s="6">
        <f t="shared" si="34"/>
        <v>0</v>
      </c>
      <c r="AM87" s="6">
        <f t="shared" si="35"/>
        <v>0</v>
      </c>
      <c r="AN87" s="6">
        <f t="shared" si="36"/>
        <v>0</v>
      </c>
    </row>
    <row r="88" spans="1:40" ht="15.5" x14ac:dyDescent="0.35">
      <c r="A88" s="4" t="s">
        <v>214</v>
      </c>
      <c r="B88" s="4">
        <v>22</v>
      </c>
      <c r="C88">
        <v>3</v>
      </c>
      <c r="D88" s="4" t="s">
        <v>93</v>
      </c>
      <c r="E88" s="4">
        <v>-0.29892473118279572</v>
      </c>
      <c r="F88">
        <f t="shared" si="19"/>
        <v>0.19032258064516139</v>
      </c>
      <c r="G88" s="7"/>
      <c r="H88" s="7"/>
      <c r="I88" s="7"/>
      <c r="J88" s="6">
        <v>0.5</v>
      </c>
      <c r="K88" s="7"/>
      <c r="L88" s="6">
        <v>0.5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6">
        <f t="shared" si="20"/>
        <v>0</v>
      </c>
      <c r="Y88" s="6">
        <f t="shared" si="21"/>
        <v>0</v>
      </c>
      <c r="Z88" s="6">
        <f t="shared" si="22"/>
        <v>0</v>
      </c>
      <c r="AA88" s="6">
        <f t="shared" si="23"/>
        <v>9.5161290322580694E-2</v>
      </c>
      <c r="AB88" s="6">
        <f t="shared" si="24"/>
        <v>0</v>
      </c>
      <c r="AC88" s="6">
        <f t="shared" si="25"/>
        <v>9.5161290322580694E-2</v>
      </c>
      <c r="AD88" s="6">
        <f t="shared" si="26"/>
        <v>0</v>
      </c>
      <c r="AE88" s="6">
        <f t="shared" si="27"/>
        <v>0</v>
      </c>
      <c r="AF88" s="6">
        <f t="shared" si="28"/>
        <v>0</v>
      </c>
      <c r="AG88" s="6">
        <f t="shared" si="29"/>
        <v>0</v>
      </c>
      <c r="AH88" s="6">
        <f t="shared" si="30"/>
        <v>0</v>
      </c>
      <c r="AI88" s="6">
        <f t="shared" si="31"/>
        <v>0</v>
      </c>
      <c r="AJ88" s="6">
        <f t="shared" si="32"/>
        <v>0</v>
      </c>
      <c r="AK88" s="6">
        <f t="shared" si="33"/>
        <v>0</v>
      </c>
      <c r="AL88" s="6">
        <f t="shared" si="34"/>
        <v>0</v>
      </c>
      <c r="AM88" s="6">
        <f t="shared" si="35"/>
        <v>0</v>
      </c>
      <c r="AN88" s="6">
        <f t="shared" si="36"/>
        <v>0</v>
      </c>
    </row>
    <row r="89" spans="1:40" ht="15.5" x14ac:dyDescent="0.35">
      <c r="A89" s="4" t="s">
        <v>214</v>
      </c>
      <c r="B89" s="4">
        <v>22</v>
      </c>
      <c r="C89">
        <v>1</v>
      </c>
      <c r="D89" s="4" t="s">
        <v>91</v>
      </c>
      <c r="E89" s="4">
        <v>-0.30967741935483872</v>
      </c>
      <c r="F89">
        <f t="shared" si="19"/>
        <v>0.17956989247311839</v>
      </c>
      <c r="G89" s="7"/>
      <c r="H89" s="7"/>
      <c r="I89" s="7"/>
      <c r="J89" s="6">
        <v>0.5</v>
      </c>
      <c r="K89" s="7"/>
      <c r="L89" s="6">
        <v>0.5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6">
        <f t="shared" si="20"/>
        <v>0</v>
      </c>
      <c r="Y89" s="6">
        <f t="shared" si="21"/>
        <v>0</v>
      </c>
      <c r="Z89" s="6">
        <f t="shared" si="22"/>
        <v>0</v>
      </c>
      <c r="AA89" s="6">
        <f t="shared" si="23"/>
        <v>8.9784946236559193E-2</v>
      </c>
      <c r="AB89" s="6">
        <f t="shared" si="24"/>
        <v>0</v>
      </c>
      <c r="AC89" s="6">
        <f t="shared" si="25"/>
        <v>8.9784946236559193E-2</v>
      </c>
      <c r="AD89" s="6">
        <f t="shared" si="26"/>
        <v>0</v>
      </c>
      <c r="AE89" s="6">
        <f t="shared" si="27"/>
        <v>0</v>
      </c>
      <c r="AF89" s="6">
        <f t="shared" si="28"/>
        <v>0</v>
      </c>
      <c r="AG89" s="6">
        <f t="shared" si="29"/>
        <v>0</v>
      </c>
      <c r="AH89" s="6">
        <f t="shared" si="30"/>
        <v>0</v>
      </c>
      <c r="AI89" s="6">
        <f t="shared" si="31"/>
        <v>0</v>
      </c>
      <c r="AJ89" s="6">
        <f t="shared" si="32"/>
        <v>0</v>
      </c>
      <c r="AK89" s="6">
        <f t="shared" si="33"/>
        <v>0</v>
      </c>
      <c r="AL89" s="6">
        <f t="shared" si="34"/>
        <v>0</v>
      </c>
      <c r="AM89" s="6">
        <f t="shared" si="35"/>
        <v>0</v>
      </c>
      <c r="AN89" s="6">
        <f t="shared" si="36"/>
        <v>0</v>
      </c>
    </row>
    <row r="90" spans="1:40" ht="15.5" x14ac:dyDescent="0.35">
      <c r="A90" s="4" t="s">
        <v>214</v>
      </c>
      <c r="B90" s="4">
        <v>22</v>
      </c>
      <c r="C90">
        <v>2</v>
      </c>
      <c r="D90" s="4" t="s">
        <v>92</v>
      </c>
      <c r="E90" s="4">
        <v>-0.30967741935483872</v>
      </c>
      <c r="F90">
        <f t="shared" si="19"/>
        <v>0.17956989247311839</v>
      </c>
      <c r="G90" s="7"/>
      <c r="H90" s="7"/>
      <c r="I90" s="7"/>
      <c r="J90" s="6">
        <v>0.5</v>
      </c>
      <c r="K90" s="7"/>
      <c r="L90" s="6">
        <v>0.5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6">
        <f t="shared" si="20"/>
        <v>0</v>
      </c>
      <c r="Y90" s="6">
        <f t="shared" si="21"/>
        <v>0</v>
      </c>
      <c r="Z90" s="6">
        <f t="shared" si="22"/>
        <v>0</v>
      </c>
      <c r="AA90" s="6">
        <f t="shared" si="23"/>
        <v>8.9784946236559193E-2</v>
      </c>
      <c r="AB90" s="6">
        <f t="shared" si="24"/>
        <v>0</v>
      </c>
      <c r="AC90" s="6">
        <f t="shared" si="25"/>
        <v>8.9784946236559193E-2</v>
      </c>
      <c r="AD90" s="6">
        <f t="shared" si="26"/>
        <v>0</v>
      </c>
      <c r="AE90" s="6">
        <f t="shared" si="27"/>
        <v>0</v>
      </c>
      <c r="AF90" s="6">
        <f t="shared" si="28"/>
        <v>0</v>
      </c>
      <c r="AG90" s="6">
        <f t="shared" si="29"/>
        <v>0</v>
      </c>
      <c r="AH90" s="6">
        <f t="shared" si="30"/>
        <v>0</v>
      </c>
      <c r="AI90" s="6">
        <f t="shared" si="31"/>
        <v>0</v>
      </c>
      <c r="AJ90" s="6">
        <f t="shared" si="32"/>
        <v>0</v>
      </c>
      <c r="AK90" s="6">
        <f t="shared" si="33"/>
        <v>0</v>
      </c>
      <c r="AL90" s="6">
        <f t="shared" si="34"/>
        <v>0</v>
      </c>
      <c r="AM90" s="6">
        <f t="shared" si="35"/>
        <v>0</v>
      </c>
      <c r="AN90" s="6">
        <f t="shared" si="36"/>
        <v>0</v>
      </c>
    </row>
    <row r="91" spans="1:40" ht="15.5" x14ac:dyDescent="0.35">
      <c r="A91" s="4" t="s">
        <v>214</v>
      </c>
      <c r="B91" s="4">
        <v>22</v>
      </c>
      <c r="C91">
        <v>5</v>
      </c>
      <c r="D91" s="4" t="s">
        <v>95</v>
      </c>
      <c r="E91" s="4">
        <v>-0.31612903225806455</v>
      </c>
      <c r="F91">
        <f t="shared" si="19"/>
        <v>0.17311827956989256</v>
      </c>
      <c r="G91" s="7"/>
      <c r="H91" s="7"/>
      <c r="I91" s="7"/>
      <c r="J91" s="6">
        <v>0.5</v>
      </c>
      <c r="K91" s="7"/>
      <c r="L91" s="6">
        <v>0.5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6">
        <f t="shared" si="20"/>
        <v>0</v>
      </c>
      <c r="Y91" s="6">
        <f t="shared" si="21"/>
        <v>0</v>
      </c>
      <c r="Z91" s="6">
        <f t="shared" si="22"/>
        <v>0</v>
      </c>
      <c r="AA91" s="6">
        <f t="shared" si="23"/>
        <v>8.6559139784946282E-2</v>
      </c>
      <c r="AB91" s="6">
        <f t="shared" si="24"/>
        <v>0</v>
      </c>
      <c r="AC91" s="6">
        <f t="shared" si="25"/>
        <v>8.6559139784946282E-2</v>
      </c>
      <c r="AD91" s="6">
        <f t="shared" si="26"/>
        <v>0</v>
      </c>
      <c r="AE91" s="6">
        <f t="shared" si="27"/>
        <v>0</v>
      </c>
      <c r="AF91" s="6">
        <f t="shared" si="28"/>
        <v>0</v>
      </c>
      <c r="AG91" s="6">
        <f t="shared" si="29"/>
        <v>0</v>
      </c>
      <c r="AH91" s="6">
        <f t="shared" si="30"/>
        <v>0</v>
      </c>
      <c r="AI91" s="6">
        <f t="shared" si="31"/>
        <v>0</v>
      </c>
      <c r="AJ91" s="6">
        <f t="shared" si="32"/>
        <v>0</v>
      </c>
      <c r="AK91" s="6">
        <f t="shared" si="33"/>
        <v>0</v>
      </c>
      <c r="AL91" s="6">
        <f t="shared" si="34"/>
        <v>0</v>
      </c>
      <c r="AM91" s="6">
        <f t="shared" si="35"/>
        <v>0</v>
      </c>
      <c r="AN91" s="6">
        <f t="shared" si="36"/>
        <v>0</v>
      </c>
    </row>
    <row r="92" spans="1:40" ht="15.5" x14ac:dyDescent="0.35">
      <c r="A92" s="4" t="s">
        <v>214</v>
      </c>
      <c r="B92" s="4">
        <v>23</v>
      </c>
      <c r="C92">
        <v>4</v>
      </c>
      <c r="D92" s="4" t="s">
        <v>99</v>
      </c>
      <c r="E92" s="4">
        <v>-6.7741935483870974E-2</v>
      </c>
      <c r="F92">
        <f t="shared" si="19"/>
        <v>0.42150537634408614</v>
      </c>
      <c r="G92" s="7"/>
      <c r="H92" s="7"/>
      <c r="I92" s="7"/>
      <c r="J92" s="6">
        <v>0.5</v>
      </c>
      <c r="K92" s="7"/>
      <c r="L92" s="6">
        <v>0.5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6">
        <f t="shared" si="20"/>
        <v>0</v>
      </c>
      <c r="Y92" s="6">
        <f t="shared" si="21"/>
        <v>0</v>
      </c>
      <c r="Z92" s="6">
        <f t="shared" si="22"/>
        <v>0</v>
      </c>
      <c r="AA92" s="6">
        <f t="shared" si="23"/>
        <v>0.21075268817204307</v>
      </c>
      <c r="AB92" s="6">
        <f t="shared" si="24"/>
        <v>0</v>
      </c>
      <c r="AC92" s="6">
        <f t="shared" si="25"/>
        <v>0.21075268817204307</v>
      </c>
      <c r="AD92" s="6">
        <f t="shared" si="26"/>
        <v>0</v>
      </c>
      <c r="AE92" s="6">
        <f t="shared" si="27"/>
        <v>0</v>
      </c>
      <c r="AF92" s="6">
        <f t="shared" si="28"/>
        <v>0</v>
      </c>
      <c r="AG92" s="6">
        <f t="shared" si="29"/>
        <v>0</v>
      </c>
      <c r="AH92" s="6">
        <f t="shared" si="30"/>
        <v>0</v>
      </c>
      <c r="AI92" s="6">
        <f t="shared" si="31"/>
        <v>0</v>
      </c>
      <c r="AJ92" s="6">
        <f t="shared" si="32"/>
        <v>0</v>
      </c>
      <c r="AK92" s="6">
        <f t="shared" si="33"/>
        <v>0</v>
      </c>
      <c r="AL92" s="6">
        <f t="shared" si="34"/>
        <v>0</v>
      </c>
      <c r="AM92" s="6">
        <f t="shared" si="35"/>
        <v>0</v>
      </c>
      <c r="AN92" s="6">
        <f t="shared" si="36"/>
        <v>0</v>
      </c>
    </row>
    <row r="93" spans="1:40" ht="15.5" x14ac:dyDescent="0.35">
      <c r="A93" s="4" t="s">
        <v>214</v>
      </c>
      <c r="B93" s="4">
        <v>23</v>
      </c>
      <c r="C93">
        <v>3</v>
      </c>
      <c r="D93" s="4" t="s">
        <v>98</v>
      </c>
      <c r="E93" s="4">
        <v>-0.11290322580645157</v>
      </c>
      <c r="F93">
        <f t="shared" si="19"/>
        <v>0.37634408602150554</v>
      </c>
      <c r="G93" s="7"/>
      <c r="H93" s="7"/>
      <c r="I93" s="7"/>
      <c r="J93" s="6">
        <v>0.5</v>
      </c>
      <c r="K93" s="7"/>
      <c r="L93" s="6">
        <v>0.5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6">
        <f t="shared" si="20"/>
        <v>0</v>
      </c>
      <c r="Y93" s="6">
        <f t="shared" si="21"/>
        <v>0</v>
      </c>
      <c r="Z93" s="6">
        <f t="shared" si="22"/>
        <v>0</v>
      </c>
      <c r="AA93" s="6">
        <f t="shared" si="23"/>
        <v>0.18817204301075277</v>
      </c>
      <c r="AB93" s="6">
        <f t="shared" si="24"/>
        <v>0</v>
      </c>
      <c r="AC93" s="6">
        <f t="shared" si="25"/>
        <v>0.18817204301075277</v>
      </c>
      <c r="AD93" s="6">
        <f t="shared" si="26"/>
        <v>0</v>
      </c>
      <c r="AE93" s="6">
        <f t="shared" si="27"/>
        <v>0</v>
      </c>
      <c r="AF93" s="6">
        <f t="shared" si="28"/>
        <v>0</v>
      </c>
      <c r="AG93" s="6">
        <f t="shared" si="29"/>
        <v>0</v>
      </c>
      <c r="AH93" s="6">
        <f t="shared" si="30"/>
        <v>0</v>
      </c>
      <c r="AI93" s="6">
        <f t="shared" si="31"/>
        <v>0</v>
      </c>
      <c r="AJ93" s="6">
        <f t="shared" si="32"/>
        <v>0</v>
      </c>
      <c r="AK93" s="6">
        <f t="shared" si="33"/>
        <v>0</v>
      </c>
      <c r="AL93" s="6">
        <f t="shared" si="34"/>
        <v>0</v>
      </c>
      <c r="AM93" s="6">
        <f t="shared" si="35"/>
        <v>0</v>
      </c>
      <c r="AN93" s="6">
        <f t="shared" si="36"/>
        <v>0</v>
      </c>
    </row>
    <row r="94" spans="1:40" ht="15.5" x14ac:dyDescent="0.35">
      <c r="A94" s="4" t="s">
        <v>214</v>
      </c>
      <c r="B94" s="4">
        <v>23</v>
      </c>
      <c r="C94">
        <v>1</v>
      </c>
      <c r="D94" s="4" t="s">
        <v>96</v>
      </c>
      <c r="E94" s="4">
        <v>-0.12365591397849462</v>
      </c>
      <c r="F94">
        <f t="shared" si="19"/>
        <v>0.36559139784946248</v>
      </c>
      <c r="G94" s="7"/>
      <c r="H94" s="7"/>
      <c r="I94" s="7"/>
      <c r="J94" s="6">
        <v>0.5</v>
      </c>
      <c r="K94" s="7"/>
      <c r="L94" s="6">
        <v>0.5</v>
      </c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6">
        <f t="shared" si="20"/>
        <v>0</v>
      </c>
      <c r="Y94" s="6">
        <f t="shared" si="21"/>
        <v>0</v>
      </c>
      <c r="Z94" s="6">
        <f t="shared" si="22"/>
        <v>0</v>
      </c>
      <c r="AA94" s="6">
        <f t="shared" si="23"/>
        <v>0.18279569892473124</v>
      </c>
      <c r="AB94" s="6">
        <f t="shared" si="24"/>
        <v>0</v>
      </c>
      <c r="AC94" s="6">
        <f t="shared" si="25"/>
        <v>0.18279569892473124</v>
      </c>
      <c r="AD94" s="6">
        <f t="shared" si="26"/>
        <v>0</v>
      </c>
      <c r="AE94" s="6">
        <f t="shared" si="27"/>
        <v>0</v>
      </c>
      <c r="AF94" s="6">
        <f t="shared" si="28"/>
        <v>0</v>
      </c>
      <c r="AG94" s="6">
        <f t="shared" si="29"/>
        <v>0</v>
      </c>
      <c r="AH94" s="6">
        <f t="shared" si="30"/>
        <v>0</v>
      </c>
      <c r="AI94" s="6">
        <f t="shared" si="31"/>
        <v>0</v>
      </c>
      <c r="AJ94" s="6">
        <f t="shared" si="32"/>
        <v>0</v>
      </c>
      <c r="AK94" s="6">
        <f t="shared" si="33"/>
        <v>0</v>
      </c>
      <c r="AL94" s="6">
        <f t="shared" si="34"/>
        <v>0</v>
      </c>
      <c r="AM94" s="6">
        <f t="shared" si="35"/>
        <v>0</v>
      </c>
      <c r="AN94" s="6">
        <f t="shared" si="36"/>
        <v>0</v>
      </c>
    </row>
    <row r="95" spans="1:40" ht="15.5" x14ac:dyDescent="0.35">
      <c r="A95" s="4" t="s">
        <v>214</v>
      </c>
      <c r="B95" s="4">
        <v>23</v>
      </c>
      <c r="C95">
        <v>2</v>
      </c>
      <c r="D95" s="4" t="s">
        <v>97</v>
      </c>
      <c r="E95" s="4">
        <v>-0.12365591397849462</v>
      </c>
      <c r="F95">
        <f t="shared" si="19"/>
        <v>0.36559139784946248</v>
      </c>
      <c r="G95" s="7"/>
      <c r="H95" s="7"/>
      <c r="I95" s="7"/>
      <c r="J95" s="6">
        <v>0.5</v>
      </c>
      <c r="K95" s="7"/>
      <c r="L95" s="6">
        <v>0.5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6">
        <f t="shared" si="20"/>
        <v>0</v>
      </c>
      <c r="Y95" s="6">
        <f t="shared" si="21"/>
        <v>0</v>
      </c>
      <c r="Z95" s="6">
        <f t="shared" si="22"/>
        <v>0</v>
      </c>
      <c r="AA95" s="6">
        <f t="shared" si="23"/>
        <v>0.18279569892473124</v>
      </c>
      <c r="AB95" s="6">
        <f t="shared" si="24"/>
        <v>0</v>
      </c>
      <c r="AC95" s="6">
        <f t="shared" si="25"/>
        <v>0.18279569892473124</v>
      </c>
      <c r="AD95" s="6">
        <f t="shared" si="26"/>
        <v>0</v>
      </c>
      <c r="AE95" s="6">
        <f t="shared" si="27"/>
        <v>0</v>
      </c>
      <c r="AF95" s="6">
        <f t="shared" si="28"/>
        <v>0</v>
      </c>
      <c r="AG95" s="6">
        <f t="shared" si="29"/>
        <v>0</v>
      </c>
      <c r="AH95" s="6">
        <f t="shared" si="30"/>
        <v>0</v>
      </c>
      <c r="AI95" s="6">
        <f t="shared" si="31"/>
        <v>0</v>
      </c>
      <c r="AJ95" s="6">
        <f t="shared" si="32"/>
        <v>0</v>
      </c>
      <c r="AK95" s="6">
        <f t="shared" si="33"/>
        <v>0</v>
      </c>
      <c r="AL95" s="6">
        <f t="shared" si="34"/>
        <v>0</v>
      </c>
      <c r="AM95" s="6">
        <f t="shared" si="35"/>
        <v>0</v>
      </c>
      <c r="AN95" s="6">
        <f t="shared" si="36"/>
        <v>0</v>
      </c>
    </row>
    <row r="96" spans="1:40" ht="15.5" x14ac:dyDescent="0.35">
      <c r="A96" s="4" t="s">
        <v>214</v>
      </c>
      <c r="B96" s="4">
        <v>23</v>
      </c>
      <c r="C96">
        <v>5</v>
      </c>
      <c r="D96" s="4" t="s">
        <v>100</v>
      </c>
      <c r="E96" s="4">
        <v>-0.13010752688172039</v>
      </c>
      <c r="F96">
        <f t="shared" si="19"/>
        <v>0.35913978494623672</v>
      </c>
      <c r="G96" s="7"/>
      <c r="H96" s="7"/>
      <c r="I96" s="7"/>
      <c r="J96" s="6">
        <v>0.5</v>
      </c>
      <c r="K96" s="7"/>
      <c r="L96" s="6">
        <v>0.5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6">
        <f t="shared" si="20"/>
        <v>0</v>
      </c>
      <c r="Y96" s="6">
        <f t="shared" si="21"/>
        <v>0</v>
      </c>
      <c r="Z96" s="6">
        <f t="shared" si="22"/>
        <v>0</v>
      </c>
      <c r="AA96" s="6">
        <f t="shared" si="23"/>
        <v>0.17956989247311836</v>
      </c>
      <c r="AB96" s="6">
        <f t="shared" si="24"/>
        <v>0</v>
      </c>
      <c r="AC96" s="6">
        <f t="shared" si="25"/>
        <v>0.17956989247311836</v>
      </c>
      <c r="AD96" s="6">
        <f t="shared" si="26"/>
        <v>0</v>
      </c>
      <c r="AE96" s="6">
        <f t="shared" si="27"/>
        <v>0</v>
      </c>
      <c r="AF96" s="6">
        <f t="shared" si="28"/>
        <v>0</v>
      </c>
      <c r="AG96" s="6">
        <f t="shared" si="29"/>
        <v>0</v>
      </c>
      <c r="AH96" s="6">
        <f t="shared" si="30"/>
        <v>0</v>
      </c>
      <c r="AI96" s="6">
        <f t="shared" si="31"/>
        <v>0</v>
      </c>
      <c r="AJ96" s="6">
        <f t="shared" si="32"/>
        <v>0</v>
      </c>
      <c r="AK96" s="6">
        <f t="shared" si="33"/>
        <v>0</v>
      </c>
      <c r="AL96" s="6">
        <f t="shared" si="34"/>
        <v>0</v>
      </c>
      <c r="AM96" s="6">
        <f t="shared" si="35"/>
        <v>0</v>
      </c>
      <c r="AN96" s="6">
        <f t="shared" si="36"/>
        <v>0</v>
      </c>
    </row>
    <row r="97" spans="1:40" ht="15.5" x14ac:dyDescent="0.35">
      <c r="A97" s="4" t="s">
        <v>214</v>
      </c>
      <c r="B97" s="4">
        <v>24</v>
      </c>
      <c r="C97">
        <v>5</v>
      </c>
      <c r="D97" s="4" t="s">
        <v>105</v>
      </c>
      <c r="E97" s="4">
        <v>0.12688172043010754</v>
      </c>
      <c r="F97">
        <f t="shared" si="19"/>
        <v>0.61612903225806459</v>
      </c>
      <c r="G97" s="7"/>
      <c r="H97" s="7"/>
      <c r="I97" s="7"/>
      <c r="J97" s="6">
        <v>0.33</v>
      </c>
      <c r="K97" s="6">
        <v>0.33</v>
      </c>
      <c r="L97" s="6">
        <v>0.33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6">
        <f t="shared" si="20"/>
        <v>0</v>
      </c>
      <c r="Y97" s="6">
        <f t="shared" si="21"/>
        <v>0</v>
      </c>
      <c r="Z97" s="6">
        <f t="shared" si="22"/>
        <v>0</v>
      </c>
      <c r="AA97" s="6">
        <f t="shared" si="23"/>
        <v>0.20332258064516132</v>
      </c>
      <c r="AB97" s="6">
        <f t="shared" si="24"/>
        <v>0.20332258064516132</v>
      </c>
      <c r="AC97" s="6">
        <f t="shared" si="25"/>
        <v>0.20332258064516132</v>
      </c>
      <c r="AD97" s="6">
        <f t="shared" si="26"/>
        <v>0</v>
      </c>
      <c r="AE97" s="6">
        <f t="shared" si="27"/>
        <v>0</v>
      </c>
      <c r="AF97" s="6">
        <f t="shared" si="28"/>
        <v>0</v>
      </c>
      <c r="AG97" s="6">
        <f t="shared" si="29"/>
        <v>0</v>
      </c>
      <c r="AH97" s="6">
        <f t="shared" si="30"/>
        <v>0</v>
      </c>
      <c r="AI97" s="6">
        <f t="shared" si="31"/>
        <v>0</v>
      </c>
      <c r="AJ97" s="6">
        <f t="shared" si="32"/>
        <v>0</v>
      </c>
      <c r="AK97" s="6">
        <f t="shared" si="33"/>
        <v>0</v>
      </c>
      <c r="AL97" s="6">
        <f t="shared" si="34"/>
        <v>0</v>
      </c>
      <c r="AM97" s="6">
        <f t="shared" si="35"/>
        <v>0</v>
      </c>
      <c r="AN97" s="6">
        <f t="shared" si="36"/>
        <v>0</v>
      </c>
    </row>
    <row r="98" spans="1:40" ht="15.5" x14ac:dyDescent="0.35">
      <c r="A98" s="4" t="s">
        <v>214</v>
      </c>
      <c r="B98" s="4">
        <v>24</v>
      </c>
      <c r="C98">
        <v>3</v>
      </c>
      <c r="D98" s="4" t="s">
        <v>103</v>
      </c>
      <c r="E98" s="4">
        <v>9.354838709677421E-2</v>
      </c>
      <c r="F98">
        <f t="shared" si="19"/>
        <v>0.58279569892473138</v>
      </c>
      <c r="G98" s="7"/>
      <c r="H98" s="7"/>
      <c r="I98" s="7"/>
      <c r="J98" s="6">
        <v>0.33</v>
      </c>
      <c r="K98" s="6">
        <v>0.33</v>
      </c>
      <c r="L98" s="6">
        <v>0.33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6">
        <f t="shared" si="20"/>
        <v>0</v>
      </c>
      <c r="Y98" s="6">
        <f t="shared" si="21"/>
        <v>0</v>
      </c>
      <c r="Z98" s="6">
        <f t="shared" si="22"/>
        <v>0</v>
      </c>
      <c r="AA98" s="6">
        <f t="shared" si="23"/>
        <v>0.19232258064516136</v>
      </c>
      <c r="AB98" s="6">
        <f t="shared" si="24"/>
        <v>0.19232258064516136</v>
      </c>
      <c r="AC98" s="6">
        <f t="shared" si="25"/>
        <v>0.19232258064516136</v>
      </c>
      <c r="AD98" s="6">
        <f t="shared" si="26"/>
        <v>0</v>
      </c>
      <c r="AE98" s="6">
        <f t="shared" si="27"/>
        <v>0</v>
      </c>
      <c r="AF98" s="6">
        <f t="shared" si="28"/>
        <v>0</v>
      </c>
      <c r="AG98" s="6">
        <f t="shared" si="29"/>
        <v>0</v>
      </c>
      <c r="AH98" s="6">
        <f t="shared" si="30"/>
        <v>0</v>
      </c>
      <c r="AI98" s="6">
        <f t="shared" si="31"/>
        <v>0</v>
      </c>
      <c r="AJ98" s="6">
        <f t="shared" si="32"/>
        <v>0</v>
      </c>
      <c r="AK98" s="6">
        <f t="shared" si="33"/>
        <v>0</v>
      </c>
      <c r="AL98" s="6">
        <f t="shared" si="34"/>
        <v>0</v>
      </c>
      <c r="AM98" s="6">
        <f t="shared" si="35"/>
        <v>0</v>
      </c>
      <c r="AN98" s="6">
        <f t="shared" si="36"/>
        <v>0</v>
      </c>
    </row>
    <row r="99" spans="1:40" ht="15.5" x14ac:dyDescent="0.35">
      <c r="A99" s="4" t="s">
        <v>214</v>
      </c>
      <c r="B99" s="4">
        <v>24</v>
      </c>
      <c r="C99">
        <v>4</v>
      </c>
      <c r="D99" s="4" t="s">
        <v>104</v>
      </c>
      <c r="E99" s="4">
        <v>9.354838709677421E-2</v>
      </c>
      <c r="F99">
        <f t="shared" si="19"/>
        <v>0.58279569892473138</v>
      </c>
      <c r="G99" s="7"/>
      <c r="H99" s="7"/>
      <c r="I99" s="7"/>
      <c r="J99" s="6">
        <v>0.33</v>
      </c>
      <c r="K99" s="6">
        <v>0.33</v>
      </c>
      <c r="L99" s="6">
        <v>0.33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6">
        <f t="shared" si="20"/>
        <v>0</v>
      </c>
      <c r="Y99" s="6">
        <f t="shared" si="21"/>
        <v>0</v>
      </c>
      <c r="Z99" s="6">
        <f t="shared" si="22"/>
        <v>0</v>
      </c>
      <c r="AA99" s="6">
        <f t="shared" si="23"/>
        <v>0.19232258064516136</v>
      </c>
      <c r="AB99" s="6">
        <f t="shared" si="24"/>
        <v>0.19232258064516136</v>
      </c>
      <c r="AC99" s="6">
        <f t="shared" si="25"/>
        <v>0.19232258064516136</v>
      </c>
      <c r="AD99" s="6">
        <f t="shared" si="26"/>
        <v>0</v>
      </c>
      <c r="AE99" s="6">
        <f t="shared" si="27"/>
        <v>0</v>
      </c>
      <c r="AF99" s="6">
        <f t="shared" si="28"/>
        <v>0</v>
      </c>
      <c r="AG99" s="6">
        <f t="shared" si="29"/>
        <v>0</v>
      </c>
      <c r="AH99" s="6">
        <f t="shared" si="30"/>
        <v>0</v>
      </c>
      <c r="AI99" s="6">
        <f t="shared" si="31"/>
        <v>0</v>
      </c>
      <c r="AJ99" s="6">
        <f t="shared" si="32"/>
        <v>0</v>
      </c>
      <c r="AK99" s="6">
        <f t="shared" si="33"/>
        <v>0</v>
      </c>
      <c r="AL99" s="6">
        <f t="shared" si="34"/>
        <v>0</v>
      </c>
      <c r="AM99" s="6">
        <f t="shared" si="35"/>
        <v>0</v>
      </c>
      <c r="AN99" s="6">
        <f t="shared" si="36"/>
        <v>0</v>
      </c>
    </row>
    <row r="100" spans="1:40" ht="15.5" x14ac:dyDescent="0.35">
      <c r="A100" s="4" t="s">
        <v>214</v>
      </c>
      <c r="B100" s="4">
        <v>24</v>
      </c>
      <c r="C100">
        <v>2</v>
      </c>
      <c r="D100" s="4" t="s">
        <v>102</v>
      </c>
      <c r="E100" s="4">
        <v>4.8387096774193561E-2</v>
      </c>
      <c r="F100">
        <f t="shared" si="19"/>
        <v>0.53763440860215073</v>
      </c>
      <c r="G100" s="7"/>
      <c r="H100" s="7"/>
      <c r="I100" s="7"/>
      <c r="J100" s="6">
        <v>0.33</v>
      </c>
      <c r="K100" s="6">
        <v>0.33</v>
      </c>
      <c r="L100" s="6">
        <v>0.33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6">
        <f t="shared" si="20"/>
        <v>0</v>
      </c>
      <c r="Y100" s="6">
        <f t="shared" si="21"/>
        <v>0</v>
      </c>
      <c r="Z100" s="6">
        <f t="shared" si="22"/>
        <v>0</v>
      </c>
      <c r="AA100" s="6">
        <f t="shared" si="23"/>
        <v>0.17741935483870974</v>
      </c>
      <c r="AB100" s="6">
        <f t="shared" si="24"/>
        <v>0.17741935483870974</v>
      </c>
      <c r="AC100" s="6">
        <f t="shared" si="25"/>
        <v>0.17741935483870974</v>
      </c>
      <c r="AD100" s="6">
        <f t="shared" si="26"/>
        <v>0</v>
      </c>
      <c r="AE100" s="6">
        <f t="shared" si="27"/>
        <v>0</v>
      </c>
      <c r="AF100" s="6">
        <f t="shared" si="28"/>
        <v>0</v>
      </c>
      <c r="AG100" s="6">
        <f t="shared" si="29"/>
        <v>0</v>
      </c>
      <c r="AH100" s="6">
        <f t="shared" si="30"/>
        <v>0</v>
      </c>
      <c r="AI100" s="6">
        <f t="shared" si="31"/>
        <v>0</v>
      </c>
      <c r="AJ100" s="6">
        <f t="shared" si="32"/>
        <v>0</v>
      </c>
      <c r="AK100" s="6">
        <f t="shared" si="33"/>
        <v>0</v>
      </c>
      <c r="AL100" s="6">
        <f t="shared" si="34"/>
        <v>0</v>
      </c>
      <c r="AM100" s="6">
        <f t="shared" si="35"/>
        <v>0</v>
      </c>
      <c r="AN100" s="6">
        <f t="shared" si="36"/>
        <v>0</v>
      </c>
    </row>
    <row r="101" spans="1:40" ht="15.5" x14ac:dyDescent="0.35">
      <c r="A101" s="4" t="s">
        <v>214</v>
      </c>
      <c r="B101" s="4">
        <v>24</v>
      </c>
      <c r="C101">
        <v>1</v>
      </c>
      <c r="D101" s="4" t="s">
        <v>101</v>
      </c>
      <c r="E101" s="4">
        <v>3.763440860215056E-2</v>
      </c>
      <c r="F101">
        <f t="shared" si="19"/>
        <v>0.52688172043010773</v>
      </c>
      <c r="G101" s="7"/>
      <c r="H101" s="7"/>
      <c r="I101" s="7"/>
      <c r="J101" s="6">
        <v>0.33</v>
      </c>
      <c r="K101" s="6">
        <v>0.33</v>
      </c>
      <c r="L101" s="6">
        <v>0.33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6">
        <f t="shared" si="20"/>
        <v>0</v>
      </c>
      <c r="Y101" s="6">
        <f t="shared" si="21"/>
        <v>0</v>
      </c>
      <c r="Z101" s="6">
        <f t="shared" si="22"/>
        <v>0</v>
      </c>
      <c r="AA101" s="6">
        <f t="shared" si="23"/>
        <v>0.17387096774193556</v>
      </c>
      <c r="AB101" s="6">
        <f t="shared" si="24"/>
        <v>0.17387096774193556</v>
      </c>
      <c r="AC101" s="6">
        <f t="shared" si="25"/>
        <v>0.17387096774193556</v>
      </c>
      <c r="AD101" s="6">
        <f t="shared" si="26"/>
        <v>0</v>
      </c>
      <c r="AE101" s="6">
        <f t="shared" si="27"/>
        <v>0</v>
      </c>
      <c r="AF101" s="6">
        <f t="shared" si="28"/>
        <v>0</v>
      </c>
      <c r="AG101" s="6">
        <f t="shared" si="29"/>
        <v>0</v>
      </c>
      <c r="AH101" s="6">
        <f t="shared" si="30"/>
        <v>0</v>
      </c>
      <c r="AI101" s="6">
        <f t="shared" si="31"/>
        <v>0</v>
      </c>
      <c r="AJ101" s="6">
        <f t="shared" si="32"/>
        <v>0</v>
      </c>
      <c r="AK101" s="6">
        <f t="shared" si="33"/>
        <v>0</v>
      </c>
      <c r="AL101" s="6">
        <f t="shared" si="34"/>
        <v>0</v>
      </c>
      <c r="AM101" s="6">
        <f t="shared" si="35"/>
        <v>0</v>
      </c>
      <c r="AN101" s="6">
        <f t="shared" si="36"/>
        <v>0</v>
      </c>
    </row>
    <row r="102" spans="1:40" ht="15.5" x14ac:dyDescent="0.35">
      <c r="A102" s="4" t="s">
        <v>214</v>
      </c>
      <c r="B102" s="4">
        <v>25</v>
      </c>
      <c r="C102">
        <v>4</v>
      </c>
      <c r="D102" s="4" t="s">
        <v>109</v>
      </c>
      <c r="E102" s="4">
        <v>-8.2795698924731154E-2</v>
      </c>
      <c r="F102">
        <f t="shared" si="19"/>
        <v>0.40645161290322596</v>
      </c>
      <c r="G102" s="7"/>
      <c r="H102" s="7"/>
      <c r="I102" s="7"/>
      <c r="J102" s="7"/>
      <c r="K102" s="7"/>
      <c r="L102" s="7"/>
      <c r="M102" s="6">
        <v>0.33</v>
      </c>
      <c r="N102" s="6">
        <v>0.33</v>
      </c>
      <c r="O102" s="7"/>
      <c r="P102" s="6">
        <v>0.33</v>
      </c>
      <c r="Q102" s="7"/>
      <c r="R102" s="7"/>
      <c r="S102" s="7"/>
      <c r="T102" s="7"/>
      <c r="U102" s="7"/>
      <c r="V102" s="7"/>
      <c r="W102" s="7"/>
      <c r="X102" s="6">
        <f t="shared" si="20"/>
        <v>0</v>
      </c>
      <c r="Y102" s="6">
        <f t="shared" si="21"/>
        <v>0</v>
      </c>
      <c r="Z102" s="6">
        <f t="shared" si="22"/>
        <v>0</v>
      </c>
      <c r="AA102" s="6">
        <f t="shared" si="23"/>
        <v>0</v>
      </c>
      <c r="AB102" s="6">
        <f t="shared" si="24"/>
        <v>0</v>
      </c>
      <c r="AC102" s="6">
        <f t="shared" si="25"/>
        <v>0</v>
      </c>
      <c r="AD102" s="6">
        <f t="shared" si="26"/>
        <v>0.13412903225806458</v>
      </c>
      <c r="AE102" s="6">
        <f t="shared" si="27"/>
        <v>0.13412903225806458</v>
      </c>
      <c r="AF102" s="6">
        <f t="shared" si="28"/>
        <v>0</v>
      </c>
      <c r="AG102" s="6">
        <f t="shared" si="29"/>
        <v>0.13412903225806458</v>
      </c>
      <c r="AH102" s="6">
        <f t="shared" si="30"/>
        <v>0</v>
      </c>
      <c r="AI102" s="6">
        <f t="shared" si="31"/>
        <v>0</v>
      </c>
      <c r="AJ102" s="6">
        <f t="shared" si="32"/>
        <v>0</v>
      </c>
      <c r="AK102" s="6">
        <f t="shared" si="33"/>
        <v>0</v>
      </c>
      <c r="AL102" s="6">
        <f t="shared" si="34"/>
        <v>0</v>
      </c>
      <c r="AM102" s="6">
        <f t="shared" si="35"/>
        <v>0</v>
      </c>
      <c r="AN102" s="6">
        <f t="shared" si="36"/>
        <v>0</v>
      </c>
    </row>
    <row r="103" spans="1:40" ht="15.5" x14ac:dyDescent="0.35">
      <c r="A103" s="4" t="s">
        <v>214</v>
      </c>
      <c r="B103" s="4">
        <v>25</v>
      </c>
      <c r="C103">
        <v>3</v>
      </c>
      <c r="D103" s="4" t="s">
        <v>108</v>
      </c>
      <c r="E103" s="4">
        <v>-0.1279569892473118</v>
      </c>
      <c r="F103">
        <f t="shared" si="19"/>
        <v>0.36129032258064531</v>
      </c>
      <c r="G103" s="7"/>
      <c r="H103" s="7"/>
      <c r="I103" s="7"/>
      <c r="J103" s="7"/>
      <c r="K103" s="7"/>
      <c r="L103" s="7"/>
      <c r="M103" s="6">
        <v>0.33</v>
      </c>
      <c r="N103" s="6">
        <v>0.33</v>
      </c>
      <c r="O103" s="7"/>
      <c r="P103" s="6">
        <v>0.33</v>
      </c>
      <c r="Q103" s="7"/>
      <c r="R103" s="7"/>
      <c r="S103" s="7"/>
      <c r="T103" s="7"/>
      <c r="U103" s="7"/>
      <c r="V103" s="7"/>
      <c r="W103" s="7"/>
      <c r="X103" s="6">
        <f t="shared" si="20"/>
        <v>0</v>
      </c>
      <c r="Y103" s="6">
        <f t="shared" si="21"/>
        <v>0</v>
      </c>
      <c r="Z103" s="6">
        <f t="shared" si="22"/>
        <v>0</v>
      </c>
      <c r="AA103" s="6">
        <f t="shared" si="23"/>
        <v>0</v>
      </c>
      <c r="AB103" s="6">
        <f t="shared" si="24"/>
        <v>0</v>
      </c>
      <c r="AC103" s="6">
        <f t="shared" si="25"/>
        <v>0</v>
      </c>
      <c r="AD103" s="6">
        <f t="shared" si="26"/>
        <v>0.11922580645161296</v>
      </c>
      <c r="AE103" s="6">
        <f t="shared" si="27"/>
        <v>0.11922580645161296</v>
      </c>
      <c r="AF103" s="6">
        <f t="shared" si="28"/>
        <v>0</v>
      </c>
      <c r="AG103" s="6">
        <f t="shared" si="29"/>
        <v>0.11922580645161296</v>
      </c>
      <c r="AH103" s="6">
        <f t="shared" si="30"/>
        <v>0</v>
      </c>
      <c r="AI103" s="6">
        <f t="shared" si="31"/>
        <v>0</v>
      </c>
      <c r="AJ103" s="6">
        <f t="shared" si="32"/>
        <v>0</v>
      </c>
      <c r="AK103" s="6">
        <f t="shared" si="33"/>
        <v>0</v>
      </c>
      <c r="AL103" s="6">
        <f t="shared" si="34"/>
        <v>0</v>
      </c>
      <c r="AM103" s="6">
        <f t="shared" si="35"/>
        <v>0</v>
      </c>
      <c r="AN103" s="6">
        <f t="shared" si="36"/>
        <v>0</v>
      </c>
    </row>
    <row r="104" spans="1:40" ht="15.5" x14ac:dyDescent="0.35">
      <c r="A104" s="4" t="s">
        <v>214</v>
      </c>
      <c r="B104" s="4">
        <v>25</v>
      </c>
      <c r="C104">
        <v>1</v>
      </c>
      <c r="D104" s="4" t="s">
        <v>106</v>
      </c>
      <c r="E104" s="4">
        <v>-0.1387096774193548</v>
      </c>
      <c r="F104">
        <f t="shared" si="19"/>
        <v>0.35053763440860231</v>
      </c>
      <c r="G104" s="7"/>
      <c r="H104" s="7"/>
      <c r="I104" s="7"/>
      <c r="J104" s="7"/>
      <c r="K104" s="7"/>
      <c r="L104" s="7"/>
      <c r="M104" s="6">
        <v>0.33</v>
      </c>
      <c r="N104" s="6">
        <v>0.33</v>
      </c>
      <c r="O104" s="7"/>
      <c r="P104" s="6">
        <v>0.33</v>
      </c>
      <c r="Q104" s="7"/>
      <c r="R104" s="7"/>
      <c r="S104" s="7"/>
      <c r="T104" s="7"/>
      <c r="U104" s="7"/>
      <c r="V104" s="7"/>
      <c r="W104" s="7"/>
      <c r="X104" s="6">
        <f t="shared" si="20"/>
        <v>0</v>
      </c>
      <c r="Y104" s="6">
        <f t="shared" si="21"/>
        <v>0</v>
      </c>
      <c r="Z104" s="6">
        <f t="shared" si="22"/>
        <v>0</v>
      </c>
      <c r="AA104" s="6">
        <f t="shared" si="23"/>
        <v>0</v>
      </c>
      <c r="AB104" s="6">
        <f t="shared" si="24"/>
        <v>0</v>
      </c>
      <c r="AC104" s="6">
        <f t="shared" si="25"/>
        <v>0</v>
      </c>
      <c r="AD104" s="6">
        <f t="shared" si="26"/>
        <v>0.11567741935483877</v>
      </c>
      <c r="AE104" s="6">
        <f t="shared" si="27"/>
        <v>0.11567741935483877</v>
      </c>
      <c r="AF104" s="6">
        <f t="shared" si="28"/>
        <v>0</v>
      </c>
      <c r="AG104" s="6">
        <f t="shared" si="29"/>
        <v>0.11567741935483877</v>
      </c>
      <c r="AH104" s="6">
        <f t="shared" si="30"/>
        <v>0</v>
      </c>
      <c r="AI104" s="6">
        <f t="shared" si="31"/>
        <v>0</v>
      </c>
      <c r="AJ104" s="6">
        <f t="shared" si="32"/>
        <v>0</v>
      </c>
      <c r="AK104" s="6">
        <f t="shared" si="33"/>
        <v>0</v>
      </c>
      <c r="AL104" s="6">
        <f t="shared" si="34"/>
        <v>0</v>
      </c>
      <c r="AM104" s="6">
        <f t="shared" si="35"/>
        <v>0</v>
      </c>
      <c r="AN104" s="6">
        <f t="shared" si="36"/>
        <v>0</v>
      </c>
    </row>
    <row r="105" spans="1:40" ht="15.5" x14ac:dyDescent="0.35">
      <c r="A105" s="4" t="s">
        <v>214</v>
      </c>
      <c r="B105" s="4">
        <v>25</v>
      </c>
      <c r="C105">
        <v>2</v>
      </c>
      <c r="D105" s="4" t="s">
        <v>107</v>
      </c>
      <c r="E105" s="4">
        <v>-0.1387096774193548</v>
      </c>
      <c r="F105">
        <f t="shared" si="19"/>
        <v>0.35053763440860231</v>
      </c>
      <c r="G105" s="7"/>
      <c r="H105" s="7"/>
      <c r="I105" s="7"/>
      <c r="J105" s="7"/>
      <c r="K105" s="7"/>
      <c r="L105" s="7"/>
      <c r="M105" s="6">
        <v>0.33</v>
      </c>
      <c r="N105" s="6">
        <v>0.33</v>
      </c>
      <c r="O105" s="7"/>
      <c r="P105" s="6">
        <v>0.33</v>
      </c>
      <c r="Q105" s="7"/>
      <c r="R105" s="7"/>
      <c r="S105" s="7"/>
      <c r="T105" s="7"/>
      <c r="U105" s="7"/>
      <c r="V105" s="7"/>
      <c r="W105" s="7"/>
      <c r="X105" s="6">
        <f t="shared" si="20"/>
        <v>0</v>
      </c>
      <c r="Y105" s="6">
        <f t="shared" si="21"/>
        <v>0</v>
      </c>
      <c r="Z105" s="6">
        <f t="shared" si="22"/>
        <v>0</v>
      </c>
      <c r="AA105" s="6">
        <f t="shared" si="23"/>
        <v>0</v>
      </c>
      <c r="AB105" s="6">
        <f t="shared" si="24"/>
        <v>0</v>
      </c>
      <c r="AC105" s="6">
        <f t="shared" si="25"/>
        <v>0</v>
      </c>
      <c r="AD105" s="6">
        <f t="shared" si="26"/>
        <v>0.11567741935483877</v>
      </c>
      <c r="AE105" s="6">
        <f t="shared" si="27"/>
        <v>0.11567741935483877</v>
      </c>
      <c r="AF105" s="6">
        <f t="shared" si="28"/>
        <v>0</v>
      </c>
      <c r="AG105" s="6">
        <f t="shared" si="29"/>
        <v>0.11567741935483877</v>
      </c>
      <c r="AH105" s="6">
        <f t="shared" si="30"/>
        <v>0</v>
      </c>
      <c r="AI105" s="6">
        <f t="shared" si="31"/>
        <v>0</v>
      </c>
      <c r="AJ105" s="6">
        <f t="shared" si="32"/>
        <v>0</v>
      </c>
      <c r="AK105" s="6">
        <f t="shared" si="33"/>
        <v>0</v>
      </c>
      <c r="AL105" s="6">
        <f t="shared" si="34"/>
        <v>0</v>
      </c>
      <c r="AM105" s="6">
        <f t="shared" si="35"/>
        <v>0</v>
      </c>
      <c r="AN105" s="6">
        <f t="shared" si="36"/>
        <v>0</v>
      </c>
    </row>
    <row r="106" spans="1:40" ht="15.5" x14ac:dyDescent="0.35">
      <c r="A106" s="4" t="s">
        <v>214</v>
      </c>
      <c r="B106" s="4">
        <v>25</v>
      </c>
      <c r="C106">
        <v>5</v>
      </c>
      <c r="D106" s="4" t="s">
        <v>110</v>
      </c>
      <c r="E106" s="4">
        <v>-0.14516129032258063</v>
      </c>
      <c r="F106">
        <f t="shared" si="19"/>
        <v>0.34408602150537648</v>
      </c>
      <c r="G106" s="7"/>
      <c r="H106" s="7"/>
      <c r="I106" s="7"/>
      <c r="J106" s="7"/>
      <c r="K106" s="7"/>
      <c r="L106" s="7"/>
      <c r="M106" s="6">
        <v>0.33</v>
      </c>
      <c r="N106" s="6">
        <v>0.33</v>
      </c>
      <c r="O106" s="7"/>
      <c r="P106" s="6">
        <v>0.33</v>
      </c>
      <c r="Q106" s="7"/>
      <c r="R106" s="7"/>
      <c r="S106" s="7"/>
      <c r="T106" s="7"/>
      <c r="U106" s="7"/>
      <c r="V106" s="7"/>
      <c r="W106" s="7"/>
      <c r="X106" s="6">
        <f t="shared" si="20"/>
        <v>0</v>
      </c>
      <c r="Y106" s="6">
        <f t="shared" si="21"/>
        <v>0</v>
      </c>
      <c r="Z106" s="6">
        <f t="shared" si="22"/>
        <v>0</v>
      </c>
      <c r="AA106" s="6">
        <f t="shared" si="23"/>
        <v>0</v>
      </c>
      <c r="AB106" s="6">
        <f t="shared" si="24"/>
        <v>0</v>
      </c>
      <c r="AC106" s="6">
        <f t="shared" si="25"/>
        <v>0</v>
      </c>
      <c r="AD106" s="6">
        <f t="shared" si="26"/>
        <v>0.11354838709677424</v>
      </c>
      <c r="AE106" s="6">
        <f t="shared" si="27"/>
        <v>0.11354838709677424</v>
      </c>
      <c r="AF106" s="6">
        <f t="shared" si="28"/>
        <v>0</v>
      </c>
      <c r="AG106" s="6">
        <f t="shared" si="29"/>
        <v>0.11354838709677424</v>
      </c>
      <c r="AH106" s="6">
        <f t="shared" si="30"/>
        <v>0</v>
      </c>
      <c r="AI106" s="6">
        <f t="shared" si="31"/>
        <v>0</v>
      </c>
      <c r="AJ106" s="6">
        <f t="shared" si="32"/>
        <v>0</v>
      </c>
      <c r="AK106" s="6">
        <f t="shared" si="33"/>
        <v>0</v>
      </c>
      <c r="AL106" s="6">
        <f t="shared" si="34"/>
        <v>0</v>
      </c>
      <c r="AM106" s="6">
        <f t="shared" si="35"/>
        <v>0</v>
      </c>
      <c r="AN106" s="6">
        <f t="shared" si="36"/>
        <v>0</v>
      </c>
    </row>
    <row r="107" spans="1:40" ht="15.5" x14ac:dyDescent="0.35">
      <c r="A107" s="4" t="s">
        <v>214</v>
      </c>
      <c r="B107" s="4">
        <v>26</v>
      </c>
      <c r="C107">
        <v>3</v>
      </c>
      <c r="D107" s="4" t="s">
        <v>113</v>
      </c>
      <c r="E107" s="4">
        <v>0.34086021505376352</v>
      </c>
      <c r="F107">
        <f t="shared" si="19"/>
        <v>0.83010752688172063</v>
      </c>
      <c r="G107" s="7"/>
      <c r="H107" s="7"/>
      <c r="I107" s="7"/>
      <c r="J107" s="7"/>
      <c r="K107" s="7"/>
      <c r="L107" s="7"/>
      <c r="M107" s="6">
        <v>0.33</v>
      </c>
      <c r="N107" s="6">
        <v>0.33</v>
      </c>
      <c r="O107" s="7"/>
      <c r="P107" s="6">
        <v>0.33</v>
      </c>
      <c r="Q107" s="7"/>
      <c r="R107" s="7"/>
      <c r="S107" s="7"/>
      <c r="T107" s="7"/>
      <c r="U107" s="7"/>
      <c r="V107" s="7"/>
      <c r="W107" s="7"/>
      <c r="X107" s="6">
        <f t="shared" si="20"/>
        <v>0</v>
      </c>
      <c r="Y107" s="6">
        <f t="shared" si="21"/>
        <v>0</v>
      </c>
      <c r="Z107" s="6">
        <f t="shared" si="22"/>
        <v>0</v>
      </c>
      <c r="AA107" s="6">
        <f t="shared" si="23"/>
        <v>0</v>
      </c>
      <c r="AB107" s="6">
        <f t="shared" si="24"/>
        <v>0</v>
      </c>
      <c r="AC107" s="6">
        <f t="shared" si="25"/>
        <v>0</v>
      </c>
      <c r="AD107" s="6">
        <f t="shared" si="26"/>
        <v>0.27393548387096783</v>
      </c>
      <c r="AE107" s="6">
        <f t="shared" si="27"/>
        <v>0.27393548387096783</v>
      </c>
      <c r="AF107" s="6">
        <f t="shared" si="28"/>
        <v>0</v>
      </c>
      <c r="AG107" s="6">
        <f t="shared" si="29"/>
        <v>0.27393548387096783</v>
      </c>
      <c r="AH107" s="6">
        <f t="shared" si="30"/>
        <v>0</v>
      </c>
      <c r="AI107" s="6">
        <f t="shared" si="31"/>
        <v>0</v>
      </c>
      <c r="AJ107" s="6">
        <f t="shared" si="32"/>
        <v>0</v>
      </c>
      <c r="AK107" s="6">
        <f t="shared" si="33"/>
        <v>0</v>
      </c>
      <c r="AL107" s="6">
        <f t="shared" si="34"/>
        <v>0</v>
      </c>
      <c r="AM107" s="6">
        <f t="shared" si="35"/>
        <v>0</v>
      </c>
      <c r="AN107" s="6">
        <f t="shared" si="36"/>
        <v>0</v>
      </c>
    </row>
    <row r="108" spans="1:40" ht="15.5" x14ac:dyDescent="0.35">
      <c r="A108" s="4" t="s">
        <v>214</v>
      </c>
      <c r="B108" s="4">
        <v>26</v>
      </c>
      <c r="C108">
        <v>5</v>
      </c>
      <c r="D108" s="4" t="s">
        <v>115</v>
      </c>
      <c r="E108" s="4">
        <v>0.2978494623655914</v>
      </c>
      <c r="F108">
        <f t="shared" si="19"/>
        <v>0.78709677419354851</v>
      </c>
      <c r="G108" s="7"/>
      <c r="H108" s="7"/>
      <c r="I108" s="7"/>
      <c r="J108" s="7"/>
      <c r="K108" s="7"/>
      <c r="L108" s="7"/>
      <c r="M108" s="6">
        <v>0.33</v>
      </c>
      <c r="N108" s="6">
        <v>0.33</v>
      </c>
      <c r="O108" s="7"/>
      <c r="P108" s="6">
        <v>0.33</v>
      </c>
      <c r="Q108" s="7"/>
      <c r="R108" s="7"/>
      <c r="S108" s="7"/>
      <c r="T108" s="7"/>
      <c r="U108" s="7"/>
      <c r="V108" s="7"/>
      <c r="W108" s="7"/>
      <c r="X108" s="6">
        <f t="shared" si="20"/>
        <v>0</v>
      </c>
      <c r="Y108" s="6">
        <f t="shared" si="21"/>
        <v>0</v>
      </c>
      <c r="Z108" s="6">
        <f t="shared" si="22"/>
        <v>0</v>
      </c>
      <c r="AA108" s="6">
        <f t="shared" si="23"/>
        <v>0</v>
      </c>
      <c r="AB108" s="6">
        <f t="shared" si="24"/>
        <v>0</v>
      </c>
      <c r="AC108" s="6">
        <f t="shared" si="25"/>
        <v>0</v>
      </c>
      <c r="AD108" s="6">
        <f t="shared" si="26"/>
        <v>0.25974193548387103</v>
      </c>
      <c r="AE108" s="6">
        <f t="shared" si="27"/>
        <v>0.25974193548387103</v>
      </c>
      <c r="AF108" s="6">
        <f t="shared" si="28"/>
        <v>0</v>
      </c>
      <c r="AG108" s="6">
        <f t="shared" si="29"/>
        <v>0.25974193548387103</v>
      </c>
      <c r="AH108" s="6">
        <f t="shared" si="30"/>
        <v>0</v>
      </c>
      <c r="AI108" s="6">
        <f t="shared" si="31"/>
        <v>0</v>
      </c>
      <c r="AJ108" s="6">
        <f t="shared" si="32"/>
        <v>0</v>
      </c>
      <c r="AK108" s="6">
        <f t="shared" si="33"/>
        <v>0</v>
      </c>
      <c r="AL108" s="6">
        <f t="shared" si="34"/>
        <v>0</v>
      </c>
      <c r="AM108" s="6">
        <f t="shared" si="35"/>
        <v>0</v>
      </c>
      <c r="AN108" s="6">
        <f t="shared" si="36"/>
        <v>0</v>
      </c>
    </row>
    <row r="109" spans="1:40" ht="15.5" x14ac:dyDescent="0.35">
      <c r="A109" s="4" t="s">
        <v>214</v>
      </c>
      <c r="B109" s="4">
        <v>26</v>
      </c>
      <c r="C109">
        <v>4</v>
      </c>
      <c r="D109" s="4" t="s">
        <v>114</v>
      </c>
      <c r="E109" s="4">
        <v>0.26451612903225807</v>
      </c>
      <c r="F109">
        <f t="shared" si="19"/>
        <v>0.75376344086021518</v>
      </c>
      <c r="G109" s="7"/>
      <c r="H109" s="7"/>
      <c r="I109" s="7"/>
      <c r="J109" s="7"/>
      <c r="K109" s="7"/>
      <c r="L109" s="7"/>
      <c r="M109" s="6">
        <v>0.33</v>
      </c>
      <c r="N109" s="6">
        <v>0.33</v>
      </c>
      <c r="O109" s="7"/>
      <c r="P109" s="6">
        <v>0.33</v>
      </c>
      <c r="Q109" s="7"/>
      <c r="R109" s="7"/>
      <c r="S109" s="7"/>
      <c r="T109" s="7"/>
      <c r="U109" s="7"/>
      <c r="V109" s="7"/>
      <c r="W109" s="7"/>
      <c r="X109" s="6">
        <f t="shared" si="20"/>
        <v>0</v>
      </c>
      <c r="Y109" s="6">
        <f t="shared" si="21"/>
        <v>0</v>
      </c>
      <c r="Z109" s="6">
        <f t="shared" si="22"/>
        <v>0</v>
      </c>
      <c r="AA109" s="6">
        <f t="shared" si="23"/>
        <v>0</v>
      </c>
      <c r="AB109" s="6">
        <f t="shared" si="24"/>
        <v>0</v>
      </c>
      <c r="AC109" s="6">
        <f t="shared" si="25"/>
        <v>0</v>
      </c>
      <c r="AD109" s="6">
        <f t="shared" si="26"/>
        <v>0.24874193548387102</v>
      </c>
      <c r="AE109" s="6">
        <f t="shared" si="27"/>
        <v>0.24874193548387102</v>
      </c>
      <c r="AF109" s="6">
        <f t="shared" si="28"/>
        <v>0</v>
      </c>
      <c r="AG109" s="6">
        <f t="shared" si="29"/>
        <v>0.24874193548387102</v>
      </c>
      <c r="AH109" s="6">
        <f t="shared" si="30"/>
        <v>0</v>
      </c>
      <c r="AI109" s="6">
        <f t="shared" si="31"/>
        <v>0</v>
      </c>
      <c r="AJ109" s="6">
        <f t="shared" si="32"/>
        <v>0</v>
      </c>
      <c r="AK109" s="6">
        <f t="shared" si="33"/>
        <v>0</v>
      </c>
      <c r="AL109" s="6">
        <f t="shared" si="34"/>
        <v>0</v>
      </c>
      <c r="AM109" s="6">
        <f t="shared" si="35"/>
        <v>0</v>
      </c>
      <c r="AN109" s="6">
        <f t="shared" si="36"/>
        <v>0</v>
      </c>
    </row>
    <row r="110" spans="1:40" ht="15.5" x14ac:dyDescent="0.35">
      <c r="A110" s="4" t="s">
        <v>214</v>
      </c>
      <c r="B110" s="4">
        <v>26</v>
      </c>
      <c r="C110">
        <v>2</v>
      </c>
      <c r="D110" s="4" t="s">
        <v>112</v>
      </c>
      <c r="E110" s="4">
        <v>0.21935483870967748</v>
      </c>
      <c r="F110">
        <f t="shared" si="19"/>
        <v>0.70860215053763453</v>
      </c>
      <c r="G110" s="7"/>
      <c r="H110" s="7"/>
      <c r="I110" s="7"/>
      <c r="J110" s="7"/>
      <c r="K110" s="7"/>
      <c r="L110" s="7"/>
      <c r="M110" s="6">
        <v>0.33</v>
      </c>
      <c r="N110" s="6">
        <v>0.33</v>
      </c>
      <c r="O110" s="7"/>
      <c r="P110" s="6">
        <v>0.33</v>
      </c>
      <c r="Q110" s="7"/>
      <c r="R110" s="7"/>
      <c r="S110" s="7"/>
      <c r="T110" s="7"/>
      <c r="U110" s="7"/>
      <c r="V110" s="7"/>
      <c r="W110" s="7"/>
      <c r="X110" s="6">
        <f t="shared" si="20"/>
        <v>0</v>
      </c>
      <c r="Y110" s="6">
        <f t="shared" si="21"/>
        <v>0</v>
      </c>
      <c r="Z110" s="6">
        <f t="shared" si="22"/>
        <v>0</v>
      </c>
      <c r="AA110" s="6">
        <f t="shared" si="23"/>
        <v>0</v>
      </c>
      <c r="AB110" s="6">
        <f t="shared" si="24"/>
        <v>0</v>
      </c>
      <c r="AC110" s="6">
        <f t="shared" si="25"/>
        <v>0</v>
      </c>
      <c r="AD110" s="6">
        <f t="shared" si="26"/>
        <v>0.2338387096774194</v>
      </c>
      <c r="AE110" s="6">
        <f t="shared" si="27"/>
        <v>0.2338387096774194</v>
      </c>
      <c r="AF110" s="6">
        <f t="shared" si="28"/>
        <v>0</v>
      </c>
      <c r="AG110" s="6">
        <f t="shared" si="29"/>
        <v>0.2338387096774194</v>
      </c>
      <c r="AH110" s="6">
        <f t="shared" si="30"/>
        <v>0</v>
      </c>
      <c r="AI110" s="6">
        <f t="shared" si="31"/>
        <v>0</v>
      </c>
      <c r="AJ110" s="6">
        <f t="shared" si="32"/>
        <v>0</v>
      </c>
      <c r="AK110" s="6">
        <f t="shared" si="33"/>
        <v>0</v>
      </c>
      <c r="AL110" s="6">
        <f t="shared" si="34"/>
        <v>0</v>
      </c>
      <c r="AM110" s="6">
        <f t="shared" si="35"/>
        <v>0</v>
      </c>
      <c r="AN110" s="6">
        <f t="shared" si="36"/>
        <v>0</v>
      </c>
    </row>
    <row r="111" spans="1:40" ht="15.5" x14ac:dyDescent="0.35">
      <c r="A111" s="4" t="s">
        <v>214</v>
      </c>
      <c r="B111" s="4">
        <v>26</v>
      </c>
      <c r="C111">
        <v>1</v>
      </c>
      <c r="D111" s="4" t="s">
        <v>111</v>
      </c>
      <c r="E111" s="4">
        <v>0.20860215053763445</v>
      </c>
      <c r="F111">
        <f t="shared" si="19"/>
        <v>0.69784946236559153</v>
      </c>
      <c r="G111" s="7"/>
      <c r="H111" s="7"/>
      <c r="I111" s="7"/>
      <c r="J111" s="7"/>
      <c r="K111" s="7"/>
      <c r="L111" s="7"/>
      <c r="M111" s="6">
        <v>0.33</v>
      </c>
      <c r="N111" s="6">
        <v>0.33</v>
      </c>
      <c r="O111" s="7"/>
      <c r="P111" s="6">
        <v>0.33</v>
      </c>
      <c r="Q111" s="7"/>
      <c r="R111" s="7"/>
      <c r="S111" s="7"/>
      <c r="T111" s="7"/>
      <c r="U111" s="7"/>
      <c r="V111" s="7"/>
      <c r="W111" s="7"/>
      <c r="X111" s="6">
        <f t="shared" si="20"/>
        <v>0</v>
      </c>
      <c r="Y111" s="6">
        <f t="shared" si="21"/>
        <v>0</v>
      </c>
      <c r="Z111" s="6">
        <f t="shared" si="22"/>
        <v>0</v>
      </c>
      <c r="AA111" s="6">
        <f t="shared" si="23"/>
        <v>0</v>
      </c>
      <c r="AB111" s="6">
        <f t="shared" si="24"/>
        <v>0</v>
      </c>
      <c r="AC111" s="6">
        <f t="shared" si="25"/>
        <v>0</v>
      </c>
      <c r="AD111" s="6">
        <f t="shared" si="26"/>
        <v>0.23029032258064522</v>
      </c>
      <c r="AE111" s="6">
        <f t="shared" si="27"/>
        <v>0.23029032258064522</v>
      </c>
      <c r="AF111" s="6">
        <f t="shared" si="28"/>
        <v>0</v>
      </c>
      <c r="AG111" s="6">
        <f t="shared" si="29"/>
        <v>0.23029032258064522</v>
      </c>
      <c r="AH111" s="6">
        <f t="shared" si="30"/>
        <v>0</v>
      </c>
      <c r="AI111" s="6">
        <f t="shared" si="31"/>
        <v>0</v>
      </c>
      <c r="AJ111" s="6">
        <f t="shared" si="32"/>
        <v>0</v>
      </c>
      <c r="AK111" s="6">
        <f t="shared" si="33"/>
        <v>0</v>
      </c>
      <c r="AL111" s="6">
        <f t="shared" si="34"/>
        <v>0</v>
      </c>
      <c r="AM111" s="6">
        <f t="shared" si="35"/>
        <v>0</v>
      </c>
      <c r="AN111" s="6">
        <f t="shared" si="36"/>
        <v>0</v>
      </c>
    </row>
    <row r="112" spans="1:40" ht="15.5" x14ac:dyDescent="0.35">
      <c r="A112" s="4" t="s">
        <v>214</v>
      </c>
      <c r="B112" s="4">
        <v>27</v>
      </c>
      <c r="C112">
        <v>4</v>
      </c>
      <c r="D112" s="4" t="s">
        <v>119</v>
      </c>
      <c r="E112" s="4">
        <v>0.34086021505376352</v>
      </c>
      <c r="F112">
        <f t="shared" si="19"/>
        <v>0.83010752688172063</v>
      </c>
      <c r="G112" s="7"/>
      <c r="H112" s="7"/>
      <c r="I112" s="7"/>
      <c r="J112" s="7"/>
      <c r="K112" s="7"/>
      <c r="L112" s="7"/>
      <c r="M112" s="6">
        <v>0.33</v>
      </c>
      <c r="N112" s="6">
        <v>0.33</v>
      </c>
      <c r="O112" s="7"/>
      <c r="P112" s="6">
        <v>0.33</v>
      </c>
      <c r="Q112" s="7"/>
      <c r="R112" s="7"/>
      <c r="S112" s="7"/>
      <c r="T112" s="7"/>
      <c r="U112" s="7"/>
      <c r="V112" s="7"/>
      <c r="W112" s="7"/>
      <c r="X112" s="6">
        <f t="shared" si="20"/>
        <v>0</v>
      </c>
      <c r="Y112" s="6">
        <f t="shared" si="21"/>
        <v>0</v>
      </c>
      <c r="Z112" s="6">
        <f t="shared" si="22"/>
        <v>0</v>
      </c>
      <c r="AA112" s="6">
        <f t="shared" si="23"/>
        <v>0</v>
      </c>
      <c r="AB112" s="6">
        <f t="shared" si="24"/>
        <v>0</v>
      </c>
      <c r="AC112" s="6">
        <f t="shared" si="25"/>
        <v>0</v>
      </c>
      <c r="AD112" s="6">
        <f t="shared" si="26"/>
        <v>0.27393548387096783</v>
      </c>
      <c r="AE112" s="6">
        <f t="shared" si="27"/>
        <v>0.27393548387096783</v>
      </c>
      <c r="AF112" s="6">
        <f t="shared" si="28"/>
        <v>0</v>
      </c>
      <c r="AG112" s="6">
        <f t="shared" si="29"/>
        <v>0.27393548387096783</v>
      </c>
      <c r="AH112" s="6">
        <f t="shared" si="30"/>
        <v>0</v>
      </c>
      <c r="AI112" s="6">
        <f t="shared" si="31"/>
        <v>0</v>
      </c>
      <c r="AJ112" s="6">
        <f t="shared" si="32"/>
        <v>0</v>
      </c>
      <c r="AK112" s="6">
        <f t="shared" si="33"/>
        <v>0</v>
      </c>
      <c r="AL112" s="6">
        <f t="shared" si="34"/>
        <v>0</v>
      </c>
      <c r="AM112" s="6">
        <f t="shared" si="35"/>
        <v>0</v>
      </c>
      <c r="AN112" s="6">
        <f t="shared" si="36"/>
        <v>0</v>
      </c>
    </row>
    <row r="113" spans="1:40" ht="15.5" x14ac:dyDescent="0.35">
      <c r="A113" s="4" t="s">
        <v>214</v>
      </c>
      <c r="B113" s="4">
        <v>27</v>
      </c>
      <c r="C113">
        <v>2</v>
      </c>
      <c r="D113" s="4" t="s">
        <v>117</v>
      </c>
      <c r="E113" s="4">
        <v>0.31182795698924737</v>
      </c>
      <c r="F113">
        <f t="shared" si="19"/>
        <v>0.80107526881720448</v>
      </c>
      <c r="G113" s="7"/>
      <c r="H113" s="7"/>
      <c r="I113" s="7"/>
      <c r="J113" s="7"/>
      <c r="K113" s="7"/>
      <c r="L113" s="7"/>
      <c r="M113" s="6">
        <v>0.33</v>
      </c>
      <c r="N113" s="6">
        <v>0.33</v>
      </c>
      <c r="O113" s="7"/>
      <c r="P113" s="6">
        <v>0.33</v>
      </c>
      <c r="Q113" s="7"/>
      <c r="R113" s="7"/>
      <c r="S113" s="7"/>
      <c r="T113" s="7"/>
      <c r="U113" s="7"/>
      <c r="V113" s="7"/>
      <c r="W113" s="7"/>
      <c r="X113" s="6">
        <f t="shared" si="20"/>
        <v>0</v>
      </c>
      <c r="Y113" s="6">
        <f t="shared" si="21"/>
        <v>0</v>
      </c>
      <c r="Z113" s="6">
        <f t="shared" si="22"/>
        <v>0</v>
      </c>
      <c r="AA113" s="6">
        <f t="shared" si="23"/>
        <v>0</v>
      </c>
      <c r="AB113" s="6">
        <f t="shared" si="24"/>
        <v>0</v>
      </c>
      <c r="AC113" s="6">
        <f t="shared" si="25"/>
        <v>0</v>
      </c>
      <c r="AD113" s="6">
        <f t="shared" si="26"/>
        <v>0.26435483870967746</v>
      </c>
      <c r="AE113" s="6">
        <f t="shared" si="27"/>
        <v>0.26435483870967746</v>
      </c>
      <c r="AF113" s="6">
        <f t="shared" si="28"/>
        <v>0</v>
      </c>
      <c r="AG113" s="6">
        <f t="shared" si="29"/>
        <v>0.26435483870967746</v>
      </c>
      <c r="AH113" s="6">
        <f t="shared" si="30"/>
        <v>0</v>
      </c>
      <c r="AI113" s="6">
        <f t="shared" si="31"/>
        <v>0</v>
      </c>
      <c r="AJ113" s="6">
        <f t="shared" si="32"/>
        <v>0</v>
      </c>
      <c r="AK113" s="6">
        <f t="shared" si="33"/>
        <v>0</v>
      </c>
      <c r="AL113" s="6">
        <f t="shared" si="34"/>
        <v>0</v>
      </c>
      <c r="AM113" s="6">
        <f t="shared" si="35"/>
        <v>0</v>
      </c>
      <c r="AN113" s="6">
        <f t="shared" si="36"/>
        <v>0</v>
      </c>
    </row>
    <row r="114" spans="1:40" ht="15.5" x14ac:dyDescent="0.35">
      <c r="A114" s="4" t="s">
        <v>214</v>
      </c>
      <c r="B114" s="4">
        <v>27</v>
      </c>
      <c r="C114">
        <v>5</v>
      </c>
      <c r="D114" s="4" t="s">
        <v>120</v>
      </c>
      <c r="E114" s="4">
        <v>0.26451612903225807</v>
      </c>
      <c r="F114">
        <f t="shared" si="19"/>
        <v>0.75376344086021518</v>
      </c>
      <c r="G114" s="7"/>
      <c r="H114" s="7"/>
      <c r="I114" s="7"/>
      <c r="J114" s="7"/>
      <c r="K114" s="7"/>
      <c r="L114" s="7"/>
      <c r="M114" s="6">
        <v>0.33</v>
      </c>
      <c r="N114" s="6">
        <v>0.33</v>
      </c>
      <c r="O114" s="7"/>
      <c r="P114" s="6">
        <v>0.33</v>
      </c>
      <c r="Q114" s="7"/>
      <c r="R114" s="7"/>
      <c r="S114" s="7"/>
      <c r="T114" s="7"/>
      <c r="U114" s="7"/>
      <c r="V114" s="7"/>
      <c r="W114" s="7"/>
      <c r="X114" s="6">
        <f t="shared" si="20"/>
        <v>0</v>
      </c>
      <c r="Y114" s="6">
        <f t="shared" si="21"/>
        <v>0</v>
      </c>
      <c r="Z114" s="6">
        <f t="shared" si="22"/>
        <v>0</v>
      </c>
      <c r="AA114" s="6">
        <f t="shared" si="23"/>
        <v>0</v>
      </c>
      <c r="AB114" s="6">
        <f t="shared" si="24"/>
        <v>0</v>
      </c>
      <c r="AC114" s="6">
        <f t="shared" si="25"/>
        <v>0</v>
      </c>
      <c r="AD114" s="6">
        <f t="shared" si="26"/>
        <v>0.24874193548387102</v>
      </c>
      <c r="AE114" s="6">
        <f t="shared" si="27"/>
        <v>0.24874193548387102</v>
      </c>
      <c r="AF114" s="6">
        <f t="shared" si="28"/>
        <v>0</v>
      </c>
      <c r="AG114" s="6">
        <f t="shared" si="29"/>
        <v>0.24874193548387102</v>
      </c>
      <c r="AH114" s="6">
        <f t="shared" si="30"/>
        <v>0</v>
      </c>
      <c r="AI114" s="6">
        <f t="shared" si="31"/>
        <v>0</v>
      </c>
      <c r="AJ114" s="6">
        <f t="shared" si="32"/>
        <v>0</v>
      </c>
      <c r="AK114" s="6">
        <f t="shared" si="33"/>
        <v>0</v>
      </c>
      <c r="AL114" s="6">
        <f t="shared" si="34"/>
        <v>0</v>
      </c>
      <c r="AM114" s="6">
        <f t="shared" si="35"/>
        <v>0</v>
      </c>
      <c r="AN114" s="6">
        <f t="shared" si="36"/>
        <v>0</v>
      </c>
    </row>
    <row r="115" spans="1:40" ht="15.5" x14ac:dyDescent="0.35">
      <c r="A115" s="4" t="s">
        <v>214</v>
      </c>
      <c r="B115" s="4">
        <v>27</v>
      </c>
      <c r="C115">
        <v>3</v>
      </c>
      <c r="D115" s="4" t="s">
        <v>118</v>
      </c>
      <c r="E115" s="4">
        <v>0.21935483870967748</v>
      </c>
      <c r="F115">
        <f t="shared" si="19"/>
        <v>0.70860215053763453</v>
      </c>
      <c r="G115" s="7"/>
      <c r="H115" s="7"/>
      <c r="I115" s="7"/>
      <c r="J115" s="7"/>
      <c r="K115" s="7"/>
      <c r="L115" s="7"/>
      <c r="M115" s="6">
        <v>0.33</v>
      </c>
      <c r="N115" s="6">
        <v>0.33</v>
      </c>
      <c r="O115" s="7"/>
      <c r="P115" s="6">
        <v>0.33</v>
      </c>
      <c r="Q115" s="7"/>
      <c r="R115" s="7"/>
      <c r="S115" s="7"/>
      <c r="T115" s="7"/>
      <c r="U115" s="7"/>
      <c r="V115" s="7"/>
      <c r="W115" s="7"/>
      <c r="X115" s="6">
        <f t="shared" si="20"/>
        <v>0</v>
      </c>
      <c r="Y115" s="6">
        <f t="shared" si="21"/>
        <v>0</v>
      </c>
      <c r="Z115" s="6">
        <f t="shared" si="22"/>
        <v>0</v>
      </c>
      <c r="AA115" s="6">
        <f t="shared" si="23"/>
        <v>0</v>
      </c>
      <c r="AB115" s="6">
        <f t="shared" si="24"/>
        <v>0</v>
      </c>
      <c r="AC115" s="6">
        <f t="shared" si="25"/>
        <v>0</v>
      </c>
      <c r="AD115" s="6">
        <f t="shared" si="26"/>
        <v>0.2338387096774194</v>
      </c>
      <c r="AE115" s="6">
        <f t="shared" si="27"/>
        <v>0.2338387096774194</v>
      </c>
      <c r="AF115" s="6">
        <f t="shared" si="28"/>
        <v>0</v>
      </c>
      <c r="AG115" s="6">
        <f t="shared" si="29"/>
        <v>0.2338387096774194</v>
      </c>
      <c r="AH115" s="6">
        <f t="shared" si="30"/>
        <v>0</v>
      </c>
      <c r="AI115" s="6">
        <f t="shared" si="31"/>
        <v>0</v>
      </c>
      <c r="AJ115" s="6">
        <f t="shared" si="32"/>
        <v>0</v>
      </c>
      <c r="AK115" s="6">
        <f t="shared" si="33"/>
        <v>0</v>
      </c>
      <c r="AL115" s="6">
        <f t="shared" si="34"/>
        <v>0</v>
      </c>
      <c r="AM115" s="6">
        <f t="shared" si="35"/>
        <v>0</v>
      </c>
      <c r="AN115" s="6">
        <f t="shared" si="36"/>
        <v>0</v>
      </c>
    </row>
    <row r="116" spans="1:40" ht="15.5" x14ac:dyDescent="0.35">
      <c r="A116" s="4" t="s">
        <v>214</v>
      </c>
      <c r="B116" s="4">
        <v>27</v>
      </c>
      <c r="C116">
        <v>1</v>
      </c>
      <c r="D116" s="4" t="s">
        <v>116</v>
      </c>
      <c r="E116" s="4">
        <v>0.20860215053763445</v>
      </c>
      <c r="F116">
        <f t="shared" si="19"/>
        <v>0.69784946236559153</v>
      </c>
      <c r="G116" s="7"/>
      <c r="H116" s="7"/>
      <c r="I116" s="7"/>
      <c r="J116" s="7"/>
      <c r="K116" s="7"/>
      <c r="L116" s="7"/>
      <c r="M116" s="6">
        <v>0.33</v>
      </c>
      <c r="N116" s="6">
        <v>0.33</v>
      </c>
      <c r="O116" s="7"/>
      <c r="P116" s="6">
        <v>0.33</v>
      </c>
      <c r="Q116" s="7"/>
      <c r="R116" s="7"/>
      <c r="S116" s="7"/>
      <c r="T116" s="7"/>
      <c r="U116" s="7"/>
      <c r="V116" s="7"/>
      <c r="W116" s="7"/>
      <c r="X116" s="6">
        <f t="shared" si="20"/>
        <v>0</v>
      </c>
      <c r="Y116" s="6">
        <f t="shared" si="21"/>
        <v>0</v>
      </c>
      <c r="Z116" s="6">
        <f t="shared" si="22"/>
        <v>0</v>
      </c>
      <c r="AA116" s="6">
        <f t="shared" si="23"/>
        <v>0</v>
      </c>
      <c r="AB116" s="6">
        <f t="shared" si="24"/>
        <v>0</v>
      </c>
      <c r="AC116" s="6">
        <f t="shared" si="25"/>
        <v>0</v>
      </c>
      <c r="AD116" s="6">
        <f t="shared" si="26"/>
        <v>0.23029032258064522</v>
      </c>
      <c r="AE116" s="6">
        <f t="shared" si="27"/>
        <v>0.23029032258064522</v>
      </c>
      <c r="AF116" s="6">
        <f t="shared" si="28"/>
        <v>0</v>
      </c>
      <c r="AG116" s="6">
        <f t="shared" si="29"/>
        <v>0.23029032258064522</v>
      </c>
      <c r="AH116" s="6">
        <f t="shared" si="30"/>
        <v>0</v>
      </c>
      <c r="AI116" s="6">
        <f t="shared" si="31"/>
        <v>0</v>
      </c>
      <c r="AJ116" s="6">
        <f t="shared" si="32"/>
        <v>0</v>
      </c>
      <c r="AK116" s="6">
        <f t="shared" si="33"/>
        <v>0</v>
      </c>
      <c r="AL116" s="6">
        <f t="shared" si="34"/>
        <v>0</v>
      </c>
      <c r="AM116" s="6">
        <f t="shared" si="35"/>
        <v>0</v>
      </c>
      <c r="AN116" s="6">
        <f t="shared" si="36"/>
        <v>0</v>
      </c>
    </row>
    <row r="117" spans="1:40" ht="15.5" x14ac:dyDescent="0.35">
      <c r="A117" s="4" t="s">
        <v>214</v>
      </c>
      <c r="B117" s="4">
        <v>28</v>
      </c>
      <c r="C117">
        <v>3</v>
      </c>
      <c r="D117" s="4" t="s">
        <v>123</v>
      </c>
      <c r="E117" s="4">
        <v>-0.41290322580645161</v>
      </c>
      <c r="F117">
        <f t="shared" si="19"/>
        <v>7.6344086021505497E-2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>
        <v>1</v>
      </c>
      <c r="R117" s="7"/>
      <c r="S117" s="7"/>
      <c r="T117" s="7"/>
      <c r="U117" s="7"/>
      <c r="V117" s="7"/>
      <c r="W117" s="7"/>
      <c r="X117" s="6">
        <f t="shared" si="20"/>
        <v>0</v>
      </c>
      <c r="Y117" s="6">
        <f t="shared" si="21"/>
        <v>0</v>
      </c>
      <c r="Z117" s="6">
        <f t="shared" si="22"/>
        <v>0</v>
      </c>
      <c r="AA117" s="6">
        <f t="shared" si="23"/>
        <v>0</v>
      </c>
      <c r="AB117" s="6">
        <f t="shared" si="24"/>
        <v>0</v>
      </c>
      <c r="AC117" s="6">
        <f t="shared" si="25"/>
        <v>0</v>
      </c>
      <c r="AD117" s="6">
        <f t="shared" si="26"/>
        <v>0</v>
      </c>
      <c r="AE117" s="6">
        <f t="shared" si="27"/>
        <v>0</v>
      </c>
      <c r="AF117" s="6">
        <f t="shared" si="28"/>
        <v>0</v>
      </c>
      <c r="AG117" s="6">
        <f t="shared" si="29"/>
        <v>0</v>
      </c>
      <c r="AH117" s="6">
        <f t="shared" si="30"/>
        <v>7.6344086021505497E-2</v>
      </c>
      <c r="AI117" s="6">
        <f t="shared" si="31"/>
        <v>0</v>
      </c>
      <c r="AJ117" s="6">
        <f t="shared" si="32"/>
        <v>0</v>
      </c>
      <c r="AK117" s="6">
        <f t="shared" si="33"/>
        <v>0</v>
      </c>
      <c r="AL117" s="6">
        <f t="shared" si="34"/>
        <v>0</v>
      </c>
      <c r="AM117" s="6">
        <f t="shared" si="35"/>
        <v>0</v>
      </c>
      <c r="AN117" s="6">
        <f t="shared" si="36"/>
        <v>0</v>
      </c>
    </row>
    <row r="118" spans="1:40" ht="15.5" x14ac:dyDescent="0.35">
      <c r="A118" s="4" t="s">
        <v>214</v>
      </c>
      <c r="B118" s="4">
        <v>28</v>
      </c>
      <c r="C118">
        <v>2</v>
      </c>
      <c r="D118" s="4" t="s">
        <v>122</v>
      </c>
      <c r="E118" s="4">
        <v>-0.42365591397849467</v>
      </c>
      <c r="F118">
        <f t="shared" si="19"/>
        <v>6.5591397849462441E-2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>
        <v>1</v>
      </c>
      <c r="R118" s="7"/>
      <c r="S118" s="7"/>
      <c r="T118" s="7"/>
      <c r="U118" s="7"/>
      <c r="V118" s="7"/>
      <c r="W118" s="7"/>
      <c r="X118" s="6">
        <f t="shared" si="20"/>
        <v>0</v>
      </c>
      <c r="Y118" s="6">
        <f t="shared" si="21"/>
        <v>0</v>
      </c>
      <c r="Z118" s="6">
        <f t="shared" si="22"/>
        <v>0</v>
      </c>
      <c r="AA118" s="6">
        <f t="shared" si="23"/>
        <v>0</v>
      </c>
      <c r="AB118" s="6">
        <f t="shared" si="24"/>
        <v>0</v>
      </c>
      <c r="AC118" s="6">
        <f t="shared" si="25"/>
        <v>0</v>
      </c>
      <c r="AD118" s="6">
        <f t="shared" si="26"/>
        <v>0</v>
      </c>
      <c r="AE118" s="6">
        <f t="shared" si="27"/>
        <v>0</v>
      </c>
      <c r="AF118" s="6">
        <f t="shared" si="28"/>
        <v>0</v>
      </c>
      <c r="AG118" s="6">
        <f t="shared" si="29"/>
        <v>0</v>
      </c>
      <c r="AH118" s="6">
        <f t="shared" si="30"/>
        <v>6.5591397849462441E-2</v>
      </c>
      <c r="AI118" s="6">
        <f t="shared" si="31"/>
        <v>0</v>
      </c>
      <c r="AJ118" s="6">
        <f t="shared" si="32"/>
        <v>0</v>
      </c>
      <c r="AK118" s="6">
        <f t="shared" si="33"/>
        <v>0</v>
      </c>
      <c r="AL118" s="6">
        <f t="shared" si="34"/>
        <v>0</v>
      </c>
      <c r="AM118" s="6">
        <f t="shared" si="35"/>
        <v>0</v>
      </c>
      <c r="AN118" s="6">
        <f t="shared" si="36"/>
        <v>0</v>
      </c>
    </row>
    <row r="119" spans="1:40" ht="15.5" x14ac:dyDescent="0.35">
      <c r="A119" s="4" t="s">
        <v>214</v>
      </c>
      <c r="B119" s="4">
        <v>28</v>
      </c>
      <c r="C119">
        <v>5</v>
      </c>
      <c r="D119" s="4" t="s">
        <v>125</v>
      </c>
      <c r="E119" s="4">
        <v>-0.43010752688172044</v>
      </c>
      <c r="F119">
        <f t="shared" si="19"/>
        <v>5.9139784946236673E-2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>
        <v>1</v>
      </c>
      <c r="R119" s="7"/>
      <c r="S119" s="7"/>
      <c r="T119" s="7"/>
      <c r="U119" s="7"/>
      <c r="V119" s="7"/>
      <c r="W119" s="7"/>
      <c r="X119" s="6">
        <f t="shared" si="20"/>
        <v>0</v>
      </c>
      <c r="Y119" s="6">
        <f t="shared" si="21"/>
        <v>0</v>
      </c>
      <c r="Z119" s="6">
        <f t="shared" si="22"/>
        <v>0</v>
      </c>
      <c r="AA119" s="6">
        <f t="shared" si="23"/>
        <v>0</v>
      </c>
      <c r="AB119" s="6">
        <f t="shared" si="24"/>
        <v>0</v>
      </c>
      <c r="AC119" s="6">
        <f t="shared" si="25"/>
        <v>0</v>
      </c>
      <c r="AD119" s="6">
        <f t="shared" si="26"/>
        <v>0</v>
      </c>
      <c r="AE119" s="6">
        <f t="shared" si="27"/>
        <v>0</v>
      </c>
      <c r="AF119" s="6">
        <f t="shared" si="28"/>
        <v>0</v>
      </c>
      <c r="AG119" s="6">
        <f t="shared" si="29"/>
        <v>0</v>
      </c>
      <c r="AH119" s="6">
        <f t="shared" si="30"/>
        <v>5.9139784946236673E-2</v>
      </c>
      <c r="AI119" s="6">
        <f t="shared" si="31"/>
        <v>0</v>
      </c>
      <c r="AJ119" s="6">
        <f t="shared" si="32"/>
        <v>0</v>
      </c>
      <c r="AK119" s="6">
        <f t="shared" si="33"/>
        <v>0</v>
      </c>
      <c r="AL119" s="6">
        <f t="shared" si="34"/>
        <v>0</v>
      </c>
      <c r="AM119" s="6">
        <f t="shared" si="35"/>
        <v>0</v>
      </c>
      <c r="AN119" s="6">
        <f t="shared" si="36"/>
        <v>0</v>
      </c>
    </row>
    <row r="120" spans="1:40" ht="15.5" x14ac:dyDescent="0.35">
      <c r="A120" s="4" t="s">
        <v>214</v>
      </c>
      <c r="B120" s="4">
        <v>28</v>
      </c>
      <c r="C120">
        <v>1</v>
      </c>
      <c r="D120" s="4" t="s">
        <v>121</v>
      </c>
      <c r="E120" s="4">
        <v>-0.47311827956989255</v>
      </c>
      <c r="F120">
        <f t="shared" si="19"/>
        <v>1.6129032258064557E-2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>
        <v>1</v>
      </c>
      <c r="R120" s="7"/>
      <c r="S120" s="7"/>
      <c r="T120" s="7"/>
      <c r="U120" s="7"/>
      <c r="V120" s="7"/>
      <c r="W120" s="7"/>
      <c r="X120" s="6">
        <f t="shared" si="20"/>
        <v>0</v>
      </c>
      <c r="Y120" s="6">
        <f t="shared" si="21"/>
        <v>0</v>
      </c>
      <c r="Z120" s="6">
        <f t="shared" si="22"/>
        <v>0</v>
      </c>
      <c r="AA120" s="6">
        <f t="shared" si="23"/>
        <v>0</v>
      </c>
      <c r="AB120" s="6">
        <f t="shared" si="24"/>
        <v>0</v>
      </c>
      <c r="AC120" s="6">
        <f t="shared" si="25"/>
        <v>0</v>
      </c>
      <c r="AD120" s="6">
        <f t="shared" si="26"/>
        <v>0</v>
      </c>
      <c r="AE120" s="6">
        <f t="shared" si="27"/>
        <v>0</v>
      </c>
      <c r="AF120" s="6">
        <f t="shared" si="28"/>
        <v>0</v>
      </c>
      <c r="AG120" s="6">
        <f t="shared" si="29"/>
        <v>0</v>
      </c>
      <c r="AH120" s="6">
        <f t="shared" si="30"/>
        <v>1.6129032258064557E-2</v>
      </c>
      <c r="AI120" s="6">
        <f t="shared" si="31"/>
        <v>0</v>
      </c>
      <c r="AJ120" s="6">
        <f t="shared" si="32"/>
        <v>0</v>
      </c>
      <c r="AK120" s="6">
        <f t="shared" si="33"/>
        <v>0</v>
      </c>
      <c r="AL120" s="6">
        <f t="shared" si="34"/>
        <v>0</v>
      </c>
      <c r="AM120" s="6">
        <f t="shared" si="35"/>
        <v>0</v>
      </c>
      <c r="AN120" s="6">
        <f t="shared" si="36"/>
        <v>0</v>
      </c>
    </row>
    <row r="121" spans="1:40" ht="15.5" x14ac:dyDescent="0.35">
      <c r="A121" s="4" t="s">
        <v>214</v>
      </c>
      <c r="B121" s="4">
        <v>28</v>
      </c>
      <c r="C121">
        <v>4</v>
      </c>
      <c r="D121" s="4" t="s">
        <v>124</v>
      </c>
      <c r="E121" s="4">
        <v>-0.48924731182795711</v>
      </c>
      <c r="F121">
        <f t="shared" si="19"/>
        <v>0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>
        <v>1</v>
      </c>
      <c r="R121" s="7"/>
      <c r="S121" s="7"/>
      <c r="T121" s="7"/>
      <c r="U121" s="7"/>
      <c r="V121" s="7"/>
      <c r="W121" s="7"/>
      <c r="X121" s="6">
        <f t="shared" si="20"/>
        <v>0</v>
      </c>
      <c r="Y121" s="6">
        <f t="shared" si="21"/>
        <v>0</v>
      </c>
      <c r="Z121" s="6">
        <f t="shared" si="22"/>
        <v>0</v>
      </c>
      <c r="AA121" s="6">
        <f t="shared" si="23"/>
        <v>0</v>
      </c>
      <c r="AB121" s="6">
        <f t="shared" si="24"/>
        <v>0</v>
      </c>
      <c r="AC121" s="6">
        <f t="shared" si="25"/>
        <v>0</v>
      </c>
      <c r="AD121" s="6">
        <f t="shared" si="26"/>
        <v>0</v>
      </c>
      <c r="AE121" s="6">
        <f t="shared" si="27"/>
        <v>0</v>
      </c>
      <c r="AF121" s="6">
        <f t="shared" si="28"/>
        <v>0</v>
      </c>
      <c r="AG121" s="6">
        <f t="shared" si="29"/>
        <v>0</v>
      </c>
      <c r="AH121" s="6">
        <f t="shared" si="30"/>
        <v>0</v>
      </c>
      <c r="AI121" s="6">
        <f t="shared" si="31"/>
        <v>0</v>
      </c>
      <c r="AJ121" s="6">
        <f t="shared" si="32"/>
        <v>0</v>
      </c>
      <c r="AK121" s="6">
        <f t="shared" si="33"/>
        <v>0</v>
      </c>
      <c r="AL121" s="6">
        <f t="shared" si="34"/>
        <v>0</v>
      </c>
      <c r="AM121" s="6">
        <f t="shared" si="35"/>
        <v>0</v>
      </c>
      <c r="AN121" s="6">
        <f t="shared" si="36"/>
        <v>0</v>
      </c>
    </row>
    <row r="122" spans="1:40" ht="15.5" x14ac:dyDescent="0.35">
      <c r="A122" s="4" t="s">
        <v>214</v>
      </c>
      <c r="B122" s="4">
        <v>29</v>
      </c>
      <c r="C122">
        <v>4</v>
      </c>
      <c r="D122" s="4" t="s">
        <v>129</v>
      </c>
      <c r="E122" s="4">
        <v>-2.0430107526881736E-2</v>
      </c>
      <c r="F122">
        <f t="shared" si="19"/>
        <v>0.46881720430107537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>
        <v>1</v>
      </c>
      <c r="R122" s="7"/>
      <c r="S122" s="7"/>
      <c r="T122" s="7"/>
      <c r="U122" s="7"/>
      <c r="V122" s="7"/>
      <c r="W122" s="7"/>
      <c r="X122" s="6">
        <f t="shared" si="20"/>
        <v>0</v>
      </c>
      <c r="Y122" s="6">
        <f t="shared" si="21"/>
        <v>0</v>
      </c>
      <c r="Z122" s="6">
        <f t="shared" si="22"/>
        <v>0</v>
      </c>
      <c r="AA122" s="6">
        <f t="shared" si="23"/>
        <v>0</v>
      </c>
      <c r="AB122" s="6">
        <f t="shared" si="24"/>
        <v>0</v>
      </c>
      <c r="AC122" s="6">
        <f t="shared" si="25"/>
        <v>0</v>
      </c>
      <c r="AD122" s="6">
        <f t="shared" si="26"/>
        <v>0</v>
      </c>
      <c r="AE122" s="6">
        <f t="shared" si="27"/>
        <v>0</v>
      </c>
      <c r="AF122" s="6">
        <f t="shared" si="28"/>
        <v>0</v>
      </c>
      <c r="AG122" s="6">
        <f t="shared" si="29"/>
        <v>0</v>
      </c>
      <c r="AH122" s="6">
        <f t="shared" si="30"/>
        <v>0.46881720430107537</v>
      </c>
      <c r="AI122" s="6">
        <f t="shared" si="31"/>
        <v>0</v>
      </c>
      <c r="AJ122" s="6">
        <f t="shared" si="32"/>
        <v>0</v>
      </c>
      <c r="AK122" s="6">
        <f t="shared" si="33"/>
        <v>0</v>
      </c>
      <c r="AL122" s="6">
        <f t="shared" si="34"/>
        <v>0</v>
      </c>
      <c r="AM122" s="6">
        <f t="shared" si="35"/>
        <v>0</v>
      </c>
      <c r="AN122" s="6">
        <f t="shared" si="36"/>
        <v>0</v>
      </c>
    </row>
    <row r="123" spans="1:40" ht="15.5" x14ac:dyDescent="0.35">
      <c r="A123" s="4" t="s">
        <v>214</v>
      </c>
      <c r="B123" s="4">
        <v>29</v>
      </c>
      <c r="C123">
        <v>3</v>
      </c>
      <c r="D123" s="4" t="s">
        <v>128</v>
      </c>
      <c r="E123" s="4">
        <v>-6.5591397849462385E-2</v>
      </c>
      <c r="F123">
        <f t="shared" si="19"/>
        <v>0.42365591397849472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>
        <v>1</v>
      </c>
      <c r="R123" s="7"/>
      <c r="S123" s="7"/>
      <c r="T123" s="7"/>
      <c r="U123" s="7"/>
      <c r="V123" s="7"/>
      <c r="W123" s="7"/>
      <c r="X123" s="6">
        <f t="shared" si="20"/>
        <v>0</v>
      </c>
      <c r="Y123" s="6">
        <f t="shared" si="21"/>
        <v>0</v>
      </c>
      <c r="Z123" s="6">
        <f t="shared" si="22"/>
        <v>0</v>
      </c>
      <c r="AA123" s="6">
        <f t="shared" si="23"/>
        <v>0</v>
      </c>
      <c r="AB123" s="6">
        <f t="shared" si="24"/>
        <v>0</v>
      </c>
      <c r="AC123" s="6">
        <f t="shared" si="25"/>
        <v>0</v>
      </c>
      <c r="AD123" s="6">
        <f t="shared" si="26"/>
        <v>0</v>
      </c>
      <c r="AE123" s="6">
        <f t="shared" si="27"/>
        <v>0</v>
      </c>
      <c r="AF123" s="6">
        <f t="shared" si="28"/>
        <v>0</v>
      </c>
      <c r="AG123" s="6">
        <f t="shared" si="29"/>
        <v>0</v>
      </c>
      <c r="AH123" s="6">
        <f t="shared" si="30"/>
        <v>0.42365591397849472</v>
      </c>
      <c r="AI123" s="6">
        <f t="shared" si="31"/>
        <v>0</v>
      </c>
      <c r="AJ123" s="6">
        <f t="shared" si="32"/>
        <v>0</v>
      </c>
      <c r="AK123" s="6">
        <f t="shared" si="33"/>
        <v>0</v>
      </c>
      <c r="AL123" s="6">
        <f t="shared" si="34"/>
        <v>0</v>
      </c>
      <c r="AM123" s="6">
        <f t="shared" si="35"/>
        <v>0</v>
      </c>
      <c r="AN123" s="6">
        <f t="shared" si="36"/>
        <v>0</v>
      </c>
    </row>
    <row r="124" spans="1:40" ht="15.5" x14ac:dyDescent="0.35">
      <c r="A124" s="4" t="s">
        <v>214</v>
      </c>
      <c r="B124" s="4">
        <v>29</v>
      </c>
      <c r="C124">
        <v>1</v>
      </c>
      <c r="D124" s="4" t="s">
        <v>126</v>
      </c>
      <c r="E124" s="4">
        <v>-7.6344086021505386E-2</v>
      </c>
      <c r="F124">
        <f t="shared" si="19"/>
        <v>0.41290322580645172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>
        <v>1</v>
      </c>
      <c r="R124" s="7"/>
      <c r="S124" s="7"/>
      <c r="T124" s="7"/>
      <c r="U124" s="7"/>
      <c r="V124" s="7"/>
      <c r="W124" s="7"/>
      <c r="X124" s="6">
        <f t="shared" si="20"/>
        <v>0</v>
      </c>
      <c r="Y124" s="6">
        <f t="shared" si="21"/>
        <v>0</v>
      </c>
      <c r="Z124" s="6">
        <f t="shared" si="22"/>
        <v>0</v>
      </c>
      <c r="AA124" s="6">
        <f t="shared" si="23"/>
        <v>0</v>
      </c>
      <c r="AB124" s="6">
        <f t="shared" si="24"/>
        <v>0</v>
      </c>
      <c r="AC124" s="6">
        <f t="shared" si="25"/>
        <v>0</v>
      </c>
      <c r="AD124" s="6">
        <f t="shared" si="26"/>
        <v>0</v>
      </c>
      <c r="AE124" s="6">
        <f t="shared" si="27"/>
        <v>0</v>
      </c>
      <c r="AF124" s="6">
        <f t="shared" si="28"/>
        <v>0</v>
      </c>
      <c r="AG124" s="6">
        <f t="shared" si="29"/>
        <v>0</v>
      </c>
      <c r="AH124" s="6">
        <f t="shared" si="30"/>
        <v>0.41290322580645172</v>
      </c>
      <c r="AI124" s="6">
        <f t="shared" si="31"/>
        <v>0</v>
      </c>
      <c r="AJ124" s="6">
        <f t="shared" si="32"/>
        <v>0</v>
      </c>
      <c r="AK124" s="6">
        <f t="shared" si="33"/>
        <v>0</v>
      </c>
      <c r="AL124" s="6">
        <f t="shared" si="34"/>
        <v>0</v>
      </c>
      <c r="AM124" s="6">
        <f t="shared" si="35"/>
        <v>0</v>
      </c>
      <c r="AN124" s="6">
        <f t="shared" si="36"/>
        <v>0</v>
      </c>
    </row>
    <row r="125" spans="1:40" ht="15.5" x14ac:dyDescent="0.35">
      <c r="A125" s="4" t="s">
        <v>214</v>
      </c>
      <c r="B125" s="4">
        <v>29</v>
      </c>
      <c r="C125">
        <v>2</v>
      </c>
      <c r="D125" s="4" t="s">
        <v>127</v>
      </c>
      <c r="E125" s="4">
        <v>-7.6344086021505386E-2</v>
      </c>
      <c r="F125">
        <f t="shared" si="19"/>
        <v>0.41290322580645172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>
        <v>1</v>
      </c>
      <c r="R125" s="7"/>
      <c r="S125" s="7"/>
      <c r="T125" s="7"/>
      <c r="U125" s="7"/>
      <c r="V125" s="7"/>
      <c r="W125" s="7"/>
      <c r="X125" s="6">
        <f t="shared" si="20"/>
        <v>0</v>
      </c>
      <c r="Y125" s="6">
        <f t="shared" si="21"/>
        <v>0</v>
      </c>
      <c r="Z125" s="6">
        <f t="shared" si="22"/>
        <v>0</v>
      </c>
      <c r="AA125" s="6">
        <f t="shared" si="23"/>
        <v>0</v>
      </c>
      <c r="AB125" s="6">
        <f t="shared" si="24"/>
        <v>0</v>
      </c>
      <c r="AC125" s="6">
        <f t="shared" si="25"/>
        <v>0</v>
      </c>
      <c r="AD125" s="6">
        <f t="shared" si="26"/>
        <v>0</v>
      </c>
      <c r="AE125" s="6">
        <f t="shared" si="27"/>
        <v>0</v>
      </c>
      <c r="AF125" s="6">
        <f t="shared" si="28"/>
        <v>0</v>
      </c>
      <c r="AG125" s="6">
        <f t="shared" si="29"/>
        <v>0</v>
      </c>
      <c r="AH125" s="6">
        <f t="shared" si="30"/>
        <v>0.41290322580645172</v>
      </c>
      <c r="AI125" s="6">
        <f t="shared" si="31"/>
        <v>0</v>
      </c>
      <c r="AJ125" s="6">
        <f t="shared" si="32"/>
        <v>0</v>
      </c>
      <c r="AK125" s="6">
        <f t="shared" si="33"/>
        <v>0</v>
      </c>
      <c r="AL125" s="6">
        <f t="shared" si="34"/>
        <v>0</v>
      </c>
      <c r="AM125" s="6">
        <f t="shared" si="35"/>
        <v>0</v>
      </c>
      <c r="AN125" s="6">
        <f t="shared" si="36"/>
        <v>0</v>
      </c>
    </row>
    <row r="126" spans="1:40" ht="15.5" x14ac:dyDescent="0.35">
      <c r="A126" s="4" t="s">
        <v>214</v>
      </c>
      <c r="B126" s="4">
        <v>29</v>
      </c>
      <c r="C126">
        <v>5</v>
      </c>
      <c r="D126" s="4" t="s">
        <v>130</v>
      </c>
      <c r="E126" s="4">
        <v>-8.2795698924731209E-2</v>
      </c>
      <c r="F126">
        <f t="shared" si="19"/>
        <v>0.4064516129032259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>
        <v>1</v>
      </c>
      <c r="R126" s="7"/>
      <c r="S126" s="7"/>
      <c r="T126" s="7"/>
      <c r="U126" s="7"/>
      <c r="V126" s="7"/>
      <c r="W126" s="7"/>
      <c r="X126" s="6">
        <f t="shared" si="20"/>
        <v>0</v>
      </c>
      <c r="Y126" s="6">
        <f t="shared" si="21"/>
        <v>0</v>
      </c>
      <c r="Z126" s="6">
        <f t="shared" si="22"/>
        <v>0</v>
      </c>
      <c r="AA126" s="6">
        <f t="shared" si="23"/>
        <v>0</v>
      </c>
      <c r="AB126" s="6">
        <f t="shared" si="24"/>
        <v>0</v>
      </c>
      <c r="AC126" s="6">
        <f t="shared" si="25"/>
        <v>0</v>
      </c>
      <c r="AD126" s="6">
        <f t="shared" si="26"/>
        <v>0</v>
      </c>
      <c r="AE126" s="6">
        <f t="shared" si="27"/>
        <v>0</v>
      </c>
      <c r="AF126" s="6">
        <f t="shared" si="28"/>
        <v>0</v>
      </c>
      <c r="AG126" s="6">
        <f t="shared" si="29"/>
        <v>0</v>
      </c>
      <c r="AH126" s="6">
        <f t="shared" si="30"/>
        <v>0.4064516129032259</v>
      </c>
      <c r="AI126" s="6">
        <f t="shared" si="31"/>
        <v>0</v>
      </c>
      <c r="AJ126" s="6">
        <f t="shared" si="32"/>
        <v>0</v>
      </c>
      <c r="AK126" s="6">
        <f t="shared" si="33"/>
        <v>0</v>
      </c>
      <c r="AL126" s="6">
        <f t="shared" si="34"/>
        <v>0</v>
      </c>
      <c r="AM126" s="6">
        <f t="shared" si="35"/>
        <v>0</v>
      </c>
      <c r="AN126" s="6">
        <f t="shared" si="36"/>
        <v>0</v>
      </c>
    </row>
    <row r="127" spans="1:40" ht="15.5" x14ac:dyDescent="0.35">
      <c r="A127" s="4" t="s">
        <v>214</v>
      </c>
      <c r="B127" s="4">
        <v>30</v>
      </c>
      <c r="C127">
        <v>5</v>
      </c>
      <c r="D127" s="4" t="s">
        <v>135</v>
      </c>
      <c r="E127" s="4">
        <v>-2.0430107526881736E-2</v>
      </c>
      <c r="F127">
        <f t="shared" si="19"/>
        <v>0.46881720430107537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>
        <v>1</v>
      </c>
      <c r="R127" s="7"/>
      <c r="S127" s="7"/>
      <c r="T127" s="7"/>
      <c r="U127" s="7"/>
      <c r="V127" s="7"/>
      <c r="W127" s="7"/>
      <c r="X127" s="6">
        <f t="shared" si="20"/>
        <v>0</v>
      </c>
      <c r="Y127" s="6">
        <f t="shared" si="21"/>
        <v>0</v>
      </c>
      <c r="Z127" s="6">
        <f t="shared" si="22"/>
        <v>0</v>
      </c>
      <c r="AA127" s="6">
        <f t="shared" si="23"/>
        <v>0</v>
      </c>
      <c r="AB127" s="6">
        <f t="shared" si="24"/>
        <v>0</v>
      </c>
      <c r="AC127" s="6">
        <f t="shared" si="25"/>
        <v>0</v>
      </c>
      <c r="AD127" s="6">
        <f t="shared" si="26"/>
        <v>0</v>
      </c>
      <c r="AE127" s="6">
        <f t="shared" si="27"/>
        <v>0</v>
      </c>
      <c r="AF127" s="6">
        <f t="shared" si="28"/>
        <v>0</v>
      </c>
      <c r="AG127" s="6">
        <f t="shared" si="29"/>
        <v>0</v>
      </c>
      <c r="AH127" s="6">
        <f t="shared" si="30"/>
        <v>0.46881720430107537</v>
      </c>
      <c r="AI127" s="6">
        <f t="shared" si="31"/>
        <v>0</v>
      </c>
      <c r="AJ127" s="6">
        <f t="shared" si="32"/>
        <v>0</v>
      </c>
      <c r="AK127" s="6">
        <f t="shared" si="33"/>
        <v>0</v>
      </c>
      <c r="AL127" s="6">
        <f t="shared" si="34"/>
        <v>0</v>
      </c>
      <c r="AM127" s="6">
        <f t="shared" si="35"/>
        <v>0</v>
      </c>
      <c r="AN127" s="6">
        <f t="shared" si="36"/>
        <v>0</v>
      </c>
    </row>
    <row r="128" spans="1:40" ht="15.5" x14ac:dyDescent="0.35">
      <c r="A128" s="4" t="s">
        <v>214</v>
      </c>
      <c r="B128" s="4">
        <v>30</v>
      </c>
      <c r="C128">
        <v>3</v>
      </c>
      <c r="D128" s="4" t="s">
        <v>133</v>
      </c>
      <c r="E128" s="4">
        <v>-6.5591397849462385E-2</v>
      </c>
      <c r="F128">
        <f t="shared" si="19"/>
        <v>0.42365591397849472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>
        <v>1</v>
      </c>
      <c r="R128" s="7"/>
      <c r="S128" s="7"/>
      <c r="T128" s="7"/>
      <c r="U128" s="7"/>
      <c r="V128" s="7"/>
      <c r="W128" s="7"/>
      <c r="X128" s="6">
        <f t="shared" si="20"/>
        <v>0</v>
      </c>
      <c r="Y128" s="6">
        <f t="shared" si="21"/>
        <v>0</v>
      </c>
      <c r="Z128" s="6">
        <f t="shared" si="22"/>
        <v>0</v>
      </c>
      <c r="AA128" s="6">
        <f t="shared" si="23"/>
        <v>0</v>
      </c>
      <c r="AB128" s="6">
        <f t="shared" si="24"/>
        <v>0</v>
      </c>
      <c r="AC128" s="6">
        <f t="shared" si="25"/>
        <v>0</v>
      </c>
      <c r="AD128" s="6">
        <f t="shared" si="26"/>
        <v>0</v>
      </c>
      <c r="AE128" s="6">
        <f t="shared" si="27"/>
        <v>0</v>
      </c>
      <c r="AF128" s="6">
        <f t="shared" si="28"/>
        <v>0</v>
      </c>
      <c r="AG128" s="6">
        <f t="shared" si="29"/>
        <v>0</v>
      </c>
      <c r="AH128" s="6">
        <f t="shared" si="30"/>
        <v>0.42365591397849472</v>
      </c>
      <c r="AI128" s="6">
        <f t="shared" si="31"/>
        <v>0</v>
      </c>
      <c r="AJ128" s="6">
        <f t="shared" si="32"/>
        <v>0</v>
      </c>
      <c r="AK128" s="6">
        <f t="shared" si="33"/>
        <v>0</v>
      </c>
      <c r="AL128" s="6">
        <f t="shared" si="34"/>
        <v>0</v>
      </c>
      <c r="AM128" s="6">
        <f t="shared" si="35"/>
        <v>0</v>
      </c>
      <c r="AN128" s="6">
        <f t="shared" si="36"/>
        <v>0</v>
      </c>
    </row>
    <row r="129" spans="1:40" ht="15.5" x14ac:dyDescent="0.35">
      <c r="A129" s="4" t="s">
        <v>214</v>
      </c>
      <c r="B129" s="4">
        <v>30</v>
      </c>
      <c r="C129">
        <v>4</v>
      </c>
      <c r="D129" s="4" t="s">
        <v>134</v>
      </c>
      <c r="E129" s="4">
        <v>-6.5591397849462385E-2</v>
      </c>
      <c r="F129">
        <f t="shared" si="19"/>
        <v>0.42365591397849472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>
        <v>1</v>
      </c>
      <c r="R129" s="7"/>
      <c r="S129" s="7"/>
      <c r="T129" s="7"/>
      <c r="U129" s="7"/>
      <c r="V129" s="7"/>
      <c r="W129" s="7"/>
      <c r="X129" s="6">
        <f t="shared" si="20"/>
        <v>0</v>
      </c>
      <c r="Y129" s="6">
        <f t="shared" si="21"/>
        <v>0</v>
      </c>
      <c r="Z129" s="6">
        <f t="shared" si="22"/>
        <v>0</v>
      </c>
      <c r="AA129" s="6">
        <f t="shared" si="23"/>
        <v>0</v>
      </c>
      <c r="AB129" s="6">
        <f t="shared" si="24"/>
        <v>0</v>
      </c>
      <c r="AC129" s="6">
        <f t="shared" si="25"/>
        <v>0</v>
      </c>
      <c r="AD129" s="6">
        <f t="shared" si="26"/>
        <v>0</v>
      </c>
      <c r="AE129" s="6">
        <f t="shared" si="27"/>
        <v>0</v>
      </c>
      <c r="AF129" s="6">
        <f t="shared" si="28"/>
        <v>0</v>
      </c>
      <c r="AG129" s="6">
        <f t="shared" si="29"/>
        <v>0</v>
      </c>
      <c r="AH129" s="6">
        <f t="shared" si="30"/>
        <v>0.42365591397849472</v>
      </c>
      <c r="AI129" s="6">
        <f t="shared" si="31"/>
        <v>0</v>
      </c>
      <c r="AJ129" s="6">
        <f t="shared" si="32"/>
        <v>0</v>
      </c>
      <c r="AK129" s="6">
        <f t="shared" si="33"/>
        <v>0</v>
      </c>
      <c r="AL129" s="6">
        <f t="shared" si="34"/>
        <v>0</v>
      </c>
      <c r="AM129" s="6">
        <f t="shared" si="35"/>
        <v>0</v>
      </c>
      <c r="AN129" s="6">
        <f t="shared" si="36"/>
        <v>0</v>
      </c>
    </row>
    <row r="130" spans="1:40" ht="15.5" x14ac:dyDescent="0.35">
      <c r="A130" s="4" t="s">
        <v>214</v>
      </c>
      <c r="B130" s="4">
        <v>30</v>
      </c>
      <c r="C130">
        <v>1</v>
      </c>
      <c r="D130" s="4" t="s">
        <v>131</v>
      </c>
      <c r="E130" s="4">
        <v>-7.6344086021505386E-2</v>
      </c>
      <c r="F130">
        <f t="shared" si="19"/>
        <v>0.41290322580645172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>
        <v>1</v>
      </c>
      <c r="R130" s="7"/>
      <c r="S130" s="7"/>
      <c r="T130" s="7"/>
      <c r="U130" s="7"/>
      <c r="V130" s="7"/>
      <c r="W130" s="7"/>
      <c r="X130" s="6">
        <f t="shared" si="20"/>
        <v>0</v>
      </c>
      <c r="Y130" s="6">
        <f t="shared" si="21"/>
        <v>0</v>
      </c>
      <c r="Z130" s="6">
        <f t="shared" si="22"/>
        <v>0</v>
      </c>
      <c r="AA130" s="6">
        <f t="shared" si="23"/>
        <v>0</v>
      </c>
      <c r="AB130" s="6">
        <f t="shared" si="24"/>
        <v>0</v>
      </c>
      <c r="AC130" s="6">
        <f t="shared" si="25"/>
        <v>0</v>
      </c>
      <c r="AD130" s="6">
        <f t="shared" si="26"/>
        <v>0</v>
      </c>
      <c r="AE130" s="6">
        <f t="shared" si="27"/>
        <v>0</v>
      </c>
      <c r="AF130" s="6">
        <f t="shared" si="28"/>
        <v>0</v>
      </c>
      <c r="AG130" s="6">
        <f t="shared" si="29"/>
        <v>0</v>
      </c>
      <c r="AH130" s="6">
        <f t="shared" si="30"/>
        <v>0.41290322580645172</v>
      </c>
      <c r="AI130" s="6">
        <f t="shared" si="31"/>
        <v>0</v>
      </c>
      <c r="AJ130" s="6">
        <f t="shared" si="32"/>
        <v>0</v>
      </c>
      <c r="AK130" s="6">
        <f t="shared" si="33"/>
        <v>0</v>
      </c>
      <c r="AL130" s="6">
        <f t="shared" si="34"/>
        <v>0</v>
      </c>
      <c r="AM130" s="6">
        <f t="shared" si="35"/>
        <v>0</v>
      </c>
      <c r="AN130" s="6">
        <f t="shared" si="36"/>
        <v>0</v>
      </c>
    </row>
    <row r="131" spans="1:40" ht="15.5" x14ac:dyDescent="0.35">
      <c r="A131" s="4" t="s">
        <v>214</v>
      </c>
      <c r="B131" s="4">
        <v>30</v>
      </c>
      <c r="C131">
        <v>2</v>
      </c>
      <c r="D131" s="4" t="s">
        <v>132</v>
      </c>
      <c r="E131" s="4">
        <v>-7.6344086021505386E-2</v>
      </c>
      <c r="F131">
        <f t="shared" ref="F131:F188" si="37">E131-$E$121</f>
        <v>0.41290322580645172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>
        <v>1</v>
      </c>
      <c r="R131" s="7"/>
      <c r="S131" s="7"/>
      <c r="T131" s="7"/>
      <c r="U131" s="7"/>
      <c r="V131" s="7"/>
      <c r="W131" s="7"/>
      <c r="X131" s="6">
        <f t="shared" ref="X131:X188" si="38">$F131*G131</f>
        <v>0</v>
      </c>
      <c r="Y131" s="6">
        <f t="shared" ref="Y131:Y188" si="39">$F131*H131</f>
        <v>0</v>
      </c>
      <c r="Z131" s="6">
        <f t="shared" ref="Z131:Z188" si="40">$F131*I131</f>
        <v>0</v>
      </c>
      <c r="AA131" s="6">
        <f t="shared" ref="AA131:AA188" si="41">$F131*J131</f>
        <v>0</v>
      </c>
      <c r="AB131" s="6">
        <f t="shared" ref="AB131:AB188" si="42">$F131*K131</f>
        <v>0</v>
      </c>
      <c r="AC131" s="6">
        <f t="shared" ref="AC131:AC188" si="43">$F131*L131</f>
        <v>0</v>
      </c>
      <c r="AD131" s="6">
        <f t="shared" ref="AD131:AD188" si="44">$F131*M131</f>
        <v>0</v>
      </c>
      <c r="AE131" s="6">
        <f t="shared" ref="AE131:AE188" si="45">$F131*N131</f>
        <v>0</v>
      </c>
      <c r="AF131" s="6">
        <f t="shared" ref="AF131:AF188" si="46">$F131*O131</f>
        <v>0</v>
      </c>
      <c r="AG131" s="6">
        <f t="shared" ref="AG131:AG188" si="47">$F131*P131</f>
        <v>0</v>
      </c>
      <c r="AH131" s="6">
        <f t="shared" ref="AH131:AH188" si="48">$F131*Q131</f>
        <v>0.41290322580645172</v>
      </c>
      <c r="AI131" s="6">
        <f t="shared" ref="AI131:AI188" si="49">$F131*R131</f>
        <v>0</v>
      </c>
      <c r="AJ131" s="6">
        <f t="shared" ref="AJ131:AJ188" si="50">$F131*S131</f>
        <v>0</v>
      </c>
      <c r="AK131" s="6">
        <f t="shared" ref="AK131:AK188" si="51">$F131*T131</f>
        <v>0</v>
      </c>
      <c r="AL131" s="6">
        <f t="shared" ref="AL131:AL188" si="52">$F131*U131</f>
        <v>0</v>
      </c>
      <c r="AM131" s="6">
        <f t="shared" ref="AM131:AM188" si="53">$F131*V131</f>
        <v>0</v>
      </c>
      <c r="AN131" s="6">
        <f t="shared" ref="AN131:AN188" si="54">$F131*W131</f>
        <v>0</v>
      </c>
    </row>
    <row r="132" spans="1:40" ht="15.5" x14ac:dyDescent="0.35">
      <c r="A132" s="4" t="s">
        <v>215</v>
      </c>
      <c r="B132" s="4">
        <v>31</v>
      </c>
      <c r="C132">
        <v>5</v>
      </c>
      <c r="D132" s="4" t="s">
        <v>137</v>
      </c>
      <c r="E132" s="4">
        <v>-0.43225806451612903</v>
      </c>
      <c r="F132">
        <f t="shared" si="37"/>
        <v>5.6989247311828084E-2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>
        <v>1</v>
      </c>
      <c r="R132" s="7"/>
      <c r="S132" s="7"/>
      <c r="T132" s="7"/>
      <c r="U132" s="7"/>
      <c r="V132" s="7"/>
      <c r="W132" s="7"/>
      <c r="X132" s="6">
        <f t="shared" si="38"/>
        <v>0</v>
      </c>
      <c r="Y132" s="6">
        <f t="shared" si="39"/>
        <v>0</v>
      </c>
      <c r="Z132" s="6">
        <f t="shared" si="40"/>
        <v>0</v>
      </c>
      <c r="AA132" s="6">
        <f t="shared" si="41"/>
        <v>0</v>
      </c>
      <c r="AB132" s="6">
        <f t="shared" si="42"/>
        <v>0</v>
      </c>
      <c r="AC132" s="6">
        <f t="shared" si="43"/>
        <v>0</v>
      </c>
      <c r="AD132" s="6">
        <f t="shared" si="44"/>
        <v>0</v>
      </c>
      <c r="AE132" s="6">
        <f t="shared" si="45"/>
        <v>0</v>
      </c>
      <c r="AF132" s="6">
        <f t="shared" si="46"/>
        <v>0</v>
      </c>
      <c r="AG132" s="6">
        <f t="shared" si="47"/>
        <v>0</v>
      </c>
      <c r="AH132" s="6">
        <f t="shared" si="48"/>
        <v>5.6989247311828084E-2</v>
      </c>
      <c r="AI132" s="6">
        <f t="shared" si="49"/>
        <v>0</v>
      </c>
      <c r="AJ132" s="6">
        <f t="shared" si="50"/>
        <v>0</v>
      </c>
      <c r="AK132" s="6">
        <f t="shared" si="51"/>
        <v>0</v>
      </c>
      <c r="AL132" s="6">
        <f t="shared" si="52"/>
        <v>0</v>
      </c>
      <c r="AM132" s="6">
        <f t="shared" si="53"/>
        <v>0</v>
      </c>
      <c r="AN132" s="6">
        <f t="shared" si="54"/>
        <v>0</v>
      </c>
    </row>
    <row r="133" spans="1:40" ht="15.5" x14ac:dyDescent="0.35">
      <c r="A133" s="4" t="s">
        <v>215</v>
      </c>
      <c r="B133" s="4">
        <v>31</v>
      </c>
      <c r="C133">
        <v>4</v>
      </c>
      <c r="D133" s="4" t="s">
        <v>136</v>
      </c>
      <c r="E133" s="4">
        <v>-0.47741935483870968</v>
      </c>
      <c r="F133">
        <f t="shared" si="37"/>
        <v>1.1827956989247435E-2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>
        <v>1</v>
      </c>
      <c r="R133" s="7"/>
      <c r="S133" s="7"/>
      <c r="T133" s="7"/>
      <c r="U133" s="7"/>
      <c r="V133" s="7"/>
      <c r="W133" s="7"/>
      <c r="X133" s="6">
        <f t="shared" si="38"/>
        <v>0</v>
      </c>
      <c r="Y133" s="6">
        <f t="shared" si="39"/>
        <v>0</v>
      </c>
      <c r="Z133" s="6">
        <f t="shared" si="40"/>
        <v>0</v>
      </c>
      <c r="AA133" s="6">
        <f t="shared" si="41"/>
        <v>0</v>
      </c>
      <c r="AB133" s="6">
        <f t="shared" si="42"/>
        <v>0</v>
      </c>
      <c r="AC133" s="6">
        <f t="shared" si="43"/>
        <v>0</v>
      </c>
      <c r="AD133" s="6">
        <f t="shared" si="44"/>
        <v>0</v>
      </c>
      <c r="AE133" s="6">
        <f t="shared" si="45"/>
        <v>0</v>
      </c>
      <c r="AF133" s="6">
        <f t="shared" si="46"/>
        <v>0</v>
      </c>
      <c r="AG133" s="6">
        <f t="shared" si="47"/>
        <v>0</v>
      </c>
      <c r="AH133" s="6">
        <f t="shared" si="48"/>
        <v>1.1827956989247435E-2</v>
      </c>
      <c r="AI133" s="6">
        <f t="shared" si="49"/>
        <v>0</v>
      </c>
      <c r="AJ133" s="6">
        <f t="shared" si="50"/>
        <v>0</v>
      </c>
      <c r="AK133" s="6">
        <f t="shared" si="51"/>
        <v>0</v>
      </c>
      <c r="AL133" s="6">
        <f t="shared" si="52"/>
        <v>0</v>
      </c>
      <c r="AM133" s="6">
        <f t="shared" si="53"/>
        <v>0</v>
      </c>
      <c r="AN133" s="6">
        <f t="shared" si="54"/>
        <v>0</v>
      </c>
    </row>
    <row r="134" spans="1:40" ht="15.5" x14ac:dyDescent="0.35">
      <c r="A134" s="4" t="s">
        <v>215</v>
      </c>
      <c r="B134" s="4">
        <v>32</v>
      </c>
      <c r="C134">
        <v>5</v>
      </c>
      <c r="D134" s="4" t="s">
        <v>139</v>
      </c>
      <c r="E134" s="4">
        <v>-0.43225806451612903</v>
      </c>
      <c r="F134">
        <f t="shared" si="37"/>
        <v>5.6989247311828084E-2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>
        <v>1</v>
      </c>
      <c r="R134" s="7"/>
      <c r="S134" s="7"/>
      <c r="T134" s="7"/>
      <c r="U134" s="7"/>
      <c r="V134" s="7"/>
      <c r="W134" s="7"/>
      <c r="X134" s="6">
        <f t="shared" si="38"/>
        <v>0</v>
      </c>
      <c r="Y134" s="6">
        <f t="shared" si="39"/>
        <v>0</v>
      </c>
      <c r="Z134" s="6">
        <f t="shared" si="40"/>
        <v>0</v>
      </c>
      <c r="AA134" s="6">
        <f t="shared" si="41"/>
        <v>0</v>
      </c>
      <c r="AB134" s="6">
        <f t="shared" si="42"/>
        <v>0</v>
      </c>
      <c r="AC134" s="6">
        <f t="shared" si="43"/>
        <v>0</v>
      </c>
      <c r="AD134" s="6">
        <f t="shared" si="44"/>
        <v>0</v>
      </c>
      <c r="AE134" s="6">
        <f t="shared" si="45"/>
        <v>0</v>
      </c>
      <c r="AF134" s="6">
        <f t="shared" si="46"/>
        <v>0</v>
      </c>
      <c r="AG134" s="6">
        <f t="shared" si="47"/>
        <v>0</v>
      </c>
      <c r="AH134" s="6">
        <f t="shared" si="48"/>
        <v>5.6989247311828084E-2</v>
      </c>
      <c r="AI134" s="6">
        <f t="shared" si="49"/>
        <v>0</v>
      </c>
      <c r="AJ134" s="6">
        <f t="shared" si="50"/>
        <v>0</v>
      </c>
      <c r="AK134" s="6">
        <f t="shared" si="51"/>
        <v>0</v>
      </c>
      <c r="AL134" s="6">
        <f t="shared" si="52"/>
        <v>0</v>
      </c>
      <c r="AM134" s="6">
        <f t="shared" si="53"/>
        <v>0</v>
      </c>
      <c r="AN134" s="6">
        <f t="shared" si="54"/>
        <v>0</v>
      </c>
    </row>
    <row r="135" spans="1:40" ht="15.5" x14ac:dyDescent="0.35">
      <c r="A135" s="4" t="s">
        <v>215</v>
      </c>
      <c r="B135" s="4">
        <v>32</v>
      </c>
      <c r="C135">
        <v>4</v>
      </c>
      <c r="D135" s="4" t="s">
        <v>138</v>
      </c>
      <c r="E135" s="4">
        <v>-0.47741935483870968</v>
      </c>
      <c r="F135">
        <f t="shared" si="37"/>
        <v>1.1827956989247435E-2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>
        <v>1</v>
      </c>
      <c r="R135" s="7"/>
      <c r="S135" s="7"/>
      <c r="T135" s="7"/>
      <c r="U135" s="7"/>
      <c r="V135" s="7"/>
      <c r="W135" s="7"/>
      <c r="X135" s="6">
        <f t="shared" si="38"/>
        <v>0</v>
      </c>
      <c r="Y135" s="6">
        <f t="shared" si="39"/>
        <v>0</v>
      </c>
      <c r="Z135" s="6">
        <f t="shared" si="40"/>
        <v>0</v>
      </c>
      <c r="AA135" s="6">
        <f t="shared" si="41"/>
        <v>0</v>
      </c>
      <c r="AB135" s="6">
        <f t="shared" si="42"/>
        <v>0</v>
      </c>
      <c r="AC135" s="6">
        <f t="shared" si="43"/>
        <v>0</v>
      </c>
      <c r="AD135" s="6">
        <f t="shared" si="44"/>
        <v>0</v>
      </c>
      <c r="AE135" s="6">
        <f t="shared" si="45"/>
        <v>0</v>
      </c>
      <c r="AF135" s="6">
        <f t="shared" si="46"/>
        <v>0</v>
      </c>
      <c r="AG135" s="6">
        <f t="shared" si="47"/>
        <v>0</v>
      </c>
      <c r="AH135" s="6">
        <f t="shared" si="48"/>
        <v>1.1827956989247435E-2</v>
      </c>
      <c r="AI135" s="6">
        <f t="shared" si="49"/>
        <v>0</v>
      </c>
      <c r="AJ135" s="6">
        <f t="shared" si="50"/>
        <v>0</v>
      </c>
      <c r="AK135" s="6">
        <f t="shared" si="51"/>
        <v>0</v>
      </c>
      <c r="AL135" s="6">
        <f t="shared" si="52"/>
        <v>0</v>
      </c>
      <c r="AM135" s="6">
        <f t="shared" si="53"/>
        <v>0</v>
      </c>
      <c r="AN135" s="6">
        <f t="shared" si="54"/>
        <v>0</v>
      </c>
    </row>
    <row r="136" spans="1:40" ht="15.5" x14ac:dyDescent="0.35">
      <c r="A136" s="4" t="s">
        <v>214</v>
      </c>
      <c r="B136" s="4">
        <v>33</v>
      </c>
      <c r="C136">
        <v>5</v>
      </c>
      <c r="D136" s="4" t="s">
        <v>142</v>
      </c>
      <c r="E136" s="4">
        <v>-0.22043010752688175</v>
      </c>
      <c r="F136">
        <f t="shared" si="37"/>
        <v>0.26881720430107536</v>
      </c>
      <c r="G136" s="7"/>
      <c r="H136" s="7"/>
      <c r="I136" s="6">
        <v>0.33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6">
        <v>0.33</v>
      </c>
      <c r="V136" s="7"/>
      <c r="W136" s="6">
        <v>0.33</v>
      </c>
      <c r="X136" s="6">
        <f t="shared" si="38"/>
        <v>0</v>
      </c>
      <c r="Y136" s="6">
        <f t="shared" si="39"/>
        <v>0</v>
      </c>
      <c r="Z136" s="6">
        <f t="shared" si="40"/>
        <v>8.8709677419354871E-2</v>
      </c>
      <c r="AA136" s="6">
        <f t="shared" si="41"/>
        <v>0</v>
      </c>
      <c r="AB136" s="6">
        <f t="shared" si="42"/>
        <v>0</v>
      </c>
      <c r="AC136" s="6">
        <f t="shared" si="43"/>
        <v>0</v>
      </c>
      <c r="AD136" s="6">
        <f t="shared" si="44"/>
        <v>0</v>
      </c>
      <c r="AE136" s="6">
        <f t="shared" si="45"/>
        <v>0</v>
      </c>
      <c r="AF136" s="6">
        <f t="shared" si="46"/>
        <v>0</v>
      </c>
      <c r="AG136" s="6">
        <f t="shared" si="47"/>
        <v>0</v>
      </c>
      <c r="AH136" s="6">
        <f t="shared" si="48"/>
        <v>0</v>
      </c>
      <c r="AI136" s="6">
        <f t="shared" si="49"/>
        <v>0</v>
      </c>
      <c r="AJ136" s="6">
        <f t="shared" si="50"/>
        <v>0</v>
      </c>
      <c r="AK136" s="6">
        <f t="shared" si="51"/>
        <v>0</v>
      </c>
      <c r="AL136" s="6">
        <f t="shared" si="52"/>
        <v>8.8709677419354871E-2</v>
      </c>
      <c r="AM136" s="6">
        <f t="shared" si="53"/>
        <v>0</v>
      </c>
      <c r="AN136" s="6">
        <f t="shared" si="54"/>
        <v>8.8709677419354871E-2</v>
      </c>
    </row>
    <row r="137" spans="1:40" ht="15.5" x14ac:dyDescent="0.35">
      <c r="A137" s="4" t="s">
        <v>214</v>
      </c>
      <c r="B137" s="4">
        <v>33</v>
      </c>
      <c r="C137">
        <v>4</v>
      </c>
      <c r="D137" s="4" t="s">
        <v>141</v>
      </c>
      <c r="E137" s="4">
        <v>-0.25376344086021507</v>
      </c>
      <c r="F137">
        <f t="shared" si="37"/>
        <v>0.23548387096774204</v>
      </c>
      <c r="G137" s="7"/>
      <c r="H137" s="7"/>
      <c r="I137" s="6">
        <v>0.33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6">
        <v>0.33</v>
      </c>
      <c r="V137" s="7"/>
      <c r="W137" s="6">
        <v>0.33</v>
      </c>
      <c r="X137" s="6">
        <f t="shared" si="38"/>
        <v>0</v>
      </c>
      <c r="Y137" s="6">
        <f t="shared" si="39"/>
        <v>0</v>
      </c>
      <c r="Z137" s="6">
        <f t="shared" si="40"/>
        <v>7.7709677419354875E-2</v>
      </c>
      <c r="AA137" s="6">
        <f t="shared" si="41"/>
        <v>0</v>
      </c>
      <c r="AB137" s="6">
        <f t="shared" si="42"/>
        <v>0</v>
      </c>
      <c r="AC137" s="6">
        <f t="shared" si="43"/>
        <v>0</v>
      </c>
      <c r="AD137" s="6">
        <f t="shared" si="44"/>
        <v>0</v>
      </c>
      <c r="AE137" s="6">
        <f t="shared" si="45"/>
        <v>0</v>
      </c>
      <c r="AF137" s="6">
        <f t="shared" si="46"/>
        <v>0</v>
      </c>
      <c r="AG137" s="6">
        <f t="shared" si="47"/>
        <v>0</v>
      </c>
      <c r="AH137" s="6">
        <f t="shared" si="48"/>
        <v>0</v>
      </c>
      <c r="AI137" s="6">
        <f t="shared" si="49"/>
        <v>0</v>
      </c>
      <c r="AJ137" s="6">
        <f t="shared" si="50"/>
        <v>0</v>
      </c>
      <c r="AK137" s="6">
        <f t="shared" si="51"/>
        <v>0</v>
      </c>
      <c r="AL137" s="6">
        <f t="shared" si="52"/>
        <v>7.7709677419354875E-2</v>
      </c>
      <c r="AM137" s="6">
        <f t="shared" si="53"/>
        <v>0</v>
      </c>
      <c r="AN137" s="6">
        <f t="shared" si="54"/>
        <v>7.7709677419354875E-2</v>
      </c>
    </row>
    <row r="138" spans="1:40" ht="15.5" x14ac:dyDescent="0.35">
      <c r="A138" s="4" t="s">
        <v>214</v>
      </c>
      <c r="B138" s="4">
        <v>33</v>
      </c>
      <c r="C138">
        <v>3</v>
      </c>
      <c r="D138" s="4" t="s">
        <v>140</v>
      </c>
      <c r="E138" s="4">
        <v>-0.29892473118279572</v>
      </c>
      <c r="F138">
        <f t="shared" si="37"/>
        <v>0.19032258064516139</v>
      </c>
      <c r="G138" s="7"/>
      <c r="H138" s="7"/>
      <c r="I138" s="6">
        <v>0.33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6">
        <v>0.33</v>
      </c>
      <c r="V138" s="7"/>
      <c r="W138" s="6">
        <v>0.33</v>
      </c>
      <c r="X138" s="6">
        <f t="shared" si="38"/>
        <v>0</v>
      </c>
      <c r="Y138" s="6">
        <f t="shared" si="39"/>
        <v>0</v>
      </c>
      <c r="Z138" s="6">
        <f t="shared" si="40"/>
        <v>6.2806451612903255E-2</v>
      </c>
      <c r="AA138" s="6">
        <f t="shared" si="41"/>
        <v>0</v>
      </c>
      <c r="AB138" s="6">
        <f t="shared" si="42"/>
        <v>0</v>
      </c>
      <c r="AC138" s="6">
        <f t="shared" si="43"/>
        <v>0</v>
      </c>
      <c r="AD138" s="6">
        <f t="shared" si="44"/>
        <v>0</v>
      </c>
      <c r="AE138" s="6">
        <f t="shared" si="45"/>
        <v>0</v>
      </c>
      <c r="AF138" s="6">
        <f t="shared" si="46"/>
        <v>0</v>
      </c>
      <c r="AG138" s="6">
        <f t="shared" si="47"/>
        <v>0</v>
      </c>
      <c r="AH138" s="6">
        <f t="shared" si="48"/>
        <v>0</v>
      </c>
      <c r="AI138" s="6">
        <f t="shared" si="49"/>
        <v>0</v>
      </c>
      <c r="AJ138" s="6">
        <f t="shared" si="50"/>
        <v>0</v>
      </c>
      <c r="AK138" s="6">
        <f t="shared" si="51"/>
        <v>0</v>
      </c>
      <c r="AL138" s="6">
        <f t="shared" si="52"/>
        <v>6.2806451612903255E-2</v>
      </c>
      <c r="AM138" s="6">
        <f t="shared" si="53"/>
        <v>0</v>
      </c>
      <c r="AN138" s="6">
        <f t="shared" si="54"/>
        <v>6.2806451612903255E-2</v>
      </c>
    </row>
    <row r="139" spans="1:40" ht="15.5" x14ac:dyDescent="0.35">
      <c r="A139" s="4" t="s">
        <v>214</v>
      </c>
      <c r="B139" s="4">
        <v>34</v>
      </c>
      <c r="C139">
        <v>5</v>
      </c>
      <c r="D139" s="4" t="s">
        <v>147</v>
      </c>
      <c r="E139" s="4">
        <v>-4.8387096774193616E-2</v>
      </c>
      <c r="F139">
        <f t="shared" si="37"/>
        <v>0.44086021505376349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>
        <v>0.25</v>
      </c>
      <c r="U139" s="6">
        <v>0.25</v>
      </c>
      <c r="V139" s="6">
        <v>0.25</v>
      </c>
      <c r="W139" s="6">
        <v>0.25</v>
      </c>
      <c r="X139" s="6">
        <f t="shared" si="38"/>
        <v>0</v>
      </c>
      <c r="Y139" s="6">
        <f t="shared" si="39"/>
        <v>0</v>
      </c>
      <c r="Z139" s="6">
        <f t="shared" si="40"/>
        <v>0</v>
      </c>
      <c r="AA139" s="6">
        <f t="shared" si="41"/>
        <v>0</v>
      </c>
      <c r="AB139" s="6">
        <f t="shared" si="42"/>
        <v>0</v>
      </c>
      <c r="AC139" s="6">
        <f t="shared" si="43"/>
        <v>0</v>
      </c>
      <c r="AD139" s="6">
        <f t="shared" si="44"/>
        <v>0</v>
      </c>
      <c r="AE139" s="6">
        <f t="shared" si="45"/>
        <v>0</v>
      </c>
      <c r="AF139" s="6">
        <f t="shared" si="46"/>
        <v>0</v>
      </c>
      <c r="AG139" s="6">
        <f t="shared" si="47"/>
        <v>0</v>
      </c>
      <c r="AH139" s="6">
        <f t="shared" si="48"/>
        <v>0</v>
      </c>
      <c r="AI139" s="6">
        <f t="shared" si="49"/>
        <v>0</v>
      </c>
      <c r="AJ139" s="6">
        <f t="shared" si="50"/>
        <v>0</v>
      </c>
      <c r="AK139" s="6">
        <f t="shared" si="51"/>
        <v>0.11021505376344087</v>
      </c>
      <c r="AL139" s="6">
        <f t="shared" si="52"/>
        <v>0.11021505376344087</v>
      </c>
      <c r="AM139" s="6">
        <f t="shared" si="53"/>
        <v>0.11021505376344087</v>
      </c>
      <c r="AN139" s="6">
        <f t="shared" si="54"/>
        <v>0.11021505376344087</v>
      </c>
    </row>
    <row r="140" spans="1:40" ht="15.5" x14ac:dyDescent="0.35">
      <c r="A140" s="4" t="s">
        <v>214</v>
      </c>
      <c r="B140" s="4">
        <v>34</v>
      </c>
      <c r="C140">
        <v>3</v>
      </c>
      <c r="D140" s="4" t="s">
        <v>145</v>
      </c>
      <c r="E140" s="4">
        <v>-0.11827956989247307</v>
      </c>
      <c r="F140">
        <f t="shared" si="37"/>
        <v>0.37096774193548404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>
        <v>0.25</v>
      </c>
      <c r="U140" s="6">
        <v>0.25</v>
      </c>
      <c r="V140" s="6">
        <v>0.25</v>
      </c>
      <c r="W140" s="6">
        <v>0.25</v>
      </c>
      <c r="X140" s="6">
        <f t="shared" si="38"/>
        <v>0</v>
      </c>
      <c r="Y140" s="6">
        <f t="shared" si="39"/>
        <v>0</v>
      </c>
      <c r="Z140" s="6">
        <f t="shared" si="40"/>
        <v>0</v>
      </c>
      <c r="AA140" s="6">
        <f t="shared" si="41"/>
        <v>0</v>
      </c>
      <c r="AB140" s="6">
        <f t="shared" si="42"/>
        <v>0</v>
      </c>
      <c r="AC140" s="6">
        <f t="shared" si="43"/>
        <v>0</v>
      </c>
      <c r="AD140" s="6">
        <f t="shared" si="44"/>
        <v>0</v>
      </c>
      <c r="AE140" s="6">
        <f t="shared" si="45"/>
        <v>0</v>
      </c>
      <c r="AF140" s="6">
        <f t="shared" si="46"/>
        <v>0</v>
      </c>
      <c r="AG140" s="6">
        <f t="shared" si="47"/>
        <v>0</v>
      </c>
      <c r="AH140" s="6">
        <f t="shared" si="48"/>
        <v>0</v>
      </c>
      <c r="AI140" s="6">
        <f t="shared" si="49"/>
        <v>0</v>
      </c>
      <c r="AJ140" s="6">
        <f t="shared" si="50"/>
        <v>0</v>
      </c>
      <c r="AK140" s="6">
        <f t="shared" si="51"/>
        <v>9.274193548387101E-2</v>
      </c>
      <c r="AL140" s="6">
        <f t="shared" si="52"/>
        <v>9.274193548387101E-2</v>
      </c>
      <c r="AM140" s="6">
        <f t="shared" si="53"/>
        <v>9.274193548387101E-2</v>
      </c>
      <c r="AN140" s="6">
        <f t="shared" si="54"/>
        <v>9.274193548387101E-2</v>
      </c>
    </row>
    <row r="141" spans="1:40" ht="15.5" x14ac:dyDescent="0.35">
      <c r="A141" s="4" t="s">
        <v>214</v>
      </c>
      <c r="B141" s="4">
        <v>34</v>
      </c>
      <c r="C141">
        <v>4</v>
      </c>
      <c r="D141" s="4" t="s">
        <v>146</v>
      </c>
      <c r="E141" s="4">
        <v>-0.11827956989247307</v>
      </c>
      <c r="F141">
        <f t="shared" si="37"/>
        <v>0.37096774193548404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>
        <v>0.25</v>
      </c>
      <c r="U141" s="6">
        <v>0.25</v>
      </c>
      <c r="V141" s="6">
        <v>0.25</v>
      </c>
      <c r="W141" s="6">
        <v>0.25</v>
      </c>
      <c r="X141" s="6">
        <f t="shared" si="38"/>
        <v>0</v>
      </c>
      <c r="Y141" s="6">
        <f t="shared" si="39"/>
        <v>0</v>
      </c>
      <c r="Z141" s="6">
        <f t="shared" si="40"/>
        <v>0</v>
      </c>
      <c r="AA141" s="6">
        <f t="shared" si="41"/>
        <v>0</v>
      </c>
      <c r="AB141" s="6">
        <f t="shared" si="42"/>
        <v>0</v>
      </c>
      <c r="AC141" s="6">
        <f t="shared" si="43"/>
        <v>0</v>
      </c>
      <c r="AD141" s="6">
        <f t="shared" si="44"/>
        <v>0</v>
      </c>
      <c r="AE141" s="6">
        <f t="shared" si="45"/>
        <v>0</v>
      </c>
      <c r="AF141" s="6">
        <f t="shared" si="46"/>
        <v>0</v>
      </c>
      <c r="AG141" s="6">
        <f t="shared" si="47"/>
        <v>0</v>
      </c>
      <c r="AH141" s="6">
        <f t="shared" si="48"/>
        <v>0</v>
      </c>
      <c r="AI141" s="6">
        <f t="shared" si="49"/>
        <v>0</v>
      </c>
      <c r="AJ141" s="6">
        <f t="shared" si="50"/>
        <v>0</v>
      </c>
      <c r="AK141" s="6">
        <f t="shared" si="51"/>
        <v>9.274193548387101E-2</v>
      </c>
      <c r="AL141" s="6">
        <f t="shared" si="52"/>
        <v>9.274193548387101E-2</v>
      </c>
      <c r="AM141" s="6">
        <f t="shared" si="53"/>
        <v>9.274193548387101E-2</v>
      </c>
      <c r="AN141" s="6">
        <f t="shared" si="54"/>
        <v>9.274193548387101E-2</v>
      </c>
    </row>
    <row r="142" spans="1:40" ht="15.5" x14ac:dyDescent="0.35">
      <c r="A142" s="4" t="s">
        <v>214</v>
      </c>
      <c r="B142" s="4">
        <v>34</v>
      </c>
      <c r="C142">
        <v>2</v>
      </c>
      <c r="D142" s="4" t="s">
        <v>144</v>
      </c>
      <c r="E142" s="4">
        <v>-0.20860215053763437</v>
      </c>
      <c r="F142">
        <f t="shared" si="37"/>
        <v>0.28064516129032274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>
        <v>0.25</v>
      </c>
      <c r="U142" s="6">
        <v>0.25</v>
      </c>
      <c r="V142" s="6">
        <v>0.25</v>
      </c>
      <c r="W142" s="6">
        <v>0.25</v>
      </c>
      <c r="X142" s="6">
        <f t="shared" si="38"/>
        <v>0</v>
      </c>
      <c r="Y142" s="6">
        <f t="shared" si="39"/>
        <v>0</v>
      </c>
      <c r="Z142" s="6">
        <f t="shared" si="40"/>
        <v>0</v>
      </c>
      <c r="AA142" s="6">
        <f t="shared" si="41"/>
        <v>0</v>
      </c>
      <c r="AB142" s="6">
        <f t="shared" si="42"/>
        <v>0</v>
      </c>
      <c r="AC142" s="6">
        <f t="shared" si="43"/>
        <v>0</v>
      </c>
      <c r="AD142" s="6">
        <f t="shared" si="44"/>
        <v>0</v>
      </c>
      <c r="AE142" s="6">
        <f t="shared" si="45"/>
        <v>0</v>
      </c>
      <c r="AF142" s="6">
        <f t="shared" si="46"/>
        <v>0</v>
      </c>
      <c r="AG142" s="6">
        <f t="shared" si="47"/>
        <v>0</v>
      </c>
      <c r="AH142" s="6">
        <f t="shared" si="48"/>
        <v>0</v>
      </c>
      <c r="AI142" s="6">
        <f t="shared" si="49"/>
        <v>0</v>
      </c>
      <c r="AJ142" s="6">
        <f t="shared" si="50"/>
        <v>0</v>
      </c>
      <c r="AK142" s="6">
        <f t="shared" si="51"/>
        <v>7.0161290322580686E-2</v>
      </c>
      <c r="AL142" s="6">
        <f t="shared" si="52"/>
        <v>7.0161290322580686E-2</v>
      </c>
      <c r="AM142" s="6">
        <f t="shared" si="53"/>
        <v>7.0161290322580686E-2</v>
      </c>
      <c r="AN142" s="6">
        <f t="shared" si="54"/>
        <v>7.0161290322580686E-2</v>
      </c>
    </row>
    <row r="143" spans="1:40" ht="15.5" x14ac:dyDescent="0.35">
      <c r="A143" s="4" t="s">
        <v>214</v>
      </c>
      <c r="B143" s="4">
        <v>34</v>
      </c>
      <c r="C143">
        <v>1</v>
      </c>
      <c r="D143" s="4" t="s">
        <v>143</v>
      </c>
      <c r="E143" s="4">
        <v>-0.31182795698924731</v>
      </c>
      <c r="F143">
        <f t="shared" si="37"/>
        <v>0.1774193548387098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>
        <v>0.25</v>
      </c>
      <c r="U143" s="6">
        <v>0.25</v>
      </c>
      <c r="V143" s="6">
        <v>0.25</v>
      </c>
      <c r="W143" s="6">
        <v>0.25</v>
      </c>
      <c r="X143" s="6">
        <f t="shared" si="38"/>
        <v>0</v>
      </c>
      <c r="Y143" s="6">
        <f t="shared" si="39"/>
        <v>0</v>
      </c>
      <c r="Z143" s="6">
        <f t="shared" si="40"/>
        <v>0</v>
      </c>
      <c r="AA143" s="6">
        <f t="shared" si="41"/>
        <v>0</v>
      </c>
      <c r="AB143" s="6">
        <f t="shared" si="42"/>
        <v>0</v>
      </c>
      <c r="AC143" s="6">
        <f t="shared" si="43"/>
        <v>0</v>
      </c>
      <c r="AD143" s="6">
        <f t="shared" si="44"/>
        <v>0</v>
      </c>
      <c r="AE143" s="6">
        <f t="shared" si="45"/>
        <v>0</v>
      </c>
      <c r="AF143" s="6">
        <f t="shared" si="46"/>
        <v>0</v>
      </c>
      <c r="AG143" s="6">
        <f t="shared" si="47"/>
        <v>0</v>
      </c>
      <c r="AH143" s="6">
        <f t="shared" si="48"/>
        <v>0</v>
      </c>
      <c r="AI143" s="6">
        <f t="shared" si="49"/>
        <v>0</v>
      </c>
      <c r="AJ143" s="6">
        <f t="shared" si="50"/>
        <v>0</v>
      </c>
      <c r="AK143" s="6">
        <f t="shared" si="51"/>
        <v>4.4354838709677449E-2</v>
      </c>
      <c r="AL143" s="6">
        <f t="shared" si="52"/>
        <v>4.4354838709677449E-2</v>
      </c>
      <c r="AM143" s="6">
        <f t="shared" si="53"/>
        <v>4.4354838709677449E-2</v>
      </c>
      <c r="AN143" s="6">
        <f t="shared" si="54"/>
        <v>4.4354838709677449E-2</v>
      </c>
    </row>
    <row r="144" spans="1:40" ht="15.5" x14ac:dyDescent="0.35">
      <c r="A144" s="4" t="s">
        <v>214</v>
      </c>
      <c r="B144" s="4">
        <v>35</v>
      </c>
      <c r="C144">
        <v>5</v>
      </c>
      <c r="D144" s="4" t="s">
        <v>152</v>
      </c>
      <c r="E144" s="4">
        <v>0.33440860215053758</v>
      </c>
      <c r="F144">
        <f t="shared" si="37"/>
        <v>0.82365591397849469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6">
        <v>0.5</v>
      </c>
      <c r="W144" s="6">
        <v>0.5</v>
      </c>
      <c r="X144" s="6">
        <f t="shared" si="38"/>
        <v>0</v>
      </c>
      <c r="Y144" s="6">
        <f t="shared" si="39"/>
        <v>0</v>
      </c>
      <c r="Z144" s="6">
        <f t="shared" si="40"/>
        <v>0</v>
      </c>
      <c r="AA144" s="6">
        <f t="shared" si="41"/>
        <v>0</v>
      </c>
      <c r="AB144" s="6">
        <f t="shared" si="42"/>
        <v>0</v>
      </c>
      <c r="AC144" s="6">
        <f t="shared" si="43"/>
        <v>0</v>
      </c>
      <c r="AD144" s="6">
        <f t="shared" si="44"/>
        <v>0</v>
      </c>
      <c r="AE144" s="6">
        <f t="shared" si="45"/>
        <v>0</v>
      </c>
      <c r="AF144" s="6">
        <f t="shared" si="46"/>
        <v>0</v>
      </c>
      <c r="AG144" s="6">
        <f t="shared" si="47"/>
        <v>0</v>
      </c>
      <c r="AH144" s="6">
        <f t="shared" si="48"/>
        <v>0</v>
      </c>
      <c r="AI144" s="6">
        <f t="shared" si="49"/>
        <v>0</v>
      </c>
      <c r="AJ144" s="6">
        <f t="shared" si="50"/>
        <v>0</v>
      </c>
      <c r="AK144" s="6">
        <f t="shared" si="51"/>
        <v>0</v>
      </c>
      <c r="AL144" s="6">
        <f t="shared" si="52"/>
        <v>0</v>
      </c>
      <c r="AM144" s="6">
        <f t="shared" si="53"/>
        <v>0.41182795698924735</v>
      </c>
      <c r="AN144" s="6">
        <f t="shared" si="54"/>
        <v>0.41182795698924735</v>
      </c>
    </row>
    <row r="145" spans="1:40" ht="15.5" x14ac:dyDescent="0.35">
      <c r="A145" s="4" t="s">
        <v>214</v>
      </c>
      <c r="B145" s="4">
        <v>35</v>
      </c>
      <c r="C145">
        <v>4</v>
      </c>
      <c r="D145" s="4" t="s">
        <v>151</v>
      </c>
      <c r="E145" s="4">
        <v>0.26989247311827963</v>
      </c>
      <c r="F145">
        <f t="shared" si="37"/>
        <v>0.75913978494623668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6">
        <v>0.5</v>
      </c>
      <c r="W145" s="6">
        <v>0.5</v>
      </c>
      <c r="X145" s="6">
        <f t="shared" si="38"/>
        <v>0</v>
      </c>
      <c r="Y145" s="6">
        <f t="shared" si="39"/>
        <v>0</v>
      </c>
      <c r="Z145" s="6">
        <f t="shared" si="40"/>
        <v>0</v>
      </c>
      <c r="AA145" s="6">
        <f t="shared" si="41"/>
        <v>0</v>
      </c>
      <c r="AB145" s="6">
        <f t="shared" si="42"/>
        <v>0</v>
      </c>
      <c r="AC145" s="6">
        <f t="shared" si="43"/>
        <v>0</v>
      </c>
      <c r="AD145" s="6">
        <f t="shared" si="44"/>
        <v>0</v>
      </c>
      <c r="AE145" s="6">
        <f t="shared" si="45"/>
        <v>0</v>
      </c>
      <c r="AF145" s="6">
        <f t="shared" si="46"/>
        <v>0</v>
      </c>
      <c r="AG145" s="6">
        <f t="shared" si="47"/>
        <v>0</v>
      </c>
      <c r="AH145" s="6">
        <f t="shared" si="48"/>
        <v>0</v>
      </c>
      <c r="AI145" s="6">
        <f t="shared" si="49"/>
        <v>0</v>
      </c>
      <c r="AJ145" s="6">
        <f t="shared" si="50"/>
        <v>0</v>
      </c>
      <c r="AK145" s="6">
        <f t="shared" si="51"/>
        <v>0</v>
      </c>
      <c r="AL145" s="6">
        <f t="shared" si="52"/>
        <v>0</v>
      </c>
      <c r="AM145" s="6">
        <f t="shared" si="53"/>
        <v>0.37956989247311834</v>
      </c>
      <c r="AN145" s="6">
        <f t="shared" si="54"/>
        <v>0.37956989247311834</v>
      </c>
    </row>
    <row r="146" spans="1:40" ht="15.5" x14ac:dyDescent="0.35">
      <c r="A146" s="4" t="s">
        <v>214</v>
      </c>
      <c r="B146" s="4">
        <v>35</v>
      </c>
      <c r="C146">
        <v>2</v>
      </c>
      <c r="D146" s="4" t="s">
        <v>149</v>
      </c>
      <c r="E146" s="4">
        <v>0.24623655913978496</v>
      </c>
      <c r="F146">
        <f t="shared" si="37"/>
        <v>0.73548387096774204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6">
        <v>0.5</v>
      </c>
      <c r="W146" s="6">
        <v>0.5</v>
      </c>
      <c r="X146" s="6">
        <f t="shared" si="38"/>
        <v>0</v>
      </c>
      <c r="Y146" s="6">
        <f t="shared" si="39"/>
        <v>0</v>
      </c>
      <c r="Z146" s="6">
        <f t="shared" si="40"/>
        <v>0</v>
      </c>
      <c r="AA146" s="6">
        <f t="shared" si="41"/>
        <v>0</v>
      </c>
      <c r="AB146" s="6">
        <f t="shared" si="42"/>
        <v>0</v>
      </c>
      <c r="AC146" s="6">
        <f t="shared" si="43"/>
        <v>0</v>
      </c>
      <c r="AD146" s="6">
        <f t="shared" si="44"/>
        <v>0</v>
      </c>
      <c r="AE146" s="6">
        <f t="shared" si="45"/>
        <v>0</v>
      </c>
      <c r="AF146" s="6">
        <f t="shared" si="46"/>
        <v>0</v>
      </c>
      <c r="AG146" s="6">
        <f t="shared" si="47"/>
        <v>0</v>
      </c>
      <c r="AH146" s="6">
        <f t="shared" si="48"/>
        <v>0</v>
      </c>
      <c r="AI146" s="6">
        <f t="shared" si="49"/>
        <v>0</v>
      </c>
      <c r="AJ146" s="6">
        <f t="shared" si="50"/>
        <v>0</v>
      </c>
      <c r="AK146" s="6">
        <f t="shared" si="51"/>
        <v>0</v>
      </c>
      <c r="AL146" s="6">
        <f t="shared" si="52"/>
        <v>0</v>
      </c>
      <c r="AM146" s="6">
        <f t="shared" si="53"/>
        <v>0.36774193548387102</v>
      </c>
      <c r="AN146" s="6">
        <f t="shared" si="54"/>
        <v>0.36774193548387102</v>
      </c>
    </row>
    <row r="147" spans="1:40" ht="15.5" x14ac:dyDescent="0.35">
      <c r="A147" s="4" t="s">
        <v>214</v>
      </c>
      <c r="B147" s="4">
        <v>35</v>
      </c>
      <c r="C147">
        <v>3</v>
      </c>
      <c r="D147" s="4" t="s">
        <v>150</v>
      </c>
      <c r="E147" s="4">
        <v>0.24623655913978496</v>
      </c>
      <c r="F147">
        <f t="shared" si="37"/>
        <v>0.73548387096774204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6">
        <v>0.5</v>
      </c>
      <c r="W147" s="6">
        <v>0.5</v>
      </c>
      <c r="X147" s="6">
        <f t="shared" si="38"/>
        <v>0</v>
      </c>
      <c r="Y147" s="6">
        <f t="shared" si="39"/>
        <v>0</v>
      </c>
      <c r="Z147" s="6">
        <f t="shared" si="40"/>
        <v>0</v>
      </c>
      <c r="AA147" s="6">
        <f t="shared" si="41"/>
        <v>0</v>
      </c>
      <c r="AB147" s="6">
        <f t="shared" si="42"/>
        <v>0</v>
      </c>
      <c r="AC147" s="6">
        <f t="shared" si="43"/>
        <v>0</v>
      </c>
      <c r="AD147" s="6">
        <f t="shared" si="44"/>
        <v>0</v>
      </c>
      <c r="AE147" s="6">
        <f t="shared" si="45"/>
        <v>0</v>
      </c>
      <c r="AF147" s="6">
        <f t="shared" si="46"/>
        <v>0</v>
      </c>
      <c r="AG147" s="6">
        <f t="shared" si="47"/>
        <v>0</v>
      </c>
      <c r="AH147" s="6">
        <f t="shared" si="48"/>
        <v>0</v>
      </c>
      <c r="AI147" s="6">
        <f t="shared" si="49"/>
        <v>0</v>
      </c>
      <c r="AJ147" s="6">
        <f t="shared" si="50"/>
        <v>0</v>
      </c>
      <c r="AK147" s="6">
        <f t="shared" si="51"/>
        <v>0</v>
      </c>
      <c r="AL147" s="6">
        <f t="shared" si="52"/>
        <v>0</v>
      </c>
      <c r="AM147" s="6">
        <f t="shared" si="53"/>
        <v>0.36774193548387102</v>
      </c>
      <c r="AN147" s="6">
        <f t="shared" si="54"/>
        <v>0.36774193548387102</v>
      </c>
    </row>
    <row r="148" spans="1:40" ht="15.5" x14ac:dyDescent="0.35">
      <c r="A148" s="4" t="s">
        <v>214</v>
      </c>
      <c r="B148" s="4">
        <v>35</v>
      </c>
      <c r="C148">
        <v>1</v>
      </c>
      <c r="D148" s="4" t="s">
        <v>148</v>
      </c>
      <c r="E148" s="4">
        <v>0.14301075268817207</v>
      </c>
      <c r="F148">
        <f t="shared" si="37"/>
        <v>0.6322580645161292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6">
        <v>0.5</v>
      </c>
      <c r="W148" s="6">
        <v>0.5</v>
      </c>
      <c r="X148" s="6">
        <f t="shared" si="38"/>
        <v>0</v>
      </c>
      <c r="Y148" s="6">
        <f t="shared" si="39"/>
        <v>0</v>
      </c>
      <c r="Z148" s="6">
        <f t="shared" si="40"/>
        <v>0</v>
      </c>
      <c r="AA148" s="6">
        <f t="shared" si="41"/>
        <v>0</v>
      </c>
      <c r="AB148" s="6">
        <f t="shared" si="42"/>
        <v>0</v>
      </c>
      <c r="AC148" s="6">
        <f t="shared" si="43"/>
        <v>0</v>
      </c>
      <c r="AD148" s="6">
        <f t="shared" si="44"/>
        <v>0</v>
      </c>
      <c r="AE148" s="6">
        <f t="shared" si="45"/>
        <v>0</v>
      </c>
      <c r="AF148" s="6">
        <f t="shared" si="46"/>
        <v>0</v>
      </c>
      <c r="AG148" s="6">
        <f t="shared" si="47"/>
        <v>0</v>
      </c>
      <c r="AH148" s="6">
        <f t="shared" si="48"/>
        <v>0</v>
      </c>
      <c r="AI148" s="6">
        <f t="shared" si="49"/>
        <v>0</v>
      </c>
      <c r="AJ148" s="6">
        <f t="shared" si="50"/>
        <v>0</v>
      </c>
      <c r="AK148" s="6">
        <f t="shared" si="51"/>
        <v>0</v>
      </c>
      <c r="AL148" s="6">
        <f t="shared" si="52"/>
        <v>0</v>
      </c>
      <c r="AM148" s="6">
        <f t="shared" si="53"/>
        <v>0.3161290322580646</v>
      </c>
      <c r="AN148" s="6">
        <f t="shared" si="54"/>
        <v>0.3161290322580646</v>
      </c>
    </row>
    <row r="149" spans="1:40" ht="15.5" x14ac:dyDescent="0.35">
      <c r="A149" s="4" t="s">
        <v>214</v>
      </c>
      <c r="B149" s="4">
        <v>36</v>
      </c>
      <c r="C149">
        <v>5</v>
      </c>
      <c r="D149" s="4" t="s">
        <v>157</v>
      </c>
      <c r="E149" s="4">
        <v>0.33440860215053758</v>
      </c>
      <c r="F149">
        <f t="shared" si="37"/>
        <v>0.82365591397849469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>
        <v>0.5</v>
      </c>
      <c r="U149" s="6">
        <v>0.5</v>
      </c>
      <c r="V149" s="7"/>
      <c r="W149" s="7"/>
      <c r="X149" s="6">
        <f t="shared" si="38"/>
        <v>0</v>
      </c>
      <c r="Y149" s="6">
        <f t="shared" si="39"/>
        <v>0</v>
      </c>
      <c r="Z149" s="6">
        <f t="shared" si="40"/>
        <v>0</v>
      </c>
      <c r="AA149" s="6">
        <f t="shared" si="41"/>
        <v>0</v>
      </c>
      <c r="AB149" s="6">
        <f t="shared" si="42"/>
        <v>0</v>
      </c>
      <c r="AC149" s="6">
        <f t="shared" si="43"/>
        <v>0</v>
      </c>
      <c r="AD149" s="6">
        <f t="shared" si="44"/>
        <v>0</v>
      </c>
      <c r="AE149" s="6">
        <f t="shared" si="45"/>
        <v>0</v>
      </c>
      <c r="AF149" s="6">
        <f t="shared" si="46"/>
        <v>0</v>
      </c>
      <c r="AG149" s="6">
        <f t="shared" si="47"/>
        <v>0</v>
      </c>
      <c r="AH149" s="6">
        <f t="shared" si="48"/>
        <v>0</v>
      </c>
      <c r="AI149" s="6">
        <f t="shared" si="49"/>
        <v>0</v>
      </c>
      <c r="AJ149" s="6">
        <f t="shared" si="50"/>
        <v>0</v>
      </c>
      <c r="AK149" s="6">
        <f t="shared" si="51"/>
        <v>0.41182795698924735</v>
      </c>
      <c r="AL149" s="6">
        <f t="shared" si="52"/>
        <v>0.41182795698924735</v>
      </c>
      <c r="AM149" s="6">
        <f t="shared" si="53"/>
        <v>0</v>
      </c>
      <c r="AN149" s="6">
        <f t="shared" si="54"/>
        <v>0</v>
      </c>
    </row>
    <row r="150" spans="1:40" ht="15.5" x14ac:dyDescent="0.35">
      <c r="A150" s="4" t="s">
        <v>214</v>
      </c>
      <c r="B150" s="4">
        <v>36</v>
      </c>
      <c r="C150">
        <v>4</v>
      </c>
      <c r="D150" s="4" t="s">
        <v>156</v>
      </c>
      <c r="E150" s="4">
        <v>0.26989247311827963</v>
      </c>
      <c r="F150">
        <f t="shared" si="37"/>
        <v>0.75913978494623668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>
        <v>0.5</v>
      </c>
      <c r="U150" s="6">
        <v>0.5</v>
      </c>
      <c r="V150" s="7"/>
      <c r="W150" s="7"/>
      <c r="X150" s="6">
        <f t="shared" si="38"/>
        <v>0</v>
      </c>
      <c r="Y150" s="6">
        <f t="shared" si="39"/>
        <v>0</v>
      </c>
      <c r="Z150" s="6">
        <f t="shared" si="40"/>
        <v>0</v>
      </c>
      <c r="AA150" s="6">
        <f t="shared" si="41"/>
        <v>0</v>
      </c>
      <c r="AB150" s="6">
        <f t="shared" si="42"/>
        <v>0</v>
      </c>
      <c r="AC150" s="6">
        <f t="shared" si="43"/>
        <v>0</v>
      </c>
      <c r="AD150" s="6">
        <f t="shared" si="44"/>
        <v>0</v>
      </c>
      <c r="AE150" s="6">
        <f t="shared" si="45"/>
        <v>0</v>
      </c>
      <c r="AF150" s="6">
        <f t="shared" si="46"/>
        <v>0</v>
      </c>
      <c r="AG150" s="6">
        <f t="shared" si="47"/>
        <v>0</v>
      </c>
      <c r="AH150" s="6">
        <f t="shared" si="48"/>
        <v>0</v>
      </c>
      <c r="AI150" s="6">
        <f t="shared" si="49"/>
        <v>0</v>
      </c>
      <c r="AJ150" s="6">
        <f t="shared" si="50"/>
        <v>0</v>
      </c>
      <c r="AK150" s="6">
        <f t="shared" si="51"/>
        <v>0.37956989247311834</v>
      </c>
      <c r="AL150" s="6">
        <f t="shared" si="52"/>
        <v>0.37956989247311834</v>
      </c>
      <c r="AM150" s="6">
        <f t="shared" si="53"/>
        <v>0</v>
      </c>
      <c r="AN150" s="6">
        <f t="shared" si="54"/>
        <v>0</v>
      </c>
    </row>
    <row r="151" spans="1:40" ht="15.5" x14ac:dyDescent="0.35">
      <c r="A151" s="4" t="s">
        <v>214</v>
      </c>
      <c r="B151" s="4">
        <v>36</v>
      </c>
      <c r="C151">
        <v>2</v>
      </c>
      <c r="D151" s="4" t="s">
        <v>154</v>
      </c>
      <c r="E151" s="4">
        <v>0.24623655913978496</v>
      </c>
      <c r="F151">
        <f t="shared" si="37"/>
        <v>0.73548387096774204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>
        <v>0.5</v>
      </c>
      <c r="U151" s="6">
        <v>0.5</v>
      </c>
      <c r="V151" s="7"/>
      <c r="W151" s="7"/>
      <c r="X151" s="6">
        <f t="shared" si="38"/>
        <v>0</v>
      </c>
      <c r="Y151" s="6">
        <f t="shared" si="39"/>
        <v>0</v>
      </c>
      <c r="Z151" s="6">
        <f t="shared" si="40"/>
        <v>0</v>
      </c>
      <c r="AA151" s="6">
        <f t="shared" si="41"/>
        <v>0</v>
      </c>
      <c r="AB151" s="6">
        <f t="shared" si="42"/>
        <v>0</v>
      </c>
      <c r="AC151" s="6">
        <f t="shared" si="43"/>
        <v>0</v>
      </c>
      <c r="AD151" s="6">
        <f t="shared" si="44"/>
        <v>0</v>
      </c>
      <c r="AE151" s="6">
        <f t="shared" si="45"/>
        <v>0</v>
      </c>
      <c r="AF151" s="6">
        <f t="shared" si="46"/>
        <v>0</v>
      </c>
      <c r="AG151" s="6">
        <f t="shared" si="47"/>
        <v>0</v>
      </c>
      <c r="AH151" s="6">
        <f t="shared" si="48"/>
        <v>0</v>
      </c>
      <c r="AI151" s="6">
        <f t="shared" si="49"/>
        <v>0</v>
      </c>
      <c r="AJ151" s="6">
        <f t="shared" si="50"/>
        <v>0</v>
      </c>
      <c r="AK151" s="6">
        <f t="shared" si="51"/>
        <v>0.36774193548387102</v>
      </c>
      <c r="AL151" s="6">
        <f t="shared" si="52"/>
        <v>0.36774193548387102</v>
      </c>
      <c r="AM151" s="6">
        <f t="shared" si="53"/>
        <v>0</v>
      </c>
      <c r="AN151" s="6">
        <f t="shared" si="54"/>
        <v>0</v>
      </c>
    </row>
    <row r="152" spans="1:40" ht="15.5" x14ac:dyDescent="0.35">
      <c r="A152" s="4" t="s">
        <v>214</v>
      </c>
      <c r="B152" s="4">
        <v>36</v>
      </c>
      <c r="C152">
        <v>3</v>
      </c>
      <c r="D152" s="4" t="s">
        <v>155</v>
      </c>
      <c r="E152" s="4">
        <v>0.24623655913978496</v>
      </c>
      <c r="F152">
        <f t="shared" si="37"/>
        <v>0.73548387096774204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>
        <v>0.5</v>
      </c>
      <c r="U152" s="6">
        <v>0.5</v>
      </c>
      <c r="V152" s="7"/>
      <c r="W152" s="7"/>
      <c r="X152" s="6">
        <f t="shared" si="38"/>
        <v>0</v>
      </c>
      <c r="Y152" s="6">
        <f t="shared" si="39"/>
        <v>0</v>
      </c>
      <c r="Z152" s="6">
        <f t="shared" si="40"/>
        <v>0</v>
      </c>
      <c r="AA152" s="6">
        <f t="shared" si="41"/>
        <v>0</v>
      </c>
      <c r="AB152" s="6">
        <f t="shared" si="42"/>
        <v>0</v>
      </c>
      <c r="AC152" s="6">
        <f t="shared" si="43"/>
        <v>0</v>
      </c>
      <c r="AD152" s="6">
        <f t="shared" si="44"/>
        <v>0</v>
      </c>
      <c r="AE152" s="6">
        <f t="shared" si="45"/>
        <v>0</v>
      </c>
      <c r="AF152" s="6">
        <f t="shared" si="46"/>
        <v>0</v>
      </c>
      <c r="AG152" s="6">
        <f t="shared" si="47"/>
        <v>0</v>
      </c>
      <c r="AH152" s="6">
        <f t="shared" si="48"/>
        <v>0</v>
      </c>
      <c r="AI152" s="6">
        <f t="shared" si="49"/>
        <v>0</v>
      </c>
      <c r="AJ152" s="6">
        <f t="shared" si="50"/>
        <v>0</v>
      </c>
      <c r="AK152" s="6">
        <f t="shared" si="51"/>
        <v>0.36774193548387102</v>
      </c>
      <c r="AL152" s="6">
        <f t="shared" si="52"/>
        <v>0.36774193548387102</v>
      </c>
      <c r="AM152" s="6">
        <f t="shared" si="53"/>
        <v>0</v>
      </c>
      <c r="AN152" s="6">
        <f t="shared" si="54"/>
        <v>0</v>
      </c>
    </row>
    <row r="153" spans="1:40" ht="15.5" x14ac:dyDescent="0.35">
      <c r="A153" s="4" t="s">
        <v>214</v>
      </c>
      <c r="B153" s="4">
        <v>36</v>
      </c>
      <c r="C153">
        <v>1</v>
      </c>
      <c r="D153" s="4" t="s">
        <v>153</v>
      </c>
      <c r="E153" s="4">
        <v>0.14301075268817207</v>
      </c>
      <c r="F153">
        <f t="shared" si="37"/>
        <v>0.6322580645161292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>
        <v>0.5</v>
      </c>
      <c r="U153" s="6">
        <v>0.5</v>
      </c>
      <c r="V153" s="7"/>
      <c r="W153" s="7"/>
      <c r="X153" s="6">
        <f t="shared" si="38"/>
        <v>0</v>
      </c>
      <c r="Y153" s="6">
        <f t="shared" si="39"/>
        <v>0</v>
      </c>
      <c r="Z153" s="6">
        <f t="shared" si="40"/>
        <v>0</v>
      </c>
      <c r="AA153" s="6">
        <f t="shared" si="41"/>
        <v>0</v>
      </c>
      <c r="AB153" s="6">
        <f t="shared" si="42"/>
        <v>0</v>
      </c>
      <c r="AC153" s="6">
        <f t="shared" si="43"/>
        <v>0</v>
      </c>
      <c r="AD153" s="6">
        <f t="shared" si="44"/>
        <v>0</v>
      </c>
      <c r="AE153" s="6">
        <f t="shared" si="45"/>
        <v>0</v>
      </c>
      <c r="AF153" s="6">
        <f t="shared" si="46"/>
        <v>0</v>
      </c>
      <c r="AG153" s="6">
        <f t="shared" si="47"/>
        <v>0</v>
      </c>
      <c r="AH153" s="6">
        <f t="shared" si="48"/>
        <v>0</v>
      </c>
      <c r="AI153" s="6">
        <f t="shared" si="49"/>
        <v>0</v>
      </c>
      <c r="AJ153" s="6">
        <f t="shared" si="50"/>
        <v>0</v>
      </c>
      <c r="AK153" s="6">
        <f t="shared" si="51"/>
        <v>0.3161290322580646</v>
      </c>
      <c r="AL153" s="6">
        <f t="shared" si="52"/>
        <v>0.3161290322580646</v>
      </c>
      <c r="AM153" s="6">
        <f t="shared" si="53"/>
        <v>0</v>
      </c>
      <c r="AN153" s="6">
        <f t="shared" si="54"/>
        <v>0</v>
      </c>
    </row>
    <row r="154" spans="1:40" ht="15.5" x14ac:dyDescent="0.35">
      <c r="A154" s="4" t="s">
        <v>214</v>
      </c>
      <c r="B154" s="4">
        <v>37</v>
      </c>
      <c r="C154">
        <v>3</v>
      </c>
      <c r="D154" s="4" t="s">
        <v>160</v>
      </c>
      <c r="E154" s="4">
        <v>5.8064516129032295E-2</v>
      </c>
      <c r="F154">
        <f t="shared" si="37"/>
        <v>0.54731182795698941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>
        <v>0.5</v>
      </c>
      <c r="U154" s="6">
        <v>0.5</v>
      </c>
      <c r="V154" s="7"/>
      <c r="W154" s="7"/>
      <c r="X154" s="6">
        <f t="shared" si="38"/>
        <v>0</v>
      </c>
      <c r="Y154" s="6">
        <f t="shared" si="39"/>
        <v>0</v>
      </c>
      <c r="Z154" s="6">
        <f t="shared" si="40"/>
        <v>0</v>
      </c>
      <c r="AA154" s="6">
        <f t="shared" si="41"/>
        <v>0</v>
      </c>
      <c r="AB154" s="6">
        <f t="shared" si="42"/>
        <v>0</v>
      </c>
      <c r="AC154" s="6">
        <f t="shared" si="43"/>
        <v>0</v>
      </c>
      <c r="AD154" s="6">
        <f t="shared" si="44"/>
        <v>0</v>
      </c>
      <c r="AE154" s="6">
        <f t="shared" si="45"/>
        <v>0</v>
      </c>
      <c r="AF154" s="6">
        <f t="shared" si="46"/>
        <v>0</v>
      </c>
      <c r="AG154" s="6">
        <f t="shared" si="47"/>
        <v>0</v>
      </c>
      <c r="AH154" s="6">
        <f t="shared" si="48"/>
        <v>0</v>
      </c>
      <c r="AI154" s="6">
        <f t="shared" si="49"/>
        <v>0</v>
      </c>
      <c r="AJ154" s="6">
        <f t="shared" si="50"/>
        <v>0</v>
      </c>
      <c r="AK154" s="6">
        <f t="shared" si="51"/>
        <v>0.2736559139784947</v>
      </c>
      <c r="AL154" s="6">
        <f t="shared" si="52"/>
        <v>0.2736559139784947</v>
      </c>
      <c r="AM154" s="6">
        <f t="shared" si="53"/>
        <v>0</v>
      </c>
      <c r="AN154" s="6">
        <f t="shared" si="54"/>
        <v>0</v>
      </c>
    </row>
    <row r="155" spans="1:40" ht="15.5" x14ac:dyDescent="0.35">
      <c r="A155" s="4" t="s">
        <v>214</v>
      </c>
      <c r="B155" s="4">
        <v>37</v>
      </c>
      <c r="C155">
        <v>1</v>
      </c>
      <c r="D155" s="4" t="s">
        <v>158</v>
      </c>
      <c r="E155" s="4">
        <v>4.7311827956989294E-2</v>
      </c>
      <c r="F155">
        <f t="shared" si="37"/>
        <v>0.5365591397849464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>
        <v>0.5</v>
      </c>
      <c r="U155" s="6">
        <v>0.5</v>
      </c>
      <c r="V155" s="7"/>
      <c r="W155" s="7"/>
      <c r="X155" s="6">
        <f t="shared" si="38"/>
        <v>0</v>
      </c>
      <c r="Y155" s="6">
        <f t="shared" si="39"/>
        <v>0</v>
      </c>
      <c r="Z155" s="6">
        <f t="shared" si="40"/>
        <v>0</v>
      </c>
      <c r="AA155" s="6">
        <f t="shared" si="41"/>
        <v>0</v>
      </c>
      <c r="AB155" s="6">
        <f t="shared" si="42"/>
        <v>0</v>
      </c>
      <c r="AC155" s="6">
        <f t="shared" si="43"/>
        <v>0</v>
      </c>
      <c r="AD155" s="6">
        <f t="shared" si="44"/>
        <v>0</v>
      </c>
      <c r="AE155" s="6">
        <f t="shared" si="45"/>
        <v>0</v>
      </c>
      <c r="AF155" s="6">
        <f t="shared" si="46"/>
        <v>0</v>
      </c>
      <c r="AG155" s="6">
        <f t="shared" si="47"/>
        <v>0</v>
      </c>
      <c r="AH155" s="6">
        <f t="shared" si="48"/>
        <v>0</v>
      </c>
      <c r="AI155" s="6">
        <f t="shared" si="49"/>
        <v>0</v>
      </c>
      <c r="AJ155" s="6">
        <f t="shared" si="50"/>
        <v>0</v>
      </c>
      <c r="AK155" s="6">
        <f t="shared" si="51"/>
        <v>0.2682795698924732</v>
      </c>
      <c r="AL155" s="6">
        <f t="shared" si="52"/>
        <v>0.2682795698924732</v>
      </c>
      <c r="AM155" s="6">
        <f t="shared" si="53"/>
        <v>0</v>
      </c>
      <c r="AN155" s="6">
        <f t="shared" si="54"/>
        <v>0</v>
      </c>
    </row>
    <row r="156" spans="1:40" ht="15.5" x14ac:dyDescent="0.35">
      <c r="A156" s="4" t="s">
        <v>214</v>
      </c>
      <c r="B156" s="4">
        <v>37</v>
      </c>
      <c r="C156">
        <v>2</v>
      </c>
      <c r="D156" s="4" t="s">
        <v>159</v>
      </c>
      <c r="E156" s="4">
        <v>4.7311827956989294E-2</v>
      </c>
      <c r="F156">
        <f t="shared" si="37"/>
        <v>0.5365591397849464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>
        <v>0.5</v>
      </c>
      <c r="U156" s="6">
        <v>0.5</v>
      </c>
      <c r="V156" s="7"/>
      <c r="W156" s="7"/>
      <c r="X156" s="6">
        <f t="shared" si="38"/>
        <v>0</v>
      </c>
      <c r="Y156" s="6">
        <f t="shared" si="39"/>
        <v>0</v>
      </c>
      <c r="Z156" s="6">
        <f t="shared" si="40"/>
        <v>0</v>
      </c>
      <c r="AA156" s="6">
        <f t="shared" si="41"/>
        <v>0</v>
      </c>
      <c r="AB156" s="6">
        <f t="shared" si="42"/>
        <v>0</v>
      </c>
      <c r="AC156" s="6">
        <f t="shared" si="43"/>
        <v>0</v>
      </c>
      <c r="AD156" s="6">
        <f t="shared" si="44"/>
        <v>0</v>
      </c>
      <c r="AE156" s="6">
        <f t="shared" si="45"/>
        <v>0</v>
      </c>
      <c r="AF156" s="6">
        <f t="shared" si="46"/>
        <v>0</v>
      </c>
      <c r="AG156" s="6">
        <f t="shared" si="47"/>
        <v>0</v>
      </c>
      <c r="AH156" s="6">
        <f t="shared" si="48"/>
        <v>0</v>
      </c>
      <c r="AI156" s="6">
        <f t="shared" si="49"/>
        <v>0</v>
      </c>
      <c r="AJ156" s="6">
        <f t="shared" si="50"/>
        <v>0</v>
      </c>
      <c r="AK156" s="6">
        <f t="shared" si="51"/>
        <v>0.2682795698924732</v>
      </c>
      <c r="AL156" s="6">
        <f t="shared" si="52"/>
        <v>0.2682795698924732</v>
      </c>
      <c r="AM156" s="6">
        <f t="shared" si="53"/>
        <v>0</v>
      </c>
      <c r="AN156" s="6">
        <f t="shared" si="54"/>
        <v>0</v>
      </c>
    </row>
    <row r="157" spans="1:40" ht="15.5" x14ac:dyDescent="0.35">
      <c r="A157" s="4" t="s">
        <v>214</v>
      </c>
      <c r="B157" s="4">
        <v>37</v>
      </c>
      <c r="C157">
        <v>5</v>
      </c>
      <c r="D157" s="4" t="s">
        <v>162</v>
      </c>
      <c r="E157" s="4">
        <v>7.5268817204300897E-3</v>
      </c>
      <c r="F157">
        <f t="shared" si="37"/>
        <v>0.4967741935483872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>
        <v>0.5</v>
      </c>
      <c r="U157" s="6">
        <v>0.5</v>
      </c>
      <c r="V157" s="7"/>
      <c r="W157" s="7"/>
      <c r="X157" s="6">
        <f t="shared" si="38"/>
        <v>0</v>
      </c>
      <c r="Y157" s="6">
        <f t="shared" si="39"/>
        <v>0</v>
      </c>
      <c r="Z157" s="6">
        <f t="shared" si="40"/>
        <v>0</v>
      </c>
      <c r="AA157" s="6">
        <f t="shared" si="41"/>
        <v>0</v>
      </c>
      <c r="AB157" s="6">
        <f t="shared" si="42"/>
        <v>0</v>
      </c>
      <c r="AC157" s="6">
        <f t="shared" si="43"/>
        <v>0</v>
      </c>
      <c r="AD157" s="6">
        <f t="shared" si="44"/>
        <v>0</v>
      </c>
      <c r="AE157" s="6">
        <f t="shared" si="45"/>
        <v>0</v>
      </c>
      <c r="AF157" s="6">
        <f t="shared" si="46"/>
        <v>0</v>
      </c>
      <c r="AG157" s="6">
        <f t="shared" si="47"/>
        <v>0</v>
      </c>
      <c r="AH157" s="6">
        <f t="shared" si="48"/>
        <v>0</v>
      </c>
      <c r="AI157" s="6">
        <f t="shared" si="49"/>
        <v>0</v>
      </c>
      <c r="AJ157" s="6">
        <f t="shared" si="50"/>
        <v>0</v>
      </c>
      <c r="AK157" s="6">
        <f t="shared" si="51"/>
        <v>0.2483870967741936</v>
      </c>
      <c r="AL157" s="6">
        <f t="shared" si="52"/>
        <v>0.2483870967741936</v>
      </c>
      <c r="AM157" s="6">
        <f t="shared" si="53"/>
        <v>0</v>
      </c>
      <c r="AN157" s="6">
        <f t="shared" si="54"/>
        <v>0</v>
      </c>
    </row>
    <row r="158" spans="1:40" ht="15.5" x14ac:dyDescent="0.35">
      <c r="A158" s="4" t="s">
        <v>214</v>
      </c>
      <c r="B158" s="4">
        <v>37</v>
      </c>
      <c r="C158">
        <v>4</v>
      </c>
      <c r="D158" s="4" t="s">
        <v>161</v>
      </c>
      <c r="E158" s="4">
        <v>5.3763440860215006E-3</v>
      </c>
      <c r="F158">
        <f t="shared" si="37"/>
        <v>0.49462365591397861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>
        <v>0.5</v>
      </c>
      <c r="U158" s="6">
        <v>0.5</v>
      </c>
      <c r="V158" s="7"/>
      <c r="W158" s="7"/>
      <c r="X158" s="6">
        <f t="shared" si="38"/>
        <v>0</v>
      </c>
      <c r="Y158" s="6">
        <f t="shared" si="39"/>
        <v>0</v>
      </c>
      <c r="Z158" s="6">
        <f t="shared" si="40"/>
        <v>0</v>
      </c>
      <c r="AA158" s="6">
        <f t="shared" si="41"/>
        <v>0</v>
      </c>
      <c r="AB158" s="6">
        <f t="shared" si="42"/>
        <v>0</v>
      </c>
      <c r="AC158" s="6">
        <f t="shared" si="43"/>
        <v>0</v>
      </c>
      <c r="AD158" s="6">
        <f t="shared" si="44"/>
        <v>0</v>
      </c>
      <c r="AE158" s="6">
        <f t="shared" si="45"/>
        <v>0</v>
      </c>
      <c r="AF158" s="6">
        <f t="shared" si="46"/>
        <v>0</v>
      </c>
      <c r="AG158" s="6">
        <f t="shared" si="47"/>
        <v>0</v>
      </c>
      <c r="AH158" s="6">
        <f t="shared" si="48"/>
        <v>0</v>
      </c>
      <c r="AI158" s="6">
        <f t="shared" si="49"/>
        <v>0</v>
      </c>
      <c r="AJ158" s="6">
        <f t="shared" si="50"/>
        <v>0</v>
      </c>
      <c r="AK158" s="6">
        <f t="shared" si="51"/>
        <v>0.24731182795698931</v>
      </c>
      <c r="AL158" s="6">
        <f t="shared" si="52"/>
        <v>0.24731182795698931</v>
      </c>
      <c r="AM158" s="6">
        <f t="shared" si="53"/>
        <v>0</v>
      </c>
      <c r="AN158" s="6">
        <f t="shared" si="54"/>
        <v>0</v>
      </c>
    </row>
    <row r="159" spans="1:40" ht="15.5" x14ac:dyDescent="0.35">
      <c r="A159" s="4" t="s">
        <v>214</v>
      </c>
      <c r="B159" s="4">
        <v>38</v>
      </c>
      <c r="C159">
        <v>4</v>
      </c>
      <c r="D159" s="4" t="s">
        <v>166</v>
      </c>
      <c r="E159" s="4">
        <v>0.10322580645161289</v>
      </c>
      <c r="F159">
        <f t="shared" si="37"/>
        <v>0.59247311827956994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>
        <v>0.5</v>
      </c>
      <c r="U159" s="6">
        <v>0.5</v>
      </c>
      <c r="V159" s="7"/>
      <c r="W159" s="7"/>
      <c r="X159" s="6">
        <f t="shared" si="38"/>
        <v>0</v>
      </c>
      <c r="Y159" s="6">
        <f t="shared" si="39"/>
        <v>0</v>
      </c>
      <c r="Z159" s="6">
        <f t="shared" si="40"/>
        <v>0</v>
      </c>
      <c r="AA159" s="6">
        <f t="shared" si="41"/>
        <v>0</v>
      </c>
      <c r="AB159" s="6">
        <f t="shared" si="42"/>
        <v>0</v>
      </c>
      <c r="AC159" s="6">
        <f t="shared" si="43"/>
        <v>0</v>
      </c>
      <c r="AD159" s="6">
        <f t="shared" si="44"/>
        <v>0</v>
      </c>
      <c r="AE159" s="6">
        <f t="shared" si="45"/>
        <v>0</v>
      </c>
      <c r="AF159" s="6">
        <f t="shared" si="46"/>
        <v>0</v>
      </c>
      <c r="AG159" s="6">
        <f t="shared" si="47"/>
        <v>0</v>
      </c>
      <c r="AH159" s="6">
        <f t="shared" si="48"/>
        <v>0</v>
      </c>
      <c r="AI159" s="6">
        <f t="shared" si="49"/>
        <v>0</v>
      </c>
      <c r="AJ159" s="6">
        <f t="shared" si="50"/>
        <v>0</v>
      </c>
      <c r="AK159" s="6">
        <f t="shared" si="51"/>
        <v>0.29623655913978497</v>
      </c>
      <c r="AL159" s="6">
        <f t="shared" si="52"/>
        <v>0.29623655913978497</v>
      </c>
      <c r="AM159" s="6">
        <f t="shared" si="53"/>
        <v>0</v>
      </c>
      <c r="AN159" s="6">
        <f t="shared" si="54"/>
        <v>0</v>
      </c>
    </row>
    <row r="160" spans="1:40" ht="15.5" x14ac:dyDescent="0.35">
      <c r="A160" s="4" t="s">
        <v>214</v>
      </c>
      <c r="B160" s="4">
        <v>38</v>
      </c>
      <c r="C160">
        <v>2</v>
      </c>
      <c r="D160" s="4" t="s">
        <v>164</v>
      </c>
      <c r="E160" s="4">
        <v>5.8064516129032295E-2</v>
      </c>
      <c r="F160">
        <f t="shared" si="37"/>
        <v>0.54731182795698941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>
        <v>0.5</v>
      </c>
      <c r="U160" s="6">
        <v>0.5</v>
      </c>
      <c r="V160" s="7"/>
      <c r="W160" s="7"/>
      <c r="X160" s="6">
        <f t="shared" si="38"/>
        <v>0</v>
      </c>
      <c r="Y160" s="6">
        <f t="shared" si="39"/>
        <v>0</v>
      </c>
      <c r="Z160" s="6">
        <f t="shared" si="40"/>
        <v>0</v>
      </c>
      <c r="AA160" s="6">
        <f t="shared" si="41"/>
        <v>0</v>
      </c>
      <c r="AB160" s="6">
        <f t="shared" si="42"/>
        <v>0</v>
      </c>
      <c r="AC160" s="6">
        <f t="shared" si="43"/>
        <v>0</v>
      </c>
      <c r="AD160" s="6">
        <f t="shared" si="44"/>
        <v>0</v>
      </c>
      <c r="AE160" s="6">
        <f t="shared" si="45"/>
        <v>0</v>
      </c>
      <c r="AF160" s="6">
        <f t="shared" si="46"/>
        <v>0</v>
      </c>
      <c r="AG160" s="6">
        <f t="shared" si="47"/>
        <v>0</v>
      </c>
      <c r="AH160" s="6">
        <f t="shared" si="48"/>
        <v>0</v>
      </c>
      <c r="AI160" s="6">
        <f t="shared" si="49"/>
        <v>0</v>
      </c>
      <c r="AJ160" s="6">
        <f t="shared" si="50"/>
        <v>0</v>
      </c>
      <c r="AK160" s="6">
        <f t="shared" si="51"/>
        <v>0.2736559139784947</v>
      </c>
      <c r="AL160" s="6">
        <f t="shared" si="52"/>
        <v>0.2736559139784947</v>
      </c>
      <c r="AM160" s="6">
        <f t="shared" si="53"/>
        <v>0</v>
      </c>
      <c r="AN160" s="6">
        <f t="shared" si="54"/>
        <v>0</v>
      </c>
    </row>
    <row r="161" spans="1:40" ht="15.5" x14ac:dyDescent="0.35">
      <c r="A161" s="4" t="s">
        <v>214</v>
      </c>
      <c r="B161" s="4">
        <v>38</v>
      </c>
      <c r="C161">
        <v>3</v>
      </c>
      <c r="D161" s="4" t="s">
        <v>165</v>
      </c>
      <c r="E161" s="4">
        <v>5.8064516129032295E-2</v>
      </c>
      <c r="F161">
        <f t="shared" si="37"/>
        <v>0.54731182795698941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>
        <v>0.5</v>
      </c>
      <c r="U161" s="6">
        <v>0.5</v>
      </c>
      <c r="V161" s="7"/>
      <c r="W161" s="7"/>
      <c r="X161" s="6">
        <f t="shared" si="38"/>
        <v>0</v>
      </c>
      <c r="Y161" s="6">
        <f t="shared" si="39"/>
        <v>0</v>
      </c>
      <c r="Z161" s="6">
        <f t="shared" si="40"/>
        <v>0</v>
      </c>
      <c r="AA161" s="6">
        <f t="shared" si="41"/>
        <v>0</v>
      </c>
      <c r="AB161" s="6">
        <f t="shared" si="42"/>
        <v>0</v>
      </c>
      <c r="AC161" s="6">
        <f t="shared" si="43"/>
        <v>0</v>
      </c>
      <c r="AD161" s="6">
        <f t="shared" si="44"/>
        <v>0</v>
      </c>
      <c r="AE161" s="6">
        <f t="shared" si="45"/>
        <v>0</v>
      </c>
      <c r="AF161" s="6">
        <f t="shared" si="46"/>
        <v>0</v>
      </c>
      <c r="AG161" s="6">
        <f t="shared" si="47"/>
        <v>0</v>
      </c>
      <c r="AH161" s="6">
        <f t="shared" si="48"/>
        <v>0</v>
      </c>
      <c r="AI161" s="6">
        <f t="shared" si="49"/>
        <v>0</v>
      </c>
      <c r="AJ161" s="6">
        <f t="shared" si="50"/>
        <v>0</v>
      </c>
      <c r="AK161" s="6">
        <f t="shared" si="51"/>
        <v>0.2736559139784947</v>
      </c>
      <c r="AL161" s="6">
        <f t="shared" si="52"/>
        <v>0.2736559139784947</v>
      </c>
      <c r="AM161" s="6">
        <f t="shared" si="53"/>
        <v>0</v>
      </c>
      <c r="AN161" s="6">
        <f t="shared" si="54"/>
        <v>0</v>
      </c>
    </row>
    <row r="162" spans="1:40" ht="15.5" x14ac:dyDescent="0.35">
      <c r="A162" s="4" t="s">
        <v>214</v>
      </c>
      <c r="B162" s="4">
        <v>38</v>
      </c>
      <c r="C162">
        <v>1</v>
      </c>
      <c r="D162" s="4" t="s">
        <v>163</v>
      </c>
      <c r="E162" s="4">
        <v>4.7311827956989294E-2</v>
      </c>
      <c r="F162">
        <f t="shared" si="37"/>
        <v>0.5365591397849464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>
        <v>0.5</v>
      </c>
      <c r="U162" s="6">
        <v>0.5</v>
      </c>
      <c r="V162" s="7"/>
      <c r="W162" s="7"/>
      <c r="X162" s="6">
        <f t="shared" si="38"/>
        <v>0</v>
      </c>
      <c r="Y162" s="6">
        <f t="shared" si="39"/>
        <v>0</v>
      </c>
      <c r="Z162" s="6">
        <f t="shared" si="40"/>
        <v>0</v>
      </c>
      <c r="AA162" s="6">
        <f t="shared" si="41"/>
        <v>0</v>
      </c>
      <c r="AB162" s="6">
        <f t="shared" si="42"/>
        <v>0</v>
      </c>
      <c r="AC162" s="6">
        <f t="shared" si="43"/>
        <v>0</v>
      </c>
      <c r="AD162" s="6">
        <f t="shared" si="44"/>
        <v>0</v>
      </c>
      <c r="AE162" s="6">
        <f t="shared" si="45"/>
        <v>0</v>
      </c>
      <c r="AF162" s="6">
        <f t="shared" si="46"/>
        <v>0</v>
      </c>
      <c r="AG162" s="6">
        <f t="shared" si="47"/>
        <v>0</v>
      </c>
      <c r="AH162" s="6">
        <f t="shared" si="48"/>
        <v>0</v>
      </c>
      <c r="AI162" s="6">
        <f t="shared" si="49"/>
        <v>0</v>
      </c>
      <c r="AJ162" s="6">
        <f t="shared" si="50"/>
        <v>0</v>
      </c>
      <c r="AK162" s="6">
        <f t="shared" si="51"/>
        <v>0.2682795698924732</v>
      </c>
      <c r="AL162" s="6">
        <f t="shared" si="52"/>
        <v>0.2682795698924732</v>
      </c>
      <c r="AM162" s="6">
        <f t="shared" si="53"/>
        <v>0</v>
      </c>
      <c r="AN162" s="6">
        <f t="shared" si="54"/>
        <v>0</v>
      </c>
    </row>
    <row r="163" spans="1:40" ht="15.5" x14ac:dyDescent="0.35">
      <c r="A163" s="4" t="s">
        <v>214</v>
      </c>
      <c r="B163" s="4">
        <v>38</v>
      </c>
      <c r="C163">
        <v>5</v>
      </c>
      <c r="D163" s="4" t="s">
        <v>167</v>
      </c>
      <c r="E163" s="4">
        <v>4.0860215053763416E-2</v>
      </c>
      <c r="F163">
        <f t="shared" si="37"/>
        <v>0.53010752688172058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>
        <v>0.5</v>
      </c>
      <c r="U163" s="6">
        <v>0.5</v>
      </c>
      <c r="V163" s="7"/>
      <c r="W163" s="7"/>
      <c r="X163" s="6">
        <f t="shared" si="38"/>
        <v>0</v>
      </c>
      <c r="Y163" s="6">
        <f t="shared" si="39"/>
        <v>0</v>
      </c>
      <c r="Z163" s="6">
        <f t="shared" si="40"/>
        <v>0</v>
      </c>
      <c r="AA163" s="6">
        <f t="shared" si="41"/>
        <v>0</v>
      </c>
      <c r="AB163" s="6">
        <f t="shared" si="42"/>
        <v>0</v>
      </c>
      <c r="AC163" s="6">
        <f t="shared" si="43"/>
        <v>0</v>
      </c>
      <c r="AD163" s="6">
        <f t="shared" si="44"/>
        <v>0</v>
      </c>
      <c r="AE163" s="6">
        <f t="shared" si="45"/>
        <v>0</v>
      </c>
      <c r="AF163" s="6">
        <f t="shared" si="46"/>
        <v>0</v>
      </c>
      <c r="AG163" s="6">
        <f t="shared" si="47"/>
        <v>0</v>
      </c>
      <c r="AH163" s="6">
        <f t="shared" si="48"/>
        <v>0</v>
      </c>
      <c r="AI163" s="6">
        <f t="shared" si="49"/>
        <v>0</v>
      </c>
      <c r="AJ163" s="6">
        <f t="shared" si="50"/>
        <v>0</v>
      </c>
      <c r="AK163" s="6">
        <f t="shared" si="51"/>
        <v>0.26505376344086029</v>
      </c>
      <c r="AL163" s="6">
        <f t="shared" si="52"/>
        <v>0.26505376344086029</v>
      </c>
      <c r="AM163" s="6">
        <f t="shared" si="53"/>
        <v>0</v>
      </c>
      <c r="AN163" s="6">
        <f t="shared" si="54"/>
        <v>0</v>
      </c>
    </row>
    <row r="164" spans="1:40" ht="15.5" x14ac:dyDescent="0.35">
      <c r="A164" s="4" t="s">
        <v>214</v>
      </c>
      <c r="B164" s="4">
        <v>39</v>
      </c>
      <c r="C164">
        <v>5</v>
      </c>
      <c r="D164" s="4" t="s">
        <v>172</v>
      </c>
      <c r="E164" s="4">
        <v>0.2978494623655914</v>
      </c>
      <c r="F164">
        <f t="shared" si="37"/>
        <v>0.78709677419354851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>
        <v>0.25</v>
      </c>
      <c r="U164" s="6">
        <v>0.25</v>
      </c>
      <c r="V164" s="6">
        <v>0.25</v>
      </c>
      <c r="W164" s="6">
        <v>0.25</v>
      </c>
      <c r="X164" s="6">
        <f t="shared" si="38"/>
        <v>0</v>
      </c>
      <c r="Y164" s="6">
        <f t="shared" si="39"/>
        <v>0</v>
      </c>
      <c r="Z164" s="6">
        <f t="shared" si="40"/>
        <v>0</v>
      </c>
      <c r="AA164" s="6">
        <f t="shared" si="41"/>
        <v>0</v>
      </c>
      <c r="AB164" s="6">
        <f t="shared" si="42"/>
        <v>0</v>
      </c>
      <c r="AC164" s="6">
        <f t="shared" si="43"/>
        <v>0</v>
      </c>
      <c r="AD164" s="6">
        <f t="shared" si="44"/>
        <v>0</v>
      </c>
      <c r="AE164" s="6">
        <f t="shared" si="45"/>
        <v>0</v>
      </c>
      <c r="AF164" s="6">
        <f t="shared" si="46"/>
        <v>0</v>
      </c>
      <c r="AG164" s="6">
        <f t="shared" si="47"/>
        <v>0</v>
      </c>
      <c r="AH164" s="6">
        <f t="shared" si="48"/>
        <v>0</v>
      </c>
      <c r="AI164" s="6">
        <f t="shared" si="49"/>
        <v>0</v>
      </c>
      <c r="AJ164" s="6">
        <f t="shared" si="50"/>
        <v>0</v>
      </c>
      <c r="AK164" s="6">
        <f t="shared" si="51"/>
        <v>0.19677419354838713</v>
      </c>
      <c r="AL164" s="6">
        <f t="shared" si="52"/>
        <v>0.19677419354838713</v>
      </c>
      <c r="AM164" s="6">
        <f t="shared" si="53"/>
        <v>0.19677419354838713</v>
      </c>
      <c r="AN164" s="6">
        <f t="shared" si="54"/>
        <v>0.19677419354838713</v>
      </c>
    </row>
    <row r="165" spans="1:40" ht="15.5" x14ac:dyDescent="0.35">
      <c r="A165" s="4" t="s">
        <v>214</v>
      </c>
      <c r="B165" s="4">
        <v>39</v>
      </c>
      <c r="C165">
        <v>4</v>
      </c>
      <c r="D165" s="4" t="s">
        <v>171</v>
      </c>
      <c r="E165" s="4">
        <v>0.26451612903225807</v>
      </c>
      <c r="F165">
        <f t="shared" si="37"/>
        <v>0.75376344086021518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>
        <v>0.25</v>
      </c>
      <c r="U165" s="6">
        <v>0.25</v>
      </c>
      <c r="V165" s="6">
        <v>0.25</v>
      </c>
      <c r="W165" s="6">
        <v>0.25</v>
      </c>
      <c r="X165" s="6">
        <f t="shared" si="38"/>
        <v>0</v>
      </c>
      <c r="Y165" s="6">
        <f t="shared" si="39"/>
        <v>0</v>
      </c>
      <c r="Z165" s="6">
        <f t="shared" si="40"/>
        <v>0</v>
      </c>
      <c r="AA165" s="6">
        <f t="shared" si="41"/>
        <v>0</v>
      </c>
      <c r="AB165" s="6">
        <f t="shared" si="42"/>
        <v>0</v>
      </c>
      <c r="AC165" s="6">
        <f t="shared" si="43"/>
        <v>0</v>
      </c>
      <c r="AD165" s="6">
        <f t="shared" si="44"/>
        <v>0</v>
      </c>
      <c r="AE165" s="6">
        <f t="shared" si="45"/>
        <v>0</v>
      </c>
      <c r="AF165" s="6">
        <f t="shared" si="46"/>
        <v>0</v>
      </c>
      <c r="AG165" s="6">
        <f t="shared" si="47"/>
        <v>0</v>
      </c>
      <c r="AH165" s="6">
        <f t="shared" si="48"/>
        <v>0</v>
      </c>
      <c r="AI165" s="6">
        <f t="shared" si="49"/>
        <v>0</v>
      </c>
      <c r="AJ165" s="6">
        <f t="shared" si="50"/>
        <v>0</v>
      </c>
      <c r="AK165" s="6">
        <f t="shared" si="51"/>
        <v>0.1884408602150538</v>
      </c>
      <c r="AL165" s="6">
        <f t="shared" si="52"/>
        <v>0.1884408602150538</v>
      </c>
      <c r="AM165" s="6">
        <f t="shared" si="53"/>
        <v>0.1884408602150538</v>
      </c>
      <c r="AN165" s="6">
        <f t="shared" si="54"/>
        <v>0.1884408602150538</v>
      </c>
    </row>
    <row r="166" spans="1:40" ht="15.5" x14ac:dyDescent="0.35">
      <c r="A166" s="4" t="s">
        <v>214</v>
      </c>
      <c r="B166" s="4">
        <v>39</v>
      </c>
      <c r="C166">
        <v>2</v>
      </c>
      <c r="D166" s="4" t="s">
        <v>169</v>
      </c>
      <c r="E166" s="4">
        <v>0.21935483870967748</v>
      </c>
      <c r="F166">
        <f t="shared" si="37"/>
        <v>0.70860215053763453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>
        <v>0.25</v>
      </c>
      <c r="U166" s="6">
        <v>0.25</v>
      </c>
      <c r="V166" s="6">
        <v>0.25</v>
      </c>
      <c r="W166" s="6">
        <v>0.25</v>
      </c>
      <c r="X166" s="6">
        <f t="shared" si="38"/>
        <v>0</v>
      </c>
      <c r="Y166" s="6">
        <f t="shared" si="39"/>
        <v>0</v>
      </c>
      <c r="Z166" s="6">
        <f t="shared" si="40"/>
        <v>0</v>
      </c>
      <c r="AA166" s="6">
        <f t="shared" si="41"/>
        <v>0</v>
      </c>
      <c r="AB166" s="6">
        <f t="shared" si="42"/>
        <v>0</v>
      </c>
      <c r="AC166" s="6">
        <f t="shared" si="43"/>
        <v>0</v>
      </c>
      <c r="AD166" s="6">
        <f t="shared" si="44"/>
        <v>0</v>
      </c>
      <c r="AE166" s="6">
        <f t="shared" si="45"/>
        <v>0</v>
      </c>
      <c r="AF166" s="6">
        <f t="shared" si="46"/>
        <v>0</v>
      </c>
      <c r="AG166" s="6">
        <f t="shared" si="47"/>
        <v>0</v>
      </c>
      <c r="AH166" s="6">
        <f t="shared" si="48"/>
        <v>0</v>
      </c>
      <c r="AI166" s="6">
        <f t="shared" si="49"/>
        <v>0</v>
      </c>
      <c r="AJ166" s="6">
        <f t="shared" si="50"/>
        <v>0</v>
      </c>
      <c r="AK166" s="6">
        <f t="shared" si="51"/>
        <v>0.17715053763440863</v>
      </c>
      <c r="AL166" s="6">
        <f t="shared" si="52"/>
        <v>0.17715053763440863</v>
      </c>
      <c r="AM166" s="6">
        <f t="shared" si="53"/>
        <v>0.17715053763440863</v>
      </c>
      <c r="AN166" s="6">
        <f t="shared" si="54"/>
        <v>0.17715053763440863</v>
      </c>
    </row>
    <row r="167" spans="1:40" ht="15.5" x14ac:dyDescent="0.35">
      <c r="A167" s="4" t="s">
        <v>214</v>
      </c>
      <c r="B167" s="4">
        <v>39</v>
      </c>
      <c r="C167">
        <v>3</v>
      </c>
      <c r="D167" s="4" t="s">
        <v>170</v>
      </c>
      <c r="E167" s="4">
        <v>0.21935483870967748</v>
      </c>
      <c r="F167">
        <f t="shared" si="37"/>
        <v>0.70860215053763453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>
        <v>0.25</v>
      </c>
      <c r="U167" s="6">
        <v>0.25</v>
      </c>
      <c r="V167" s="6">
        <v>0.25</v>
      </c>
      <c r="W167" s="6">
        <v>0.25</v>
      </c>
      <c r="X167" s="6">
        <f t="shared" si="38"/>
        <v>0</v>
      </c>
      <c r="Y167" s="6">
        <f t="shared" si="39"/>
        <v>0</v>
      </c>
      <c r="Z167" s="6">
        <f t="shared" si="40"/>
        <v>0</v>
      </c>
      <c r="AA167" s="6">
        <f t="shared" si="41"/>
        <v>0</v>
      </c>
      <c r="AB167" s="6">
        <f t="shared" si="42"/>
        <v>0</v>
      </c>
      <c r="AC167" s="6">
        <f t="shared" si="43"/>
        <v>0</v>
      </c>
      <c r="AD167" s="6">
        <f t="shared" si="44"/>
        <v>0</v>
      </c>
      <c r="AE167" s="6">
        <f t="shared" si="45"/>
        <v>0</v>
      </c>
      <c r="AF167" s="6">
        <f t="shared" si="46"/>
        <v>0</v>
      </c>
      <c r="AG167" s="6">
        <f t="shared" si="47"/>
        <v>0</v>
      </c>
      <c r="AH167" s="6">
        <f t="shared" si="48"/>
        <v>0</v>
      </c>
      <c r="AI167" s="6">
        <f t="shared" si="49"/>
        <v>0</v>
      </c>
      <c r="AJ167" s="6">
        <f t="shared" si="50"/>
        <v>0</v>
      </c>
      <c r="AK167" s="6">
        <f t="shared" si="51"/>
        <v>0.17715053763440863</v>
      </c>
      <c r="AL167" s="6">
        <f t="shared" si="52"/>
        <v>0.17715053763440863</v>
      </c>
      <c r="AM167" s="6">
        <f t="shared" si="53"/>
        <v>0.17715053763440863</v>
      </c>
      <c r="AN167" s="6">
        <f t="shared" si="54"/>
        <v>0.17715053763440863</v>
      </c>
    </row>
    <row r="168" spans="1:40" ht="15.5" x14ac:dyDescent="0.35">
      <c r="A168" s="4" t="s">
        <v>214</v>
      </c>
      <c r="B168" s="4">
        <v>39</v>
      </c>
      <c r="C168">
        <v>1</v>
      </c>
      <c r="D168" s="4" t="s">
        <v>168</v>
      </c>
      <c r="E168" s="4">
        <v>0.20860215053763445</v>
      </c>
      <c r="F168">
        <f t="shared" si="37"/>
        <v>0.69784946236559153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>
        <v>0.25</v>
      </c>
      <c r="U168" s="6">
        <v>0.25</v>
      </c>
      <c r="V168" s="6">
        <v>0.25</v>
      </c>
      <c r="W168" s="6">
        <v>0.25</v>
      </c>
      <c r="X168" s="6">
        <f t="shared" si="38"/>
        <v>0</v>
      </c>
      <c r="Y168" s="6">
        <f t="shared" si="39"/>
        <v>0</v>
      </c>
      <c r="Z168" s="6">
        <f t="shared" si="40"/>
        <v>0</v>
      </c>
      <c r="AA168" s="6">
        <f t="shared" si="41"/>
        <v>0</v>
      </c>
      <c r="AB168" s="6">
        <f t="shared" si="42"/>
        <v>0</v>
      </c>
      <c r="AC168" s="6">
        <f t="shared" si="43"/>
        <v>0</v>
      </c>
      <c r="AD168" s="6">
        <f t="shared" si="44"/>
        <v>0</v>
      </c>
      <c r="AE168" s="6">
        <f t="shared" si="45"/>
        <v>0</v>
      </c>
      <c r="AF168" s="6">
        <f t="shared" si="46"/>
        <v>0</v>
      </c>
      <c r="AG168" s="6">
        <f t="shared" si="47"/>
        <v>0</v>
      </c>
      <c r="AH168" s="6">
        <f t="shared" si="48"/>
        <v>0</v>
      </c>
      <c r="AI168" s="6">
        <f t="shared" si="49"/>
        <v>0</v>
      </c>
      <c r="AJ168" s="6">
        <f t="shared" si="50"/>
        <v>0</v>
      </c>
      <c r="AK168" s="6">
        <f t="shared" si="51"/>
        <v>0.17446236559139788</v>
      </c>
      <c r="AL168" s="6">
        <f t="shared" si="52"/>
        <v>0.17446236559139788</v>
      </c>
      <c r="AM168" s="6">
        <f t="shared" si="53"/>
        <v>0.17446236559139788</v>
      </c>
      <c r="AN168" s="6">
        <f t="shared" si="54"/>
        <v>0.17446236559139788</v>
      </c>
    </row>
    <row r="169" spans="1:40" ht="15.5" x14ac:dyDescent="0.35">
      <c r="A169" s="4" t="s">
        <v>215</v>
      </c>
      <c r="B169" s="4">
        <v>40</v>
      </c>
      <c r="C169">
        <v>5</v>
      </c>
      <c r="D169" s="4" t="s">
        <v>174</v>
      </c>
      <c r="E169" s="4">
        <v>-0.13763440860215054</v>
      </c>
      <c r="F169">
        <f t="shared" si="37"/>
        <v>0.35161290322580657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6">
        <v>0.5</v>
      </c>
      <c r="V169" s="7"/>
      <c r="W169" s="6">
        <v>0.5</v>
      </c>
      <c r="X169" s="6">
        <f t="shared" si="38"/>
        <v>0</v>
      </c>
      <c r="Y169" s="6">
        <f t="shared" si="39"/>
        <v>0</v>
      </c>
      <c r="Z169" s="6">
        <f t="shared" si="40"/>
        <v>0</v>
      </c>
      <c r="AA169" s="6">
        <f t="shared" si="41"/>
        <v>0</v>
      </c>
      <c r="AB169" s="6">
        <f t="shared" si="42"/>
        <v>0</v>
      </c>
      <c r="AC169" s="6">
        <f t="shared" si="43"/>
        <v>0</v>
      </c>
      <c r="AD169" s="6">
        <f t="shared" si="44"/>
        <v>0</v>
      </c>
      <c r="AE169" s="6">
        <f t="shared" si="45"/>
        <v>0</v>
      </c>
      <c r="AF169" s="6">
        <f t="shared" si="46"/>
        <v>0</v>
      </c>
      <c r="AG169" s="6">
        <f t="shared" si="47"/>
        <v>0</v>
      </c>
      <c r="AH169" s="6">
        <f t="shared" si="48"/>
        <v>0</v>
      </c>
      <c r="AI169" s="6">
        <f t="shared" si="49"/>
        <v>0</v>
      </c>
      <c r="AJ169" s="6">
        <f t="shared" si="50"/>
        <v>0</v>
      </c>
      <c r="AK169" s="6">
        <f t="shared" si="51"/>
        <v>0</v>
      </c>
      <c r="AL169" s="6">
        <f t="shared" si="52"/>
        <v>0.17580645161290329</v>
      </c>
      <c r="AM169" s="6">
        <f t="shared" si="53"/>
        <v>0</v>
      </c>
      <c r="AN169" s="6">
        <f t="shared" si="54"/>
        <v>0.17580645161290329</v>
      </c>
    </row>
    <row r="170" spans="1:40" ht="15.5" x14ac:dyDescent="0.35">
      <c r="A170" s="4" t="s">
        <v>215</v>
      </c>
      <c r="B170" s="4">
        <v>40</v>
      </c>
      <c r="C170">
        <v>4</v>
      </c>
      <c r="D170" s="4" t="s">
        <v>173</v>
      </c>
      <c r="E170" s="4">
        <v>-0.14838709677419348</v>
      </c>
      <c r="F170">
        <f t="shared" si="37"/>
        <v>0.34086021505376363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6">
        <v>0.5</v>
      </c>
      <c r="V170" s="7"/>
      <c r="W170" s="6">
        <v>0.5</v>
      </c>
      <c r="X170" s="6">
        <f t="shared" si="38"/>
        <v>0</v>
      </c>
      <c r="Y170" s="6">
        <f t="shared" si="39"/>
        <v>0</v>
      </c>
      <c r="Z170" s="6">
        <f t="shared" si="40"/>
        <v>0</v>
      </c>
      <c r="AA170" s="6">
        <f t="shared" si="41"/>
        <v>0</v>
      </c>
      <c r="AB170" s="6">
        <f t="shared" si="42"/>
        <v>0</v>
      </c>
      <c r="AC170" s="6">
        <f t="shared" si="43"/>
        <v>0</v>
      </c>
      <c r="AD170" s="6">
        <f t="shared" si="44"/>
        <v>0</v>
      </c>
      <c r="AE170" s="6">
        <f t="shared" si="45"/>
        <v>0</v>
      </c>
      <c r="AF170" s="6">
        <f t="shared" si="46"/>
        <v>0</v>
      </c>
      <c r="AG170" s="6">
        <f t="shared" si="47"/>
        <v>0</v>
      </c>
      <c r="AH170" s="6">
        <f t="shared" si="48"/>
        <v>0</v>
      </c>
      <c r="AI170" s="6">
        <f t="shared" si="49"/>
        <v>0</v>
      </c>
      <c r="AJ170" s="6">
        <f t="shared" si="50"/>
        <v>0</v>
      </c>
      <c r="AK170" s="6">
        <f t="shared" si="51"/>
        <v>0</v>
      </c>
      <c r="AL170" s="6">
        <f t="shared" si="52"/>
        <v>0.17043010752688181</v>
      </c>
      <c r="AM170" s="6">
        <f t="shared" si="53"/>
        <v>0</v>
      </c>
      <c r="AN170" s="6">
        <f t="shared" si="54"/>
        <v>0.17043010752688181</v>
      </c>
    </row>
    <row r="171" spans="1:40" ht="15.5" x14ac:dyDescent="0.35">
      <c r="A171" s="4" t="s">
        <v>215</v>
      </c>
      <c r="B171" s="4">
        <v>41</v>
      </c>
      <c r="C171">
        <v>4</v>
      </c>
      <c r="D171" s="4" t="s">
        <v>175</v>
      </c>
      <c r="E171" s="4">
        <v>-0.36344086021505373</v>
      </c>
      <c r="F171">
        <f t="shared" si="37"/>
        <v>0.12580645161290338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6">
        <v>0.5</v>
      </c>
      <c r="V171" s="7"/>
      <c r="W171" s="6">
        <v>0.5</v>
      </c>
      <c r="X171" s="6">
        <f t="shared" si="38"/>
        <v>0</v>
      </c>
      <c r="Y171" s="6">
        <f t="shared" si="39"/>
        <v>0</v>
      </c>
      <c r="Z171" s="6">
        <f t="shared" si="40"/>
        <v>0</v>
      </c>
      <c r="AA171" s="6">
        <f t="shared" si="41"/>
        <v>0</v>
      </c>
      <c r="AB171" s="6">
        <f t="shared" si="42"/>
        <v>0</v>
      </c>
      <c r="AC171" s="6">
        <f t="shared" si="43"/>
        <v>0</v>
      </c>
      <c r="AD171" s="6">
        <f t="shared" si="44"/>
        <v>0</v>
      </c>
      <c r="AE171" s="6">
        <f t="shared" si="45"/>
        <v>0</v>
      </c>
      <c r="AF171" s="6">
        <f t="shared" si="46"/>
        <v>0</v>
      </c>
      <c r="AG171" s="6">
        <f t="shared" si="47"/>
        <v>0</v>
      </c>
      <c r="AH171" s="6">
        <f t="shared" si="48"/>
        <v>0</v>
      </c>
      <c r="AI171" s="6">
        <f t="shared" si="49"/>
        <v>0</v>
      </c>
      <c r="AJ171" s="6">
        <f t="shared" si="50"/>
        <v>0</v>
      </c>
      <c r="AK171" s="6">
        <f t="shared" si="51"/>
        <v>0</v>
      </c>
      <c r="AL171" s="6">
        <f t="shared" si="52"/>
        <v>6.290322580645169E-2</v>
      </c>
      <c r="AM171" s="6">
        <f t="shared" si="53"/>
        <v>0</v>
      </c>
      <c r="AN171" s="6">
        <f t="shared" si="54"/>
        <v>6.290322580645169E-2</v>
      </c>
    </row>
    <row r="172" spans="1:40" ht="15.5" x14ac:dyDescent="0.35">
      <c r="A172" s="4" t="s">
        <v>215</v>
      </c>
      <c r="B172" s="4">
        <v>41</v>
      </c>
      <c r="C172">
        <v>5</v>
      </c>
      <c r="D172" s="4" t="s">
        <v>176</v>
      </c>
      <c r="E172" s="4">
        <v>-0.38064516129032255</v>
      </c>
      <c r="F172">
        <f t="shared" si="37"/>
        <v>0.10860215053763456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6">
        <v>0.5</v>
      </c>
      <c r="V172" s="7"/>
      <c r="W172" s="6">
        <v>0.5</v>
      </c>
      <c r="X172" s="6">
        <f t="shared" si="38"/>
        <v>0</v>
      </c>
      <c r="Y172" s="6">
        <f t="shared" si="39"/>
        <v>0</v>
      </c>
      <c r="Z172" s="6">
        <f t="shared" si="40"/>
        <v>0</v>
      </c>
      <c r="AA172" s="6">
        <f t="shared" si="41"/>
        <v>0</v>
      </c>
      <c r="AB172" s="6">
        <f t="shared" si="42"/>
        <v>0</v>
      </c>
      <c r="AC172" s="6">
        <f t="shared" si="43"/>
        <v>0</v>
      </c>
      <c r="AD172" s="6">
        <f t="shared" si="44"/>
        <v>0</v>
      </c>
      <c r="AE172" s="6">
        <f t="shared" si="45"/>
        <v>0</v>
      </c>
      <c r="AF172" s="6">
        <f t="shared" si="46"/>
        <v>0</v>
      </c>
      <c r="AG172" s="6">
        <f t="shared" si="47"/>
        <v>0</v>
      </c>
      <c r="AH172" s="6">
        <f t="shared" si="48"/>
        <v>0</v>
      </c>
      <c r="AI172" s="6">
        <f t="shared" si="49"/>
        <v>0</v>
      </c>
      <c r="AJ172" s="6">
        <f t="shared" si="50"/>
        <v>0</v>
      </c>
      <c r="AK172" s="6">
        <f t="shared" si="51"/>
        <v>0</v>
      </c>
      <c r="AL172" s="6">
        <f t="shared" si="52"/>
        <v>5.4301075268817278E-2</v>
      </c>
      <c r="AM172" s="6">
        <f t="shared" si="53"/>
        <v>0</v>
      </c>
      <c r="AN172" s="6">
        <f t="shared" si="54"/>
        <v>5.4301075268817278E-2</v>
      </c>
    </row>
    <row r="173" spans="1:40" ht="15.5" x14ac:dyDescent="0.35">
      <c r="A173" s="4" t="s">
        <v>214</v>
      </c>
      <c r="B173" s="4">
        <v>42</v>
      </c>
      <c r="C173">
        <v>2</v>
      </c>
      <c r="D173" s="4" t="s">
        <v>178</v>
      </c>
      <c r="E173" s="4">
        <v>0.31182795698924737</v>
      </c>
      <c r="F173">
        <f t="shared" si="37"/>
        <v>0.80107526881720448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>
        <v>1</v>
      </c>
      <c r="U173" s="7"/>
      <c r="V173" s="7"/>
      <c r="W173" s="7"/>
      <c r="X173" s="6">
        <f t="shared" si="38"/>
        <v>0</v>
      </c>
      <c r="Y173" s="6">
        <f t="shared" si="39"/>
        <v>0</v>
      </c>
      <c r="Z173" s="6">
        <f t="shared" si="40"/>
        <v>0</v>
      </c>
      <c r="AA173" s="6">
        <f t="shared" si="41"/>
        <v>0</v>
      </c>
      <c r="AB173" s="6">
        <f t="shared" si="42"/>
        <v>0</v>
      </c>
      <c r="AC173" s="6">
        <f t="shared" si="43"/>
        <v>0</v>
      </c>
      <c r="AD173" s="6">
        <f t="shared" si="44"/>
        <v>0</v>
      </c>
      <c r="AE173" s="6">
        <f t="shared" si="45"/>
        <v>0</v>
      </c>
      <c r="AF173" s="6">
        <f t="shared" si="46"/>
        <v>0</v>
      </c>
      <c r="AG173" s="6">
        <f t="shared" si="47"/>
        <v>0</v>
      </c>
      <c r="AH173" s="6">
        <f t="shared" si="48"/>
        <v>0</v>
      </c>
      <c r="AI173" s="6">
        <f t="shared" si="49"/>
        <v>0</v>
      </c>
      <c r="AJ173" s="6">
        <f t="shared" si="50"/>
        <v>0</v>
      </c>
      <c r="AK173" s="6">
        <f t="shared" si="51"/>
        <v>0.80107526881720448</v>
      </c>
      <c r="AL173" s="6">
        <f t="shared" si="52"/>
        <v>0</v>
      </c>
      <c r="AM173" s="6">
        <f t="shared" si="53"/>
        <v>0</v>
      </c>
      <c r="AN173" s="6">
        <f t="shared" si="54"/>
        <v>0</v>
      </c>
    </row>
    <row r="174" spans="1:40" ht="15.5" x14ac:dyDescent="0.35">
      <c r="A174" s="4" t="s">
        <v>214</v>
      </c>
      <c r="B174" s="4">
        <v>42</v>
      </c>
      <c r="C174">
        <v>5</v>
      </c>
      <c r="D174" s="4" t="s">
        <v>181</v>
      </c>
      <c r="E174" s="4">
        <v>0.2978494623655914</v>
      </c>
      <c r="F174">
        <f t="shared" si="37"/>
        <v>0.78709677419354851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>
        <v>1</v>
      </c>
      <c r="U174" s="7"/>
      <c r="V174" s="7"/>
      <c r="W174" s="7"/>
      <c r="X174" s="6">
        <f t="shared" si="38"/>
        <v>0</v>
      </c>
      <c r="Y174" s="6">
        <f t="shared" si="39"/>
        <v>0</v>
      </c>
      <c r="Z174" s="6">
        <f t="shared" si="40"/>
        <v>0</v>
      </c>
      <c r="AA174" s="6">
        <f t="shared" si="41"/>
        <v>0</v>
      </c>
      <c r="AB174" s="6">
        <f t="shared" si="42"/>
        <v>0</v>
      </c>
      <c r="AC174" s="6">
        <f t="shared" si="43"/>
        <v>0</v>
      </c>
      <c r="AD174" s="6">
        <f t="shared" si="44"/>
        <v>0</v>
      </c>
      <c r="AE174" s="6">
        <f t="shared" si="45"/>
        <v>0</v>
      </c>
      <c r="AF174" s="6">
        <f t="shared" si="46"/>
        <v>0</v>
      </c>
      <c r="AG174" s="6">
        <f t="shared" si="47"/>
        <v>0</v>
      </c>
      <c r="AH174" s="6">
        <f t="shared" si="48"/>
        <v>0</v>
      </c>
      <c r="AI174" s="6">
        <f t="shared" si="49"/>
        <v>0</v>
      </c>
      <c r="AJ174" s="6">
        <f t="shared" si="50"/>
        <v>0</v>
      </c>
      <c r="AK174" s="6">
        <f t="shared" si="51"/>
        <v>0.78709677419354851</v>
      </c>
      <c r="AL174" s="6">
        <f t="shared" si="52"/>
        <v>0</v>
      </c>
      <c r="AM174" s="6">
        <f t="shared" si="53"/>
        <v>0</v>
      </c>
      <c r="AN174" s="6">
        <f t="shared" si="54"/>
        <v>0</v>
      </c>
    </row>
    <row r="175" spans="1:40" ht="15.5" x14ac:dyDescent="0.35">
      <c r="A175" s="4" t="s">
        <v>214</v>
      </c>
      <c r="B175" s="4">
        <v>42</v>
      </c>
      <c r="C175">
        <v>4</v>
      </c>
      <c r="D175" s="4" t="s">
        <v>180</v>
      </c>
      <c r="E175" s="4">
        <v>0.26451612903225807</v>
      </c>
      <c r="F175">
        <f t="shared" si="37"/>
        <v>0.75376344086021518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>
        <v>1</v>
      </c>
      <c r="U175" s="7"/>
      <c r="V175" s="7"/>
      <c r="W175" s="7"/>
      <c r="X175" s="6">
        <f t="shared" si="38"/>
        <v>0</v>
      </c>
      <c r="Y175" s="6">
        <f t="shared" si="39"/>
        <v>0</v>
      </c>
      <c r="Z175" s="6">
        <f t="shared" si="40"/>
        <v>0</v>
      </c>
      <c r="AA175" s="6">
        <f t="shared" si="41"/>
        <v>0</v>
      </c>
      <c r="AB175" s="6">
        <f t="shared" si="42"/>
        <v>0</v>
      </c>
      <c r="AC175" s="6">
        <f t="shared" si="43"/>
        <v>0</v>
      </c>
      <c r="AD175" s="6">
        <f t="shared" si="44"/>
        <v>0</v>
      </c>
      <c r="AE175" s="6">
        <f t="shared" si="45"/>
        <v>0</v>
      </c>
      <c r="AF175" s="6">
        <f t="shared" si="46"/>
        <v>0</v>
      </c>
      <c r="AG175" s="6">
        <f t="shared" si="47"/>
        <v>0</v>
      </c>
      <c r="AH175" s="6">
        <f t="shared" si="48"/>
        <v>0</v>
      </c>
      <c r="AI175" s="6">
        <f t="shared" si="49"/>
        <v>0</v>
      </c>
      <c r="AJ175" s="6">
        <f t="shared" si="50"/>
        <v>0</v>
      </c>
      <c r="AK175" s="6">
        <f t="shared" si="51"/>
        <v>0.75376344086021518</v>
      </c>
      <c r="AL175" s="6">
        <f t="shared" si="52"/>
        <v>0</v>
      </c>
      <c r="AM175" s="6">
        <f t="shared" si="53"/>
        <v>0</v>
      </c>
      <c r="AN175" s="6">
        <f t="shared" si="54"/>
        <v>0</v>
      </c>
    </row>
    <row r="176" spans="1:40" ht="15.5" x14ac:dyDescent="0.35">
      <c r="A176" s="4" t="s">
        <v>214</v>
      </c>
      <c r="B176" s="4">
        <v>42</v>
      </c>
      <c r="C176">
        <v>3</v>
      </c>
      <c r="D176" s="4" t="s">
        <v>179</v>
      </c>
      <c r="E176" s="4">
        <v>0.21935483870967748</v>
      </c>
      <c r="F176">
        <f t="shared" si="37"/>
        <v>0.70860215053763453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>
        <v>1</v>
      </c>
      <c r="U176" s="7"/>
      <c r="V176" s="7"/>
      <c r="W176" s="7"/>
      <c r="X176" s="6">
        <f t="shared" si="38"/>
        <v>0</v>
      </c>
      <c r="Y176" s="6">
        <f t="shared" si="39"/>
        <v>0</v>
      </c>
      <c r="Z176" s="6">
        <f t="shared" si="40"/>
        <v>0</v>
      </c>
      <c r="AA176" s="6">
        <f t="shared" si="41"/>
        <v>0</v>
      </c>
      <c r="AB176" s="6">
        <f t="shared" si="42"/>
        <v>0</v>
      </c>
      <c r="AC176" s="6">
        <f t="shared" si="43"/>
        <v>0</v>
      </c>
      <c r="AD176" s="6">
        <f t="shared" si="44"/>
        <v>0</v>
      </c>
      <c r="AE176" s="6">
        <f t="shared" si="45"/>
        <v>0</v>
      </c>
      <c r="AF176" s="6">
        <f t="shared" si="46"/>
        <v>0</v>
      </c>
      <c r="AG176" s="6">
        <f t="shared" si="47"/>
        <v>0</v>
      </c>
      <c r="AH176" s="6">
        <f t="shared" si="48"/>
        <v>0</v>
      </c>
      <c r="AI176" s="6">
        <f t="shared" si="49"/>
        <v>0</v>
      </c>
      <c r="AJ176" s="6">
        <f t="shared" si="50"/>
        <v>0</v>
      </c>
      <c r="AK176" s="6">
        <f t="shared" si="51"/>
        <v>0.70860215053763453</v>
      </c>
      <c r="AL176" s="6">
        <f t="shared" si="52"/>
        <v>0</v>
      </c>
      <c r="AM176" s="6">
        <f t="shared" si="53"/>
        <v>0</v>
      </c>
      <c r="AN176" s="6">
        <f t="shared" si="54"/>
        <v>0</v>
      </c>
    </row>
    <row r="177" spans="1:40" ht="15.5" x14ac:dyDescent="0.35">
      <c r="A177" s="4" t="s">
        <v>214</v>
      </c>
      <c r="B177" s="4">
        <v>42</v>
      </c>
      <c r="C177">
        <v>1</v>
      </c>
      <c r="D177" s="4" t="s">
        <v>177</v>
      </c>
      <c r="E177" s="4">
        <v>0.20860215053763445</v>
      </c>
      <c r="F177">
        <f t="shared" si="37"/>
        <v>0.69784946236559153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>
        <v>1</v>
      </c>
      <c r="U177" s="7"/>
      <c r="V177" s="7"/>
      <c r="W177" s="7"/>
      <c r="X177" s="6">
        <f t="shared" si="38"/>
        <v>0</v>
      </c>
      <c r="Y177" s="6">
        <f t="shared" si="39"/>
        <v>0</v>
      </c>
      <c r="Z177" s="6">
        <f t="shared" si="40"/>
        <v>0</v>
      </c>
      <c r="AA177" s="6">
        <f t="shared" si="41"/>
        <v>0</v>
      </c>
      <c r="AB177" s="6">
        <f t="shared" si="42"/>
        <v>0</v>
      </c>
      <c r="AC177" s="6">
        <f t="shared" si="43"/>
        <v>0</v>
      </c>
      <c r="AD177" s="6">
        <f t="shared" si="44"/>
        <v>0</v>
      </c>
      <c r="AE177" s="6">
        <f t="shared" si="45"/>
        <v>0</v>
      </c>
      <c r="AF177" s="6">
        <f t="shared" si="46"/>
        <v>0</v>
      </c>
      <c r="AG177" s="6">
        <f t="shared" si="47"/>
        <v>0</v>
      </c>
      <c r="AH177" s="6">
        <f t="shared" si="48"/>
        <v>0</v>
      </c>
      <c r="AI177" s="6">
        <f t="shared" si="49"/>
        <v>0</v>
      </c>
      <c r="AJ177" s="6">
        <f t="shared" si="50"/>
        <v>0</v>
      </c>
      <c r="AK177" s="6">
        <f t="shared" si="51"/>
        <v>0.69784946236559153</v>
      </c>
      <c r="AL177" s="6">
        <f t="shared" si="52"/>
        <v>0</v>
      </c>
      <c r="AM177" s="6">
        <f t="shared" si="53"/>
        <v>0</v>
      </c>
      <c r="AN177" s="6">
        <f t="shared" si="54"/>
        <v>0</v>
      </c>
    </row>
    <row r="178" spans="1:40" ht="15.5" x14ac:dyDescent="0.35">
      <c r="A178" s="4" t="s">
        <v>214</v>
      </c>
      <c r="B178" s="4">
        <v>43</v>
      </c>
      <c r="C178">
        <v>3</v>
      </c>
      <c r="D178" s="4" t="s">
        <v>184</v>
      </c>
      <c r="E178" s="4">
        <v>0.34086021505376352</v>
      </c>
      <c r="F178">
        <f t="shared" si="37"/>
        <v>0.83010752688172063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6">
        <v>1</v>
      </c>
      <c r="W178" s="7"/>
      <c r="X178" s="6">
        <f t="shared" si="38"/>
        <v>0</v>
      </c>
      <c r="Y178" s="6">
        <f t="shared" si="39"/>
        <v>0</v>
      </c>
      <c r="Z178" s="6">
        <f t="shared" si="40"/>
        <v>0</v>
      </c>
      <c r="AA178" s="6">
        <f t="shared" si="41"/>
        <v>0</v>
      </c>
      <c r="AB178" s="6">
        <f t="shared" si="42"/>
        <v>0</v>
      </c>
      <c r="AC178" s="6">
        <f t="shared" si="43"/>
        <v>0</v>
      </c>
      <c r="AD178" s="6">
        <f t="shared" si="44"/>
        <v>0</v>
      </c>
      <c r="AE178" s="6">
        <f t="shared" si="45"/>
        <v>0</v>
      </c>
      <c r="AF178" s="6">
        <f t="shared" si="46"/>
        <v>0</v>
      </c>
      <c r="AG178" s="6">
        <f t="shared" si="47"/>
        <v>0</v>
      </c>
      <c r="AH178" s="6">
        <f t="shared" si="48"/>
        <v>0</v>
      </c>
      <c r="AI178" s="6">
        <f t="shared" si="49"/>
        <v>0</v>
      </c>
      <c r="AJ178" s="6">
        <f t="shared" si="50"/>
        <v>0</v>
      </c>
      <c r="AK178" s="6">
        <f t="shared" si="51"/>
        <v>0</v>
      </c>
      <c r="AL178" s="6">
        <f t="shared" si="52"/>
        <v>0</v>
      </c>
      <c r="AM178" s="6">
        <f t="shared" si="53"/>
        <v>0.83010752688172063</v>
      </c>
      <c r="AN178" s="6">
        <f t="shared" si="54"/>
        <v>0</v>
      </c>
    </row>
    <row r="179" spans="1:40" ht="15.5" x14ac:dyDescent="0.35">
      <c r="A179" s="4" t="s">
        <v>214</v>
      </c>
      <c r="B179" s="4">
        <v>43</v>
      </c>
      <c r="C179">
        <v>2</v>
      </c>
      <c r="D179" s="4" t="s">
        <v>183</v>
      </c>
      <c r="E179" s="4">
        <v>0.31182795698924737</v>
      </c>
      <c r="F179">
        <f t="shared" si="37"/>
        <v>0.80107526881720448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6">
        <v>1</v>
      </c>
      <c r="W179" s="7"/>
      <c r="X179" s="6">
        <f t="shared" si="38"/>
        <v>0</v>
      </c>
      <c r="Y179" s="6">
        <f t="shared" si="39"/>
        <v>0</v>
      </c>
      <c r="Z179" s="6">
        <f t="shared" si="40"/>
        <v>0</v>
      </c>
      <c r="AA179" s="6">
        <f t="shared" si="41"/>
        <v>0</v>
      </c>
      <c r="AB179" s="6">
        <f t="shared" si="42"/>
        <v>0</v>
      </c>
      <c r="AC179" s="6">
        <f t="shared" si="43"/>
        <v>0</v>
      </c>
      <c r="AD179" s="6">
        <f t="shared" si="44"/>
        <v>0</v>
      </c>
      <c r="AE179" s="6">
        <f t="shared" si="45"/>
        <v>0</v>
      </c>
      <c r="AF179" s="6">
        <f t="shared" si="46"/>
        <v>0</v>
      </c>
      <c r="AG179" s="6">
        <f t="shared" si="47"/>
        <v>0</v>
      </c>
      <c r="AH179" s="6">
        <f t="shared" si="48"/>
        <v>0</v>
      </c>
      <c r="AI179" s="6">
        <f t="shared" si="49"/>
        <v>0</v>
      </c>
      <c r="AJ179" s="6">
        <f t="shared" si="50"/>
        <v>0</v>
      </c>
      <c r="AK179" s="6">
        <f t="shared" si="51"/>
        <v>0</v>
      </c>
      <c r="AL179" s="6">
        <f t="shared" si="52"/>
        <v>0</v>
      </c>
      <c r="AM179" s="6">
        <f t="shared" si="53"/>
        <v>0.80107526881720448</v>
      </c>
      <c r="AN179" s="6">
        <f t="shared" si="54"/>
        <v>0</v>
      </c>
    </row>
    <row r="180" spans="1:40" ht="15.5" x14ac:dyDescent="0.35">
      <c r="A180" s="4" t="s">
        <v>214</v>
      </c>
      <c r="B180" s="4">
        <v>43</v>
      </c>
      <c r="C180">
        <v>5</v>
      </c>
      <c r="D180" s="4" t="s">
        <v>186</v>
      </c>
      <c r="E180" s="4">
        <v>0.2978494623655914</v>
      </c>
      <c r="F180">
        <f t="shared" si="37"/>
        <v>0.78709677419354851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6">
        <v>1</v>
      </c>
      <c r="W180" s="7"/>
      <c r="X180" s="6">
        <f t="shared" si="38"/>
        <v>0</v>
      </c>
      <c r="Y180" s="6">
        <f t="shared" si="39"/>
        <v>0</v>
      </c>
      <c r="Z180" s="6">
        <f t="shared" si="40"/>
        <v>0</v>
      </c>
      <c r="AA180" s="6">
        <f t="shared" si="41"/>
        <v>0</v>
      </c>
      <c r="AB180" s="6">
        <f t="shared" si="42"/>
        <v>0</v>
      </c>
      <c r="AC180" s="6">
        <f t="shared" si="43"/>
        <v>0</v>
      </c>
      <c r="AD180" s="6">
        <f t="shared" si="44"/>
        <v>0</v>
      </c>
      <c r="AE180" s="6">
        <f t="shared" si="45"/>
        <v>0</v>
      </c>
      <c r="AF180" s="6">
        <f t="shared" si="46"/>
        <v>0</v>
      </c>
      <c r="AG180" s="6">
        <f t="shared" si="47"/>
        <v>0</v>
      </c>
      <c r="AH180" s="6">
        <f t="shared" si="48"/>
        <v>0</v>
      </c>
      <c r="AI180" s="6">
        <f t="shared" si="49"/>
        <v>0</v>
      </c>
      <c r="AJ180" s="6">
        <f t="shared" si="50"/>
        <v>0</v>
      </c>
      <c r="AK180" s="6">
        <f t="shared" si="51"/>
        <v>0</v>
      </c>
      <c r="AL180" s="6">
        <f t="shared" si="52"/>
        <v>0</v>
      </c>
      <c r="AM180" s="6">
        <f t="shared" si="53"/>
        <v>0.78709677419354851</v>
      </c>
      <c r="AN180" s="6">
        <f t="shared" si="54"/>
        <v>0</v>
      </c>
    </row>
    <row r="181" spans="1:40" ht="15.5" x14ac:dyDescent="0.35">
      <c r="A181" s="4" t="s">
        <v>214</v>
      </c>
      <c r="B181" s="4">
        <v>43</v>
      </c>
      <c r="C181">
        <v>4</v>
      </c>
      <c r="D181" s="4" t="s">
        <v>185</v>
      </c>
      <c r="E181" s="4">
        <v>0.26451612903225807</v>
      </c>
      <c r="F181">
        <f t="shared" si="37"/>
        <v>0.75376344086021518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6">
        <v>1</v>
      </c>
      <c r="W181" s="7"/>
      <c r="X181" s="6">
        <f t="shared" si="38"/>
        <v>0</v>
      </c>
      <c r="Y181" s="6">
        <f t="shared" si="39"/>
        <v>0</v>
      </c>
      <c r="Z181" s="6">
        <f t="shared" si="40"/>
        <v>0</v>
      </c>
      <c r="AA181" s="6">
        <f t="shared" si="41"/>
        <v>0</v>
      </c>
      <c r="AB181" s="6">
        <f t="shared" si="42"/>
        <v>0</v>
      </c>
      <c r="AC181" s="6">
        <f t="shared" si="43"/>
        <v>0</v>
      </c>
      <c r="AD181" s="6">
        <f t="shared" si="44"/>
        <v>0</v>
      </c>
      <c r="AE181" s="6">
        <f t="shared" si="45"/>
        <v>0</v>
      </c>
      <c r="AF181" s="6">
        <f t="shared" si="46"/>
        <v>0</v>
      </c>
      <c r="AG181" s="6">
        <f t="shared" si="47"/>
        <v>0</v>
      </c>
      <c r="AH181" s="6">
        <f t="shared" si="48"/>
        <v>0</v>
      </c>
      <c r="AI181" s="6">
        <f t="shared" si="49"/>
        <v>0</v>
      </c>
      <c r="AJ181" s="6">
        <f t="shared" si="50"/>
        <v>0</v>
      </c>
      <c r="AK181" s="6">
        <f t="shared" si="51"/>
        <v>0</v>
      </c>
      <c r="AL181" s="6">
        <f t="shared" si="52"/>
        <v>0</v>
      </c>
      <c r="AM181" s="6">
        <f t="shared" si="53"/>
        <v>0.75376344086021518</v>
      </c>
      <c r="AN181" s="6">
        <f t="shared" si="54"/>
        <v>0</v>
      </c>
    </row>
    <row r="182" spans="1:40" ht="15.5" x14ac:dyDescent="0.35">
      <c r="A182" s="4" t="s">
        <v>214</v>
      </c>
      <c r="B182" s="4">
        <v>43</v>
      </c>
      <c r="C182">
        <v>1</v>
      </c>
      <c r="D182" s="4" t="s">
        <v>182</v>
      </c>
      <c r="E182" s="4">
        <v>0.20860215053763445</v>
      </c>
      <c r="F182">
        <f t="shared" si="37"/>
        <v>0.69784946236559153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6">
        <v>1</v>
      </c>
      <c r="W182" s="7"/>
      <c r="X182" s="6">
        <f t="shared" si="38"/>
        <v>0</v>
      </c>
      <c r="Y182" s="6">
        <f t="shared" si="39"/>
        <v>0</v>
      </c>
      <c r="Z182" s="6">
        <f t="shared" si="40"/>
        <v>0</v>
      </c>
      <c r="AA182" s="6">
        <f t="shared" si="41"/>
        <v>0</v>
      </c>
      <c r="AB182" s="6">
        <f t="shared" si="42"/>
        <v>0</v>
      </c>
      <c r="AC182" s="6">
        <f t="shared" si="43"/>
        <v>0</v>
      </c>
      <c r="AD182" s="6">
        <f t="shared" si="44"/>
        <v>0</v>
      </c>
      <c r="AE182" s="6">
        <f t="shared" si="45"/>
        <v>0</v>
      </c>
      <c r="AF182" s="6">
        <f t="shared" si="46"/>
        <v>0</v>
      </c>
      <c r="AG182" s="6">
        <f t="shared" si="47"/>
        <v>0</v>
      </c>
      <c r="AH182" s="6">
        <f t="shared" si="48"/>
        <v>0</v>
      </c>
      <c r="AI182" s="6">
        <f t="shared" si="49"/>
        <v>0</v>
      </c>
      <c r="AJ182" s="6">
        <f t="shared" si="50"/>
        <v>0</v>
      </c>
      <c r="AK182" s="6">
        <f t="shared" si="51"/>
        <v>0</v>
      </c>
      <c r="AL182" s="6">
        <f t="shared" si="52"/>
        <v>0</v>
      </c>
      <c r="AM182" s="6">
        <f t="shared" si="53"/>
        <v>0.69784946236559153</v>
      </c>
      <c r="AN182" s="6">
        <f t="shared" si="54"/>
        <v>0</v>
      </c>
    </row>
    <row r="183" spans="1:40" ht="15.5" x14ac:dyDescent="0.35">
      <c r="A183" s="4" t="s">
        <v>215</v>
      </c>
      <c r="B183" s="4">
        <v>44</v>
      </c>
      <c r="C183">
        <v>4</v>
      </c>
      <c r="D183" s="4" t="s">
        <v>187</v>
      </c>
      <c r="E183" s="4">
        <v>-0.29892473118279572</v>
      </c>
      <c r="F183">
        <f t="shared" si="37"/>
        <v>0.19032258064516139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6">
        <v>0.5</v>
      </c>
      <c r="V183" s="7"/>
      <c r="W183" s="6">
        <v>0.5</v>
      </c>
      <c r="X183" s="6">
        <f t="shared" si="38"/>
        <v>0</v>
      </c>
      <c r="Y183" s="6">
        <f t="shared" si="39"/>
        <v>0</v>
      </c>
      <c r="Z183" s="6">
        <f t="shared" si="40"/>
        <v>0</v>
      </c>
      <c r="AA183" s="6">
        <f t="shared" si="41"/>
        <v>0</v>
      </c>
      <c r="AB183" s="6">
        <f t="shared" si="42"/>
        <v>0</v>
      </c>
      <c r="AC183" s="6">
        <f t="shared" si="43"/>
        <v>0</v>
      </c>
      <c r="AD183" s="6">
        <f t="shared" si="44"/>
        <v>0</v>
      </c>
      <c r="AE183" s="6">
        <f t="shared" si="45"/>
        <v>0</v>
      </c>
      <c r="AF183" s="6">
        <f t="shared" si="46"/>
        <v>0</v>
      </c>
      <c r="AG183" s="6">
        <f t="shared" si="47"/>
        <v>0</v>
      </c>
      <c r="AH183" s="6">
        <f t="shared" si="48"/>
        <v>0</v>
      </c>
      <c r="AI183" s="6">
        <f t="shared" si="49"/>
        <v>0</v>
      </c>
      <c r="AJ183" s="6">
        <f t="shared" si="50"/>
        <v>0</v>
      </c>
      <c r="AK183" s="6">
        <f t="shared" si="51"/>
        <v>0</v>
      </c>
      <c r="AL183" s="6">
        <f t="shared" si="52"/>
        <v>9.5161290322580694E-2</v>
      </c>
      <c r="AM183" s="6">
        <f t="shared" si="53"/>
        <v>0</v>
      </c>
      <c r="AN183" s="6">
        <f t="shared" si="54"/>
        <v>9.5161290322580694E-2</v>
      </c>
    </row>
    <row r="184" spans="1:40" ht="15.5" x14ac:dyDescent="0.35">
      <c r="A184" s="4" t="s">
        <v>215</v>
      </c>
      <c r="B184" s="4">
        <v>44</v>
      </c>
      <c r="C184">
        <v>5</v>
      </c>
      <c r="D184" s="4" t="s">
        <v>188</v>
      </c>
      <c r="E184" s="4">
        <v>-0.31612903225806455</v>
      </c>
      <c r="F184">
        <f t="shared" si="37"/>
        <v>0.17311827956989256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6">
        <v>0.5</v>
      </c>
      <c r="V184" s="7"/>
      <c r="W184" s="6">
        <v>0.5</v>
      </c>
      <c r="X184" s="6">
        <f t="shared" si="38"/>
        <v>0</v>
      </c>
      <c r="Y184" s="6">
        <f t="shared" si="39"/>
        <v>0</v>
      </c>
      <c r="Z184" s="6">
        <f t="shared" si="40"/>
        <v>0</v>
      </c>
      <c r="AA184" s="6">
        <f t="shared" si="41"/>
        <v>0</v>
      </c>
      <c r="AB184" s="6">
        <f t="shared" si="42"/>
        <v>0</v>
      </c>
      <c r="AC184" s="6">
        <f t="shared" si="43"/>
        <v>0</v>
      </c>
      <c r="AD184" s="6">
        <f t="shared" si="44"/>
        <v>0</v>
      </c>
      <c r="AE184" s="6">
        <f t="shared" si="45"/>
        <v>0</v>
      </c>
      <c r="AF184" s="6">
        <f t="shared" si="46"/>
        <v>0</v>
      </c>
      <c r="AG184" s="6">
        <f t="shared" si="47"/>
        <v>0</v>
      </c>
      <c r="AH184" s="6">
        <f t="shared" si="48"/>
        <v>0</v>
      </c>
      <c r="AI184" s="6">
        <f t="shared" si="49"/>
        <v>0</v>
      </c>
      <c r="AJ184" s="6">
        <f t="shared" si="50"/>
        <v>0</v>
      </c>
      <c r="AK184" s="6">
        <f t="shared" si="51"/>
        <v>0</v>
      </c>
      <c r="AL184" s="6">
        <f t="shared" si="52"/>
        <v>8.6559139784946282E-2</v>
      </c>
      <c r="AM184" s="6">
        <f t="shared" si="53"/>
        <v>0</v>
      </c>
      <c r="AN184" s="6">
        <f t="shared" si="54"/>
        <v>8.6559139784946282E-2</v>
      </c>
    </row>
    <row r="185" spans="1:40" ht="15.5" x14ac:dyDescent="0.35">
      <c r="A185" s="4" t="s">
        <v>215</v>
      </c>
      <c r="B185" s="4">
        <v>45</v>
      </c>
      <c r="C185">
        <v>5</v>
      </c>
      <c r="D185" s="4" t="s">
        <v>190</v>
      </c>
      <c r="E185" s="4">
        <v>-0.12795698924731191</v>
      </c>
      <c r="F185">
        <f t="shared" si="37"/>
        <v>0.3612903225806452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>
        <v>0.25</v>
      </c>
      <c r="U185" s="6">
        <v>0.25</v>
      </c>
      <c r="V185" s="6">
        <v>0.25</v>
      </c>
      <c r="W185" s="6">
        <v>0.25</v>
      </c>
      <c r="X185" s="6">
        <f t="shared" si="38"/>
        <v>0</v>
      </c>
      <c r="Y185" s="6">
        <f t="shared" si="39"/>
        <v>0</v>
      </c>
      <c r="Z185" s="6">
        <f t="shared" si="40"/>
        <v>0</v>
      </c>
      <c r="AA185" s="6">
        <f t="shared" si="41"/>
        <v>0</v>
      </c>
      <c r="AB185" s="6">
        <f t="shared" si="42"/>
        <v>0</v>
      </c>
      <c r="AC185" s="6">
        <f t="shared" si="43"/>
        <v>0</v>
      </c>
      <c r="AD185" s="6">
        <f t="shared" si="44"/>
        <v>0</v>
      </c>
      <c r="AE185" s="6">
        <f t="shared" si="45"/>
        <v>0</v>
      </c>
      <c r="AF185" s="6">
        <f t="shared" si="46"/>
        <v>0</v>
      </c>
      <c r="AG185" s="6">
        <f t="shared" si="47"/>
        <v>0</v>
      </c>
      <c r="AH185" s="6">
        <f t="shared" si="48"/>
        <v>0</v>
      </c>
      <c r="AI185" s="6">
        <f t="shared" si="49"/>
        <v>0</v>
      </c>
      <c r="AJ185" s="6">
        <f t="shared" si="50"/>
        <v>0</v>
      </c>
      <c r="AK185" s="6">
        <f t="shared" si="51"/>
        <v>9.0322580645161299E-2</v>
      </c>
      <c r="AL185" s="6">
        <f t="shared" si="52"/>
        <v>9.0322580645161299E-2</v>
      </c>
      <c r="AM185" s="6">
        <f t="shared" si="53"/>
        <v>9.0322580645161299E-2</v>
      </c>
      <c r="AN185" s="6">
        <f t="shared" si="54"/>
        <v>9.0322580645161299E-2</v>
      </c>
    </row>
    <row r="186" spans="1:40" ht="15.5" x14ac:dyDescent="0.35">
      <c r="A186" s="4" t="s">
        <v>215</v>
      </c>
      <c r="B186" s="4">
        <v>45</v>
      </c>
      <c r="C186">
        <v>4</v>
      </c>
      <c r="D186" s="4" t="s">
        <v>189</v>
      </c>
      <c r="E186" s="4">
        <v>-0.19784946236559142</v>
      </c>
      <c r="F186">
        <f t="shared" si="37"/>
        <v>0.29139784946236569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>
        <v>0.25</v>
      </c>
      <c r="U186" s="6">
        <v>0.25</v>
      </c>
      <c r="V186" s="6">
        <v>0.25</v>
      </c>
      <c r="W186" s="6">
        <v>0.25</v>
      </c>
      <c r="X186" s="6">
        <f t="shared" si="38"/>
        <v>0</v>
      </c>
      <c r="Y186" s="6">
        <f t="shared" si="39"/>
        <v>0</v>
      </c>
      <c r="Z186" s="6">
        <f t="shared" si="40"/>
        <v>0</v>
      </c>
      <c r="AA186" s="6">
        <f t="shared" si="41"/>
        <v>0</v>
      </c>
      <c r="AB186" s="6">
        <f t="shared" si="42"/>
        <v>0</v>
      </c>
      <c r="AC186" s="6">
        <f t="shared" si="43"/>
        <v>0</v>
      </c>
      <c r="AD186" s="6">
        <f t="shared" si="44"/>
        <v>0</v>
      </c>
      <c r="AE186" s="6">
        <f t="shared" si="45"/>
        <v>0</v>
      </c>
      <c r="AF186" s="6">
        <f t="shared" si="46"/>
        <v>0</v>
      </c>
      <c r="AG186" s="6">
        <f t="shared" si="47"/>
        <v>0</v>
      </c>
      <c r="AH186" s="6">
        <f t="shared" si="48"/>
        <v>0</v>
      </c>
      <c r="AI186" s="6">
        <f t="shared" si="49"/>
        <v>0</v>
      </c>
      <c r="AJ186" s="6">
        <f t="shared" si="50"/>
        <v>0</v>
      </c>
      <c r="AK186" s="6">
        <f t="shared" si="51"/>
        <v>7.2849462365591422E-2</v>
      </c>
      <c r="AL186" s="6">
        <f t="shared" si="52"/>
        <v>7.2849462365591422E-2</v>
      </c>
      <c r="AM186" s="6">
        <f t="shared" si="53"/>
        <v>7.2849462365591422E-2</v>
      </c>
      <c r="AN186" s="6">
        <f t="shared" si="54"/>
        <v>7.2849462365591422E-2</v>
      </c>
    </row>
    <row r="187" spans="1:40" ht="15.5" x14ac:dyDescent="0.35">
      <c r="A187" s="4" t="s">
        <v>215</v>
      </c>
      <c r="B187" s="4">
        <v>46</v>
      </c>
      <c r="C187">
        <v>5</v>
      </c>
      <c r="D187" s="4" t="s">
        <v>192</v>
      </c>
      <c r="E187" s="4">
        <v>-0.25376344086021507</v>
      </c>
      <c r="F187">
        <f t="shared" si="37"/>
        <v>0.23548387096774204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6">
        <v>0.5</v>
      </c>
      <c r="V187" s="7"/>
      <c r="W187" s="6">
        <v>0.5</v>
      </c>
      <c r="X187" s="6">
        <f t="shared" si="38"/>
        <v>0</v>
      </c>
      <c r="Y187" s="6">
        <f t="shared" si="39"/>
        <v>0</v>
      </c>
      <c r="Z187" s="6">
        <f t="shared" si="40"/>
        <v>0</v>
      </c>
      <c r="AA187" s="6">
        <f t="shared" si="41"/>
        <v>0</v>
      </c>
      <c r="AB187" s="6">
        <f t="shared" si="42"/>
        <v>0</v>
      </c>
      <c r="AC187" s="6">
        <f t="shared" si="43"/>
        <v>0</v>
      </c>
      <c r="AD187" s="6">
        <f t="shared" si="44"/>
        <v>0</v>
      </c>
      <c r="AE187" s="6">
        <f t="shared" si="45"/>
        <v>0</v>
      </c>
      <c r="AF187" s="6">
        <f t="shared" si="46"/>
        <v>0</v>
      </c>
      <c r="AG187" s="6">
        <f t="shared" si="47"/>
        <v>0</v>
      </c>
      <c r="AH187" s="6">
        <f t="shared" si="48"/>
        <v>0</v>
      </c>
      <c r="AI187" s="6">
        <f t="shared" si="49"/>
        <v>0</v>
      </c>
      <c r="AJ187" s="6">
        <f t="shared" si="50"/>
        <v>0</v>
      </c>
      <c r="AK187" s="6">
        <f t="shared" si="51"/>
        <v>0</v>
      </c>
      <c r="AL187" s="6">
        <f t="shared" si="52"/>
        <v>0.11774193548387102</v>
      </c>
      <c r="AM187" s="6">
        <f t="shared" si="53"/>
        <v>0</v>
      </c>
      <c r="AN187" s="6">
        <f>$F187*W187</f>
        <v>0.11774193548387102</v>
      </c>
    </row>
    <row r="188" spans="1:40" ht="15.5" x14ac:dyDescent="0.35">
      <c r="A188" s="4" t="s">
        <v>215</v>
      </c>
      <c r="B188" s="4">
        <v>46</v>
      </c>
      <c r="C188">
        <v>4</v>
      </c>
      <c r="D188" s="4" t="s">
        <v>191</v>
      </c>
      <c r="E188" s="4">
        <v>-0.29892473118279572</v>
      </c>
      <c r="F188">
        <f t="shared" si="37"/>
        <v>0.19032258064516139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6">
        <v>0.5</v>
      </c>
      <c r="V188" s="7"/>
      <c r="W188" s="6">
        <v>0.5</v>
      </c>
      <c r="X188" s="6">
        <f t="shared" si="38"/>
        <v>0</v>
      </c>
      <c r="Y188" s="6">
        <f t="shared" si="39"/>
        <v>0</v>
      </c>
      <c r="Z188" s="6">
        <f t="shared" si="40"/>
        <v>0</v>
      </c>
      <c r="AA188" s="6">
        <f t="shared" si="41"/>
        <v>0</v>
      </c>
      <c r="AB188" s="6">
        <f t="shared" si="42"/>
        <v>0</v>
      </c>
      <c r="AC188" s="6">
        <f t="shared" si="43"/>
        <v>0</v>
      </c>
      <c r="AD188" s="6">
        <f t="shared" si="44"/>
        <v>0</v>
      </c>
      <c r="AE188" s="6">
        <f t="shared" si="45"/>
        <v>0</v>
      </c>
      <c r="AF188" s="6">
        <f t="shared" si="46"/>
        <v>0</v>
      </c>
      <c r="AG188" s="6">
        <f t="shared" si="47"/>
        <v>0</v>
      </c>
      <c r="AH188" s="6">
        <f t="shared" si="48"/>
        <v>0</v>
      </c>
      <c r="AI188" s="6">
        <f t="shared" si="49"/>
        <v>0</v>
      </c>
      <c r="AJ188" s="6">
        <f t="shared" si="50"/>
        <v>0</v>
      </c>
      <c r="AK188" s="6">
        <f t="shared" si="51"/>
        <v>0</v>
      </c>
      <c r="AL188" s="6">
        <f t="shared" si="52"/>
        <v>9.5161290322580694E-2</v>
      </c>
      <c r="AM188" s="6">
        <f t="shared" si="53"/>
        <v>0</v>
      </c>
      <c r="AN188" s="6">
        <f t="shared" si="54"/>
        <v>9.5161290322580694E-2</v>
      </c>
    </row>
  </sheetData>
  <autoFilter ref="A1:W188" xr:uid="{49CFFDFE-526C-41E8-BC83-AF96B3AD40B7}"/>
  <conditionalFormatting sqref="X2:AN188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8981-B44D-4CD7-A504-7CB9A5598D05}">
  <dimension ref="A1:U37"/>
  <sheetViews>
    <sheetView topLeftCell="A15" workbookViewId="0">
      <selection activeCell="K38" sqref="K38"/>
    </sheetView>
  </sheetViews>
  <sheetFormatPr defaultRowHeight="14.5" x14ac:dyDescent="0.35"/>
  <sheetData>
    <row r="1" spans="1:21" ht="15.5" x14ac:dyDescent="0.35">
      <c r="A1" s="4"/>
      <c r="B1" s="4"/>
      <c r="D1" s="4" t="s">
        <v>209</v>
      </c>
      <c r="E1" s="5" t="s">
        <v>216</v>
      </c>
      <c r="F1" s="5" t="s">
        <v>217</v>
      </c>
      <c r="G1" s="5" t="s">
        <v>218</v>
      </c>
      <c r="H1" s="5" t="s">
        <v>219</v>
      </c>
      <c r="I1" s="5" t="s">
        <v>220</v>
      </c>
      <c r="J1" s="5" t="s">
        <v>221</v>
      </c>
      <c r="K1" s="5" t="s">
        <v>222</v>
      </c>
      <c r="L1" s="5" t="s">
        <v>223</v>
      </c>
      <c r="M1" s="5" t="s">
        <v>224</v>
      </c>
      <c r="N1" s="5" t="s">
        <v>225</v>
      </c>
      <c r="O1" s="5" t="s">
        <v>226</v>
      </c>
      <c r="P1" s="5" t="s">
        <v>227</v>
      </c>
      <c r="Q1" s="5" t="s">
        <v>228</v>
      </c>
      <c r="R1" s="5" t="s">
        <v>229</v>
      </c>
      <c r="S1" s="5" t="s">
        <v>230</v>
      </c>
      <c r="T1" s="5" t="s">
        <v>231</v>
      </c>
      <c r="U1" s="5" t="s">
        <v>232</v>
      </c>
    </row>
    <row r="2" spans="1:21" ht="15.5" x14ac:dyDescent="0.35">
      <c r="A2" s="4" t="s">
        <v>214</v>
      </c>
      <c r="B2" s="4">
        <v>1</v>
      </c>
      <c r="C2">
        <v>3</v>
      </c>
      <c r="D2" s="4" t="s">
        <v>8</v>
      </c>
      <c r="E2" s="6">
        <v>0.11139784946236563</v>
      </c>
      <c r="F2" s="6">
        <v>0.11139784946236563</v>
      </c>
      <c r="G2" s="6">
        <v>0.11139784946236563</v>
      </c>
      <c r="H2" s="6">
        <v>0</v>
      </c>
      <c r="I2" s="6">
        <v>0.11139784946236563</v>
      </c>
      <c r="J2" s="6">
        <v>0.11139784946236563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</row>
    <row r="3" spans="1:21" ht="15.5" x14ac:dyDescent="0.35">
      <c r="A3" s="4" t="s">
        <v>214</v>
      </c>
      <c r="B3" s="4">
        <v>3</v>
      </c>
      <c r="C3">
        <v>3</v>
      </c>
      <c r="D3" s="4" t="s">
        <v>15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0.23548387096774204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</row>
    <row r="4" spans="1:21" ht="15.5" x14ac:dyDescent="0.35">
      <c r="A4" s="4" t="s">
        <v>214</v>
      </c>
      <c r="B4" s="4">
        <v>4</v>
      </c>
      <c r="C4">
        <v>3</v>
      </c>
      <c r="D4" s="4" t="s">
        <v>16</v>
      </c>
      <c r="E4" s="6">
        <v>8.2365591397849491E-2</v>
      </c>
      <c r="F4" s="6">
        <v>8.2365591397849491E-2</v>
      </c>
      <c r="G4" s="6">
        <v>8.2365591397849491E-2</v>
      </c>
      <c r="H4" s="6">
        <v>0</v>
      </c>
      <c r="I4" s="6">
        <v>8.2365591397849491E-2</v>
      </c>
      <c r="J4" s="6">
        <v>8.2365591397849491E-2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</row>
    <row r="5" spans="1:21" ht="15.5" x14ac:dyDescent="0.35">
      <c r="A5" s="4" t="s">
        <v>214</v>
      </c>
      <c r="B5" s="4">
        <v>5</v>
      </c>
      <c r="C5">
        <v>3</v>
      </c>
      <c r="D5" s="4" t="s">
        <v>21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0.10887096774193551</v>
      </c>
      <c r="S5" s="6">
        <v>0.10887096774193551</v>
      </c>
      <c r="T5" s="6">
        <v>0.10887096774193551</v>
      </c>
      <c r="U5" s="6">
        <v>0.10887096774193551</v>
      </c>
    </row>
    <row r="6" spans="1:21" ht="15.5" x14ac:dyDescent="0.35">
      <c r="A6" s="4" t="s">
        <v>214</v>
      </c>
      <c r="B6" s="4">
        <v>6</v>
      </c>
      <c r="C6">
        <v>3</v>
      </c>
      <c r="D6" s="4" t="s">
        <v>26</v>
      </c>
      <c r="E6" s="6">
        <v>0</v>
      </c>
      <c r="F6" s="6">
        <v>0</v>
      </c>
      <c r="G6" s="6">
        <v>0</v>
      </c>
      <c r="H6" s="6">
        <v>5.8817204301075288E-2</v>
      </c>
      <c r="I6" s="6">
        <v>5.8817204301075288E-2</v>
      </c>
      <c r="J6" s="6">
        <v>5.8817204301075288E-2</v>
      </c>
      <c r="K6" s="6">
        <v>5.8817204301075288E-2</v>
      </c>
      <c r="L6" s="6">
        <v>5.8817204301075288E-2</v>
      </c>
      <c r="M6" s="6">
        <v>5.8817204301075288E-2</v>
      </c>
      <c r="N6" s="6">
        <v>5.8817204301075288E-2</v>
      </c>
      <c r="O6" s="6">
        <v>5.8817204301075288E-2</v>
      </c>
      <c r="P6" s="6">
        <v>5.8817204301075288E-2</v>
      </c>
      <c r="Q6" s="6">
        <v>5.8817204301075288E-2</v>
      </c>
      <c r="R6" s="6">
        <v>0</v>
      </c>
      <c r="S6" s="6">
        <v>0</v>
      </c>
      <c r="T6" s="6">
        <v>0</v>
      </c>
      <c r="U6" s="6">
        <v>0</v>
      </c>
    </row>
    <row r="7" spans="1:21" ht="15.5" x14ac:dyDescent="0.35">
      <c r="A7" s="4" t="s">
        <v>214</v>
      </c>
      <c r="B7" s="4">
        <v>9</v>
      </c>
      <c r="C7">
        <v>3</v>
      </c>
      <c r="D7" s="4" t="s">
        <v>35</v>
      </c>
      <c r="E7" s="6">
        <v>0.17715053763440863</v>
      </c>
      <c r="F7" s="6">
        <v>0.17715053763440863</v>
      </c>
      <c r="G7" s="6">
        <v>0</v>
      </c>
      <c r="H7" s="6">
        <v>0</v>
      </c>
      <c r="I7" s="6">
        <v>0.17715053763440863</v>
      </c>
      <c r="J7" s="6">
        <v>0.17715053763440863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</row>
    <row r="8" spans="1:21" ht="15.5" x14ac:dyDescent="0.35">
      <c r="A8" s="4" t="s">
        <v>214</v>
      </c>
      <c r="B8" s="4">
        <v>10</v>
      </c>
      <c r="C8">
        <v>3</v>
      </c>
      <c r="D8" s="4" t="s">
        <v>40</v>
      </c>
      <c r="E8" s="6">
        <v>0.14172043010752691</v>
      </c>
      <c r="F8" s="6">
        <v>0.14172043010752691</v>
      </c>
      <c r="G8" s="6">
        <v>0.14172043010752691</v>
      </c>
      <c r="H8" s="6">
        <v>0</v>
      </c>
      <c r="I8" s="6">
        <v>0.14172043010752691</v>
      </c>
      <c r="J8" s="6">
        <v>0.14172043010752691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</row>
    <row r="9" spans="1:21" ht="15.5" x14ac:dyDescent="0.35">
      <c r="A9" s="4" t="s">
        <v>214</v>
      </c>
      <c r="B9" s="4">
        <v>11</v>
      </c>
      <c r="C9">
        <v>3</v>
      </c>
      <c r="D9" s="4" t="s">
        <v>45</v>
      </c>
      <c r="E9" s="6">
        <v>0</v>
      </c>
      <c r="F9" s="6">
        <v>0.83010752688172063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</row>
    <row r="10" spans="1:21" ht="15.5" x14ac:dyDescent="0.35">
      <c r="A10" s="4" t="s">
        <v>214</v>
      </c>
      <c r="B10" s="4">
        <v>12</v>
      </c>
      <c r="C10">
        <v>3</v>
      </c>
      <c r="D10" s="4" t="s">
        <v>50</v>
      </c>
      <c r="E10" s="6">
        <v>0.53763440860215073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</row>
    <row r="11" spans="1:21" ht="15.5" x14ac:dyDescent="0.35">
      <c r="A11" s="4" t="s">
        <v>214</v>
      </c>
      <c r="B11" s="4">
        <v>13</v>
      </c>
      <c r="C11">
        <v>3</v>
      </c>
      <c r="D11" s="4" t="s">
        <v>53</v>
      </c>
      <c r="E11" s="6">
        <v>5.6129032258064551E-2</v>
      </c>
      <c r="F11" s="6">
        <v>5.6129032258064551E-2</v>
      </c>
      <c r="G11" s="6">
        <v>5.6129032258064551E-2</v>
      </c>
      <c r="H11" s="6">
        <v>0</v>
      </c>
      <c r="I11" s="6">
        <v>5.6129032258064551E-2</v>
      </c>
      <c r="J11" s="6">
        <v>5.6129032258064551E-2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</row>
    <row r="12" spans="1:21" ht="15.5" x14ac:dyDescent="0.35">
      <c r="A12" s="4" t="s">
        <v>214</v>
      </c>
      <c r="B12" s="4">
        <v>14</v>
      </c>
      <c r="C12">
        <v>3</v>
      </c>
      <c r="D12" s="4" t="s">
        <v>56</v>
      </c>
      <c r="E12" s="6">
        <v>0</v>
      </c>
      <c r="F12" s="6">
        <v>0</v>
      </c>
      <c r="G12" s="6">
        <v>0</v>
      </c>
      <c r="H12" s="6">
        <v>3.7741935483870982E-2</v>
      </c>
      <c r="I12" s="6">
        <v>3.7741935483870982E-2</v>
      </c>
      <c r="J12" s="6">
        <v>3.7741935483870982E-2</v>
      </c>
      <c r="K12" s="6">
        <v>3.7741935483870982E-2</v>
      </c>
      <c r="L12" s="6">
        <v>3.7741935483870982E-2</v>
      </c>
      <c r="M12" s="6">
        <v>3.7741935483870982E-2</v>
      </c>
      <c r="N12" s="6">
        <v>3.7741935483870982E-2</v>
      </c>
      <c r="O12" s="6">
        <v>3.7741935483870982E-2</v>
      </c>
      <c r="P12" s="6">
        <v>3.7741935483870982E-2</v>
      </c>
      <c r="Q12" s="6">
        <v>3.7741935483870982E-2</v>
      </c>
      <c r="R12" s="6">
        <v>0</v>
      </c>
      <c r="S12" s="6">
        <v>0</v>
      </c>
      <c r="T12" s="6">
        <v>0</v>
      </c>
      <c r="U12" s="6">
        <v>0</v>
      </c>
    </row>
    <row r="13" spans="1:21" ht="15.5" x14ac:dyDescent="0.35">
      <c r="A13" s="4" t="s">
        <v>214</v>
      </c>
      <c r="B13" s="4">
        <v>15</v>
      </c>
      <c r="C13">
        <v>3</v>
      </c>
      <c r="D13" s="4" t="s">
        <v>61</v>
      </c>
      <c r="E13" s="6">
        <v>0</v>
      </c>
      <c r="F13" s="6">
        <v>0</v>
      </c>
      <c r="G13" s="6">
        <v>0</v>
      </c>
      <c r="H13" s="6">
        <v>0</v>
      </c>
      <c r="I13" s="6">
        <v>0.26881720430107536</v>
      </c>
      <c r="J13" s="6">
        <v>0.26881720430107536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</row>
    <row r="14" spans="1:21" ht="15.5" x14ac:dyDescent="0.35">
      <c r="A14" s="4" t="s">
        <v>214</v>
      </c>
      <c r="B14" s="4">
        <v>16</v>
      </c>
      <c r="C14">
        <v>3</v>
      </c>
      <c r="D14" s="4" t="s">
        <v>66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0.41505376344086031</v>
      </c>
      <c r="N14" s="6">
        <v>0</v>
      </c>
      <c r="O14" s="6">
        <v>0</v>
      </c>
      <c r="P14" s="6">
        <v>0</v>
      </c>
      <c r="Q14" s="6">
        <v>0.41505376344086031</v>
      </c>
      <c r="R14" s="6">
        <v>0</v>
      </c>
      <c r="S14" s="6">
        <v>0</v>
      </c>
      <c r="T14" s="6">
        <v>0</v>
      </c>
      <c r="U14" s="6">
        <v>0</v>
      </c>
    </row>
    <row r="15" spans="1:21" ht="15.5" x14ac:dyDescent="0.35">
      <c r="A15" s="4" t="s">
        <v>214</v>
      </c>
      <c r="B15" s="4">
        <v>17</v>
      </c>
      <c r="C15">
        <v>3</v>
      </c>
      <c r="D15" s="4" t="s">
        <v>71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0.20322580645161298</v>
      </c>
      <c r="N15" s="6">
        <v>0</v>
      </c>
      <c r="O15" s="6">
        <v>0</v>
      </c>
      <c r="P15" s="6">
        <v>0</v>
      </c>
      <c r="Q15" s="6">
        <v>0.20322580645161298</v>
      </c>
      <c r="R15" s="6">
        <v>0</v>
      </c>
      <c r="S15" s="6">
        <v>0</v>
      </c>
      <c r="T15" s="6">
        <v>0</v>
      </c>
      <c r="U15" s="6">
        <v>0</v>
      </c>
    </row>
    <row r="16" spans="1:21" ht="15.5" x14ac:dyDescent="0.35">
      <c r="A16" s="4" t="s">
        <v>214</v>
      </c>
      <c r="B16" s="4">
        <v>18</v>
      </c>
      <c r="C16">
        <v>3</v>
      </c>
      <c r="D16" s="4" t="s">
        <v>76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0.24139784946236567</v>
      </c>
      <c r="N16" s="6">
        <v>0</v>
      </c>
      <c r="O16" s="6">
        <v>0</v>
      </c>
      <c r="P16" s="6">
        <v>0</v>
      </c>
      <c r="Q16" s="6">
        <v>0.24139784946236567</v>
      </c>
      <c r="R16" s="6">
        <v>0</v>
      </c>
      <c r="S16" s="6">
        <v>0</v>
      </c>
      <c r="T16" s="6">
        <v>0</v>
      </c>
      <c r="U16" s="6">
        <v>0</v>
      </c>
    </row>
    <row r="17" spans="1:21" ht="15.5" x14ac:dyDescent="0.35">
      <c r="A17" s="4" t="s">
        <v>214</v>
      </c>
      <c r="B17" s="4">
        <v>19</v>
      </c>
      <c r="C17">
        <v>3</v>
      </c>
      <c r="D17" s="4" t="s">
        <v>81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0.24139784946236567</v>
      </c>
      <c r="N17" s="6">
        <v>0</v>
      </c>
      <c r="O17" s="6">
        <v>0</v>
      </c>
      <c r="P17" s="6">
        <v>0</v>
      </c>
      <c r="Q17" s="6">
        <v>0.24139784946236567</v>
      </c>
      <c r="R17" s="6">
        <v>0</v>
      </c>
      <c r="S17" s="6">
        <v>0</v>
      </c>
      <c r="T17" s="6">
        <v>0</v>
      </c>
      <c r="U17" s="6">
        <v>0</v>
      </c>
    </row>
    <row r="18" spans="1:21" ht="15.5" x14ac:dyDescent="0.35">
      <c r="A18" s="4" t="s">
        <v>214</v>
      </c>
      <c r="B18" s="4">
        <v>20</v>
      </c>
      <c r="C18">
        <v>3</v>
      </c>
      <c r="D18" s="4" t="s">
        <v>86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0.2736559139784947</v>
      </c>
      <c r="N18" s="6">
        <v>0</v>
      </c>
      <c r="O18" s="6">
        <v>0</v>
      </c>
      <c r="P18" s="6">
        <v>0</v>
      </c>
      <c r="Q18" s="6">
        <v>0.2736559139784947</v>
      </c>
      <c r="R18" s="6">
        <v>0</v>
      </c>
      <c r="S18" s="6">
        <v>0</v>
      </c>
      <c r="T18" s="6">
        <v>0</v>
      </c>
      <c r="U18" s="6">
        <v>0</v>
      </c>
    </row>
    <row r="19" spans="1:21" ht="15.5" x14ac:dyDescent="0.35">
      <c r="A19" s="4" t="s">
        <v>214</v>
      </c>
      <c r="B19" s="4">
        <v>22</v>
      </c>
      <c r="C19">
        <v>3</v>
      </c>
      <c r="D19" s="4" t="s">
        <v>93</v>
      </c>
      <c r="E19" s="6">
        <v>0</v>
      </c>
      <c r="F19" s="6">
        <v>0</v>
      </c>
      <c r="G19" s="6">
        <v>0</v>
      </c>
      <c r="H19" s="6">
        <v>9.5161290322580694E-2</v>
      </c>
      <c r="I19" s="6">
        <v>0</v>
      </c>
      <c r="J19" s="6">
        <v>9.5161290322580694E-2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</row>
    <row r="20" spans="1:21" ht="15.5" x14ac:dyDescent="0.35">
      <c r="A20" s="4" t="s">
        <v>214</v>
      </c>
      <c r="B20" s="4">
        <v>23</v>
      </c>
      <c r="C20">
        <v>3</v>
      </c>
      <c r="D20" s="4" t="s">
        <v>98</v>
      </c>
      <c r="E20" s="6">
        <v>0</v>
      </c>
      <c r="F20" s="6">
        <v>0</v>
      </c>
      <c r="G20" s="6">
        <v>0</v>
      </c>
      <c r="H20" s="6">
        <v>0.18817204301075277</v>
      </c>
      <c r="I20" s="6">
        <v>0</v>
      </c>
      <c r="J20" s="6">
        <v>0.18817204301075277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</row>
    <row r="21" spans="1:21" ht="15.5" x14ac:dyDescent="0.35">
      <c r="A21" s="4" t="s">
        <v>214</v>
      </c>
      <c r="B21" s="4">
        <v>24</v>
      </c>
      <c r="C21">
        <v>3</v>
      </c>
      <c r="D21" s="4" t="s">
        <v>103</v>
      </c>
      <c r="E21" s="6">
        <v>0</v>
      </c>
      <c r="F21" s="6">
        <v>0</v>
      </c>
      <c r="G21" s="6">
        <v>0</v>
      </c>
      <c r="H21" s="6">
        <v>0.19232258064516136</v>
      </c>
      <c r="I21" s="6">
        <v>0.19232258064516136</v>
      </c>
      <c r="J21" s="6">
        <v>0.19232258064516136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</row>
    <row r="22" spans="1:21" ht="15.5" x14ac:dyDescent="0.35">
      <c r="A22" s="4" t="s">
        <v>214</v>
      </c>
      <c r="B22" s="4">
        <v>25</v>
      </c>
      <c r="C22">
        <v>3</v>
      </c>
      <c r="D22" s="4" t="s">
        <v>108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0.11922580645161296</v>
      </c>
      <c r="L22" s="6">
        <v>0.11922580645161296</v>
      </c>
      <c r="M22" s="6">
        <v>0</v>
      </c>
      <c r="N22" s="6">
        <v>0.11922580645161296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</row>
    <row r="23" spans="1:21" ht="15.5" x14ac:dyDescent="0.35">
      <c r="A23" s="4" t="s">
        <v>214</v>
      </c>
      <c r="B23" s="4">
        <v>26</v>
      </c>
      <c r="C23">
        <v>3</v>
      </c>
      <c r="D23" s="4" t="s">
        <v>113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0.27393548387096783</v>
      </c>
      <c r="L23" s="6">
        <v>0.27393548387096783</v>
      </c>
      <c r="M23" s="6">
        <v>0</v>
      </c>
      <c r="N23" s="6">
        <v>0.27393548387096783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</row>
    <row r="24" spans="1:21" ht="15.5" x14ac:dyDescent="0.35">
      <c r="A24" s="4" t="s">
        <v>214</v>
      </c>
      <c r="B24" s="4">
        <v>27</v>
      </c>
      <c r="C24">
        <v>3</v>
      </c>
      <c r="D24" s="4" t="s">
        <v>118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0.2338387096774194</v>
      </c>
      <c r="L24" s="6">
        <v>0.2338387096774194</v>
      </c>
      <c r="M24" s="6">
        <v>0</v>
      </c>
      <c r="N24" s="6">
        <v>0.2338387096774194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</row>
    <row r="25" spans="1:21" ht="15.5" x14ac:dyDescent="0.35">
      <c r="A25" s="4" t="s">
        <v>214</v>
      </c>
      <c r="B25" s="4">
        <v>28</v>
      </c>
      <c r="C25">
        <v>3</v>
      </c>
      <c r="D25" s="4" t="s">
        <v>123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7.6344086021505497E-2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</row>
    <row r="26" spans="1:21" ht="15.5" x14ac:dyDescent="0.35">
      <c r="A26" s="4" t="s">
        <v>214</v>
      </c>
      <c r="B26" s="4">
        <v>29</v>
      </c>
      <c r="C26">
        <v>3</v>
      </c>
      <c r="D26" s="4" t="s">
        <v>128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0.42365591397849472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</row>
    <row r="27" spans="1:21" ht="15.5" x14ac:dyDescent="0.35">
      <c r="A27" s="4" t="s">
        <v>214</v>
      </c>
      <c r="B27" s="4">
        <v>30</v>
      </c>
      <c r="C27">
        <v>3</v>
      </c>
      <c r="D27" s="4" t="s">
        <v>133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0.42365591397849472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</row>
    <row r="28" spans="1:21" ht="15.5" x14ac:dyDescent="0.35">
      <c r="A28" s="4" t="s">
        <v>214</v>
      </c>
      <c r="B28" s="4">
        <v>33</v>
      </c>
      <c r="C28">
        <v>3</v>
      </c>
      <c r="D28" s="4" t="s">
        <v>140</v>
      </c>
      <c r="E28" s="6">
        <v>0</v>
      </c>
      <c r="F28" s="6">
        <v>0</v>
      </c>
      <c r="G28" s="6">
        <v>6.2806451612903255E-2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6.2806451612903255E-2</v>
      </c>
      <c r="T28" s="6">
        <v>0</v>
      </c>
      <c r="U28" s="6">
        <v>6.2806451612903255E-2</v>
      </c>
    </row>
    <row r="29" spans="1:21" ht="15.5" x14ac:dyDescent="0.35">
      <c r="A29" s="4" t="s">
        <v>214</v>
      </c>
      <c r="B29" s="4">
        <v>34</v>
      </c>
      <c r="C29">
        <v>3</v>
      </c>
      <c r="D29" s="4" t="s">
        <v>145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9.274193548387101E-2</v>
      </c>
      <c r="S29" s="6">
        <v>9.274193548387101E-2</v>
      </c>
      <c r="T29" s="6">
        <v>9.274193548387101E-2</v>
      </c>
      <c r="U29" s="6">
        <v>9.274193548387101E-2</v>
      </c>
    </row>
    <row r="30" spans="1:21" ht="15.5" x14ac:dyDescent="0.35">
      <c r="A30" s="4" t="s">
        <v>214</v>
      </c>
      <c r="B30" s="4">
        <v>35</v>
      </c>
      <c r="C30">
        <v>3</v>
      </c>
      <c r="D30" s="4" t="s">
        <v>150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0.36774193548387102</v>
      </c>
      <c r="U30" s="6">
        <v>0.36774193548387102</v>
      </c>
    </row>
    <row r="31" spans="1:21" ht="15.5" x14ac:dyDescent="0.35">
      <c r="A31" s="4" t="s">
        <v>214</v>
      </c>
      <c r="B31" s="4">
        <v>36</v>
      </c>
      <c r="C31">
        <v>3</v>
      </c>
      <c r="D31" s="4" t="s">
        <v>155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0.36774193548387102</v>
      </c>
      <c r="S31" s="6">
        <v>0.36774193548387102</v>
      </c>
      <c r="T31" s="6">
        <v>0</v>
      </c>
      <c r="U31" s="6">
        <v>0</v>
      </c>
    </row>
    <row r="32" spans="1:21" ht="15.5" x14ac:dyDescent="0.35">
      <c r="A32" s="4" t="s">
        <v>214</v>
      </c>
      <c r="B32" s="4">
        <v>37</v>
      </c>
      <c r="C32">
        <v>3</v>
      </c>
      <c r="D32" s="4" t="s">
        <v>160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0.2736559139784947</v>
      </c>
      <c r="S32" s="6">
        <v>0.2736559139784947</v>
      </c>
      <c r="T32" s="6">
        <v>0</v>
      </c>
      <c r="U32" s="6">
        <v>0</v>
      </c>
    </row>
    <row r="33" spans="1:21" ht="15.5" x14ac:dyDescent="0.35">
      <c r="A33" s="4" t="s">
        <v>214</v>
      </c>
      <c r="B33" s="4">
        <v>38</v>
      </c>
      <c r="C33">
        <v>3</v>
      </c>
      <c r="D33" s="4" t="s">
        <v>165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0.2736559139784947</v>
      </c>
      <c r="S33" s="6">
        <v>0.2736559139784947</v>
      </c>
      <c r="T33" s="6">
        <v>0</v>
      </c>
      <c r="U33" s="6">
        <v>0</v>
      </c>
    </row>
    <row r="34" spans="1:21" ht="15.5" x14ac:dyDescent="0.35">
      <c r="A34" s="4" t="s">
        <v>214</v>
      </c>
      <c r="B34" s="4">
        <v>39</v>
      </c>
      <c r="C34">
        <v>3</v>
      </c>
      <c r="D34" s="4" t="s">
        <v>170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0.17715053763440863</v>
      </c>
      <c r="S34" s="6">
        <v>0.17715053763440863</v>
      </c>
      <c r="T34" s="6">
        <v>0.17715053763440863</v>
      </c>
      <c r="U34" s="6">
        <v>0.17715053763440863</v>
      </c>
    </row>
    <row r="35" spans="1:21" ht="15.5" x14ac:dyDescent="0.35">
      <c r="A35" s="4" t="s">
        <v>214</v>
      </c>
      <c r="B35" s="4">
        <v>42</v>
      </c>
      <c r="C35">
        <v>3</v>
      </c>
      <c r="D35" s="4" t="s">
        <v>179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0.70860215053763453</v>
      </c>
      <c r="S35" s="6">
        <v>0</v>
      </c>
      <c r="T35" s="6">
        <v>0</v>
      </c>
      <c r="U35" s="6">
        <v>0</v>
      </c>
    </row>
    <row r="36" spans="1:21" ht="15.5" x14ac:dyDescent="0.35">
      <c r="A36" s="4" t="s">
        <v>214</v>
      </c>
      <c r="B36" s="4">
        <v>43</v>
      </c>
      <c r="C36">
        <v>3</v>
      </c>
      <c r="D36" s="4" t="s">
        <v>184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0.83010752688172063</v>
      </c>
      <c r="U36" s="6">
        <v>0</v>
      </c>
    </row>
    <row r="37" spans="1:21" ht="15.5" x14ac:dyDescent="0.35">
      <c r="A37" s="9" t="s">
        <v>233</v>
      </c>
      <c r="E37">
        <f>SUM(E2:E36)</f>
        <v>1.1063978494623661</v>
      </c>
      <c r="F37">
        <f t="shared" ref="F37:U37" si="0">SUM(F2:F36)</f>
        <v>1.398870967741936</v>
      </c>
      <c r="G37">
        <f t="shared" si="0"/>
        <v>0.45441935483870982</v>
      </c>
      <c r="H37">
        <f t="shared" si="0"/>
        <v>0.57221505376344106</v>
      </c>
      <c r="I37">
        <f t="shared" si="0"/>
        <v>1.1264623655913981</v>
      </c>
      <c r="J37">
        <f t="shared" si="0"/>
        <v>1.6452795698924736</v>
      </c>
      <c r="K37">
        <f t="shared" si="0"/>
        <v>0.72355913978494646</v>
      </c>
      <c r="L37">
        <f t="shared" si="0"/>
        <v>0.72355913978494646</v>
      </c>
      <c r="M37">
        <f t="shared" si="0"/>
        <v>1.4712903225806455</v>
      </c>
      <c r="N37">
        <f t="shared" si="0"/>
        <v>0.72355913978494646</v>
      </c>
      <c r="O37">
        <f t="shared" si="0"/>
        <v>1.0202150537634411</v>
      </c>
      <c r="P37">
        <f t="shared" si="0"/>
        <v>9.6559139784946263E-2</v>
      </c>
      <c r="Q37">
        <f t="shared" si="0"/>
        <v>1.4712903225806455</v>
      </c>
      <c r="R37">
        <f t="shared" si="0"/>
        <v>2.0024193548387101</v>
      </c>
      <c r="S37">
        <f t="shared" si="0"/>
        <v>1.3566236559139788</v>
      </c>
      <c r="T37">
        <f t="shared" si="0"/>
        <v>1.5766129032258067</v>
      </c>
      <c r="U37">
        <f t="shared" si="0"/>
        <v>0.80931182795698953</v>
      </c>
    </row>
  </sheetData>
  <conditionalFormatting sqref="E2:U36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2767C-BB5F-43F3-8983-0150BB5BDC5F}">
  <dimension ref="A1:R15"/>
  <sheetViews>
    <sheetView workbookViewId="0">
      <selection activeCell="G21" sqref="G21"/>
    </sheetView>
  </sheetViews>
  <sheetFormatPr defaultRowHeight="14.5" x14ac:dyDescent="0.35"/>
  <cols>
    <col min="6" max="6" width="11.81640625" bestFit="1" customWidth="1"/>
  </cols>
  <sheetData>
    <row r="1" spans="1:18" x14ac:dyDescent="0.35">
      <c r="B1" s="10" t="s">
        <v>216</v>
      </c>
      <c r="C1" s="10" t="s">
        <v>217</v>
      </c>
      <c r="D1" s="10" t="s">
        <v>218</v>
      </c>
      <c r="E1" s="10" t="s">
        <v>219</v>
      </c>
      <c r="F1" s="10" t="s">
        <v>220</v>
      </c>
      <c r="G1" s="10" t="s">
        <v>221</v>
      </c>
      <c r="H1" s="10" t="s">
        <v>222</v>
      </c>
      <c r="I1" s="10" t="s">
        <v>223</v>
      </c>
      <c r="J1" s="10" t="s">
        <v>224</v>
      </c>
      <c r="K1" s="10" t="s">
        <v>225</v>
      </c>
      <c r="L1" s="10" t="s">
        <v>226</v>
      </c>
      <c r="M1" s="10" t="s">
        <v>234</v>
      </c>
      <c r="N1" s="10" t="s">
        <v>228</v>
      </c>
      <c r="O1" s="11" t="s">
        <v>229</v>
      </c>
      <c r="P1" s="11" t="s">
        <v>230</v>
      </c>
      <c r="Q1" s="11" t="s">
        <v>231</v>
      </c>
      <c r="R1" s="11" t="s">
        <v>232</v>
      </c>
    </row>
    <row r="2" spans="1:18" x14ac:dyDescent="0.35">
      <c r="A2" t="s">
        <v>235</v>
      </c>
      <c r="B2" s="12" t="s">
        <v>236</v>
      </c>
      <c r="C2" s="12" t="s">
        <v>236</v>
      </c>
      <c r="D2" s="12" t="s">
        <v>236</v>
      </c>
      <c r="E2" s="12" t="s">
        <v>236</v>
      </c>
      <c r="F2" s="12" t="s">
        <v>236</v>
      </c>
      <c r="G2" s="12" t="s">
        <v>236</v>
      </c>
      <c r="H2" s="12" t="s">
        <v>236</v>
      </c>
      <c r="I2" s="12" t="s">
        <v>236</v>
      </c>
      <c r="J2" s="12" t="s">
        <v>236</v>
      </c>
      <c r="K2" s="12" t="s">
        <v>236</v>
      </c>
      <c r="L2" s="12" t="s">
        <v>236</v>
      </c>
      <c r="M2" s="12" t="s">
        <v>236</v>
      </c>
      <c r="N2" s="12" t="s">
        <v>236</v>
      </c>
      <c r="O2" s="13" t="s">
        <v>236</v>
      </c>
      <c r="P2" s="13" t="s">
        <v>236</v>
      </c>
      <c r="Q2" s="13" t="s">
        <v>236</v>
      </c>
      <c r="R2" s="13" t="s">
        <v>236</v>
      </c>
    </row>
    <row r="3" spans="1:18" x14ac:dyDescent="0.35">
      <c r="A3" t="s">
        <v>237</v>
      </c>
      <c r="B3" s="14">
        <f>('[1]Scenario background'!M22-'[1]Scenario background'!M$21)/SUM('[1]Scenario background'!$M$21:$Y$21)</f>
        <v>-0.21647112107922609</v>
      </c>
      <c r="C3" s="14">
        <f>('[1]Scenario background'!N22-'[1]Scenario background'!N$21)/SUM('[1]Scenario background'!$M$21:$Y$21)</f>
        <v>0.26159794005481901</v>
      </c>
      <c r="D3" s="14">
        <f>('[1]Scenario background'!O22-'[1]Scenario background'!O$21)/SUM('[1]Scenario background'!$M$21:$Y$21)</f>
        <v>-1.5878077340774534E-2</v>
      </c>
      <c r="E3" s="14">
        <f>('[1]Scenario background'!P22-'[1]Scenario background'!P$21)/SUM('[1]Scenario background'!$M$21:$Y$21)</f>
        <v>0</v>
      </c>
      <c r="F3" s="14">
        <f>('[1]Scenario background'!Q22-'[1]Scenario background'!Q$21)/SUM('[1]Scenario background'!$M$21:$Y$21)</f>
        <v>9.2798979061750802E-9</v>
      </c>
      <c r="G3" s="14">
        <f>('[1]Scenario background'!R22-'[1]Scenario background'!R$21)/SUM('[1]Scenario background'!$M$21:$Y$21)</f>
        <v>-1.6220786256450612E-2</v>
      </c>
      <c r="H3" s="14">
        <f>('[1]Scenario background'!S22-'[1]Scenario background'!S$21)/SUM('[1]Scenario background'!$M$21:$Y$21)</f>
        <v>8.7329425374259931E-3</v>
      </c>
      <c r="I3" s="14">
        <f>('[1]Scenario background'!T22-'[1]Scenario background'!T$21)/SUM('[1]Scenario background'!$M$21:$Y$21)</f>
        <v>0</v>
      </c>
      <c r="J3" s="14">
        <f>('[1]Scenario background'!U22-'[1]Scenario background'!U$21)/SUM('[1]Scenario background'!$M$21:$Y$21)</f>
        <v>-2.2427784243844028E-2</v>
      </c>
      <c r="K3" s="14">
        <f>('[1]Scenario background'!V22-'[1]Scenario background'!V$21)/SUM('[1]Scenario background'!$M$21:$Y$21)</f>
        <v>1.4885697506976122E-2</v>
      </c>
      <c r="L3" s="14">
        <f>('[1]Scenario background'!W22-'[1]Scenario background'!W$21)/SUM('[1]Scenario background'!$M$21:$Y$21)</f>
        <v>2.1700039032391861E-2</v>
      </c>
      <c r="M3" s="14">
        <f>('[1]Scenario background'!X22-'[1]Scenario background'!X$21)/SUM('[1]Scenario background'!$M$21:$Y$21)</f>
        <v>8.3690699316999087E-2</v>
      </c>
      <c r="N3" s="14">
        <f>('[1]Scenario background'!Y22-'[1]Scenario background'!Y$21)/SUM('[1]Scenario background'!$M$21:$Y$21)</f>
        <v>0</v>
      </c>
      <c r="O3" s="15">
        <f>('[1]Scenario background'!Z22-'[1]Scenario background'!Z$21)/SUM('[1]Scenario background'!$Z$21:$AC$21)</f>
        <v>0</v>
      </c>
      <c r="P3" s="15">
        <f>('[1]Scenario background'!AA22-'[1]Scenario background'!AA$21)/SUM('[1]Scenario background'!$Z$21:$AC$21)</f>
        <v>0</v>
      </c>
      <c r="Q3" s="15">
        <f>('[1]Scenario background'!AB22-'[1]Scenario background'!AB$21)/SUM('[1]Scenario background'!$Z$21:$AC$21)</f>
        <v>0</v>
      </c>
      <c r="R3" s="15">
        <f>('[1]Scenario background'!AC22-'[1]Scenario background'!AC$21)/SUM('[1]Scenario background'!$Z$21:$AC$21)</f>
        <v>0</v>
      </c>
    </row>
    <row r="4" spans="1:18" x14ac:dyDescent="0.35">
      <c r="A4" t="s">
        <v>238</v>
      </c>
      <c r="B4" s="14">
        <f>('[1]Scenario background'!M23-'[1]Scenario background'!M$21)/SUM('[1]Scenario background'!$M$21:$Y$21)</f>
        <v>-9.5797733289339673E-2</v>
      </c>
      <c r="C4" s="14">
        <f>('[1]Scenario background'!N23-'[1]Scenario background'!N$21)/SUM('[1]Scenario background'!$M$21:$Y$21)</f>
        <v>0.112410171707125</v>
      </c>
      <c r="D4" s="14">
        <f>('[1]Scenario background'!O23-'[1]Scenario background'!O$21)/SUM('[1]Scenario background'!$M$21:$Y$21)</f>
        <v>-1.5878077340774534E-2</v>
      </c>
      <c r="E4" s="14">
        <f>('[1]Scenario background'!P23-'[1]Scenario background'!P$21)/SUM('[1]Scenario background'!$M$21:$Y$21)</f>
        <v>2.8315904591047915E-2</v>
      </c>
      <c r="F4" s="14">
        <f>('[1]Scenario background'!Q23-'[1]Scenario background'!Q$21)/SUM('[1]Scenario background'!$M$21:$Y$21)</f>
        <v>1.1201390314425864E-8</v>
      </c>
      <c r="G4" s="14">
        <f>('[1]Scenario background'!R23-'[1]Scenario background'!R$21)/SUM('[1]Scenario background'!$M$21:$Y$21)</f>
        <v>-1.6220693038137453E-2</v>
      </c>
      <c r="H4" s="14">
        <f>('[1]Scenario background'!S23-'[1]Scenario background'!S$21)/SUM('[1]Scenario background'!$M$21:$Y$21)</f>
        <v>0</v>
      </c>
      <c r="I4" s="14">
        <f>('[1]Scenario background'!T23-'[1]Scenario background'!T$21)/SUM('[1]Scenario background'!$M$21:$Y$21)</f>
        <v>0</v>
      </c>
      <c r="J4" s="14">
        <f>('[1]Scenario background'!U23-'[1]Scenario background'!U$21)/SUM('[1]Scenario background'!$M$21:$Y$21)</f>
        <v>-2.2229308277084338E-2</v>
      </c>
      <c r="K4" s="14">
        <f>('[1]Scenario background'!V23-'[1]Scenario background'!V$21)/SUM('[1]Scenario background'!$M$21:$Y$21)</f>
        <v>6.946658836588856E-3</v>
      </c>
      <c r="L4" s="14">
        <f>('[1]Scenario background'!W23-'[1]Scenario background'!W$21)/SUM('[1]Scenario background'!$M$21:$Y$21)</f>
        <v>2.6463462234624213E-2</v>
      </c>
      <c r="M4" s="14">
        <f>('[1]Scenario background'!X23-'[1]Scenario background'!X$21)/SUM('[1]Scenario background'!$M$21:$Y$21)</f>
        <v>0</v>
      </c>
      <c r="N4" s="14">
        <f>('[1]Scenario background'!Y23-'[1]Scenario background'!Y$21)/SUM('[1]Scenario background'!$M$21:$Y$21)</f>
        <v>4.670801084411174E-2</v>
      </c>
      <c r="O4" s="15">
        <f>('[1]Scenario background'!Z23-'[1]Scenario background'!Z$21)/SUM('[1]Scenario background'!$Z$21:$AC$21)</f>
        <v>0</v>
      </c>
      <c r="P4" s="15">
        <f>('[1]Scenario background'!AA23-'[1]Scenario background'!AA$21)/SUM('[1]Scenario background'!$Z$21:$AC$21)</f>
        <v>0</v>
      </c>
      <c r="Q4" s="15">
        <f>('[1]Scenario background'!AB23-'[1]Scenario background'!AB$21)/SUM('[1]Scenario background'!$Z$21:$AC$21)</f>
        <v>0</v>
      </c>
      <c r="R4" s="15">
        <f>('[1]Scenario background'!AC23-'[1]Scenario background'!AC$21)/SUM('[1]Scenario background'!$Z$21:$AC$21)</f>
        <v>0</v>
      </c>
    </row>
    <row r="5" spans="1:18" x14ac:dyDescent="0.35">
      <c r="A5" t="s">
        <v>239</v>
      </c>
      <c r="B5" s="14">
        <f>('[1]Scenario background'!M24-'[1]Scenario background'!M$21)/SUM('[1]Scenario background'!$M$21:$Y$21)</f>
        <v>1.4091793639937412E-2</v>
      </c>
      <c r="C5" s="14">
        <f>('[1]Scenario background'!N24-'[1]Scenario background'!N$21)/SUM('[1]Scenario background'!$M$21:$Y$21)</f>
        <v>-9.7378925157858467E-2</v>
      </c>
      <c r="D5" s="14">
        <f>('[1]Scenario background'!O24-'[1]Scenario background'!O$21)/SUM('[1]Scenario background'!$M$21:$Y$21)</f>
        <v>0.10736226628587044</v>
      </c>
      <c r="E5" s="14">
        <f>('[1]Scenario background'!P24-'[1]Scenario background'!P$21)/SUM('[1]Scenario background'!$M$21:$Y$21)</f>
        <v>0</v>
      </c>
      <c r="F5" s="14">
        <f>('[1]Scenario background'!Q24-'[1]Scenario background'!Q$21)/SUM('[1]Scenario background'!$M$21:$Y$21)</f>
        <v>-3.7788347650617556E-8</v>
      </c>
      <c r="G5" s="14">
        <f>('[1]Scenario background'!R24-'[1]Scenario background'!R$21)/SUM('[1]Scenario background'!$M$21:$Y$21)</f>
        <v>1.1181450574644658E-7</v>
      </c>
      <c r="H5" s="14">
        <f>('[1]Scenario background'!S24-'[1]Scenario background'!S$21)/SUM('[1]Scenario background'!$M$21:$Y$21)</f>
        <v>1.4621062884629886E-2</v>
      </c>
      <c r="I5" s="14">
        <f>('[1]Scenario background'!T24-'[1]Scenario background'!T$21)/SUM('[1]Scenario background'!$M$21:$Y$21)</f>
        <v>0</v>
      </c>
      <c r="J5" s="14">
        <f>('[1]Scenario background'!U24-'[1]Scenario background'!U$21)/SUM('[1]Scenario background'!$M$21:$Y$21)</f>
        <v>0</v>
      </c>
      <c r="K5" s="14">
        <f>('[1]Scenario background'!V24-'[1]Scenario background'!V$21)/SUM('[1]Scenario background'!$M$21:$Y$21)</f>
        <v>2.7786635346355422E-3</v>
      </c>
      <c r="L5" s="14">
        <f>('[1]Scenario background'!W24-'[1]Scenario background'!W$21)/SUM('[1]Scenario background'!$M$21:$Y$21)</f>
        <v>5.2926924469248477E-4</v>
      </c>
      <c r="M5" s="14">
        <f>('[1]Scenario background'!X24-'[1]Scenario background'!X$21)/SUM('[1]Scenario background'!$M$21:$Y$21)</f>
        <v>0</v>
      </c>
      <c r="N5" s="14">
        <f>('[1]Scenario background'!Y24-'[1]Scenario background'!Y$21)/SUM('[1]Scenario background'!$M$21:$Y$21)</f>
        <v>0</v>
      </c>
      <c r="O5" s="15">
        <f>('[1]Scenario background'!Z24-'[1]Scenario background'!Z$21)/SUM('[1]Scenario background'!$Z$21:$AC$21)</f>
        <v>-4.1030901397615074E-2</v>
      </c>
      <c r="P5" s="15">
        <f>('[1]Scenario background'!AA24-'[1]Scenario background'!AA$21)/SUM('[1]Scenario background'!$Z$21:$AC$21)</f>
        <v>4.1030901397615074E-2</v>
      </c>
      <c r="Q5" s="15">
        <f>('[1]Scenario background'!AB24-'[1]Scenario background'!AB$21)/SUM('[1]Scenario background'!$Z$21:$AC$21)</f>
        <v>-7.1419412745223829E-2</v>
      </c>
      <c r="R5" s="15">
        <f>('[1]Scenario background'!AC24-'[1]Scenario background'!AC$21)/SUM('[1]Scenario background'!$Z$21:$AC$21)</f>
        <v>7.1419412745223745E-2</v>
      </c>
    </row>
    <row r="7" spans="1:18" x14ac:dyDescent="0.35">
      <c r="B7" s="12"/>
      <c r="C7" t="s">
        <v>240</v>
      </c>
      <c r="E7" t="s">
        <v>241</v>
      </c>
    </row>
    <row r="8" spans="1:18" x14ac:dyDescent="0.35">
      <c r="B8" s="13"/>
      <c r="C8" t="s">
        <v>242</v>
      </c>
      <c r="E8" t="s">
        <v>243</v>
      </c>
    </row>
    <row r="11" spans="1:18" x14ac:dyDescent="0.35">
      <c r="B11" s="10" t="s">
        <v>216</v>
      </c>
      <c r="C11" s="10" t="s">
        <v>217</v>
      </c>
      <c r="D11" s="10" t="s">
        <v>218</v>
      </c>
      <c r="E11" s="10" t="s">
        <v>219</v>
      </c>
      <c r="F11" s="10" t="s">
        <v>220</v>
      </c>
      <c r="G11" s="10" t="s">
        <v>221</v>
      </c>
      <c r="H11" s="10" t="s">
        <v>222</v>
      </c>
      <c r="I11" s="10" t="s">
        <v>223</v>
      </c>
      <c r="J11" s="10" t="s">
        <v>224</v>
      </c>
      <c r="K11" s="10" t="s">
        <v>225</v>
      </c>
      <c r="L11" s="10" t="s">
        <v>226</v>
      </c>
      <c r="M11" s="10" t="s">
        <v>234</v>
      </c>
      <c r="N11" s="10" t="s">
        <v>228</v>
      </c>
      <c r="O11" s="11" t="s">
        <v>229</v>
      </c>
      <c r="P11" s="11" t="s">
        <v>230</v>
      </c>
      <c r="Q11" s="11" t="s">
        <v>231</v>
      </c>
      <c r="R11" s="11" t="s">
        <v>232</v>
      </c>
    </row>
    <row r="12" spans="1:18" x14ac:dyDescent="0.35">
      <c r="A12" t="s">
        <v>235</v>
      </c>
      <c r="B12" s="16">
        <f>'Tech. Support level EP2050+'!E37</f>
        <v>1.1063978494623661</v>
      </c>
      <c r="C12" s="16">
        <f>'Tech. Support level EP2050+'!F37</f>
        <v>1.398870967741936</v>
      </c>
      <c r="D12" s="16">
        <f>'Tech. Support level EP2050+'!G37</f>
        <v>0.45441935483870982</v>
      </c>
      <c r="E12" s="16">
        <f>'Tech. Support level EP2050+'!H37</f>
        <v>0.57221505376344106</v>
      </c>
      <c r="F12" s="16">
        <f>'Tech. Support level EP2050+'!I37</f>
        <v>1.1264623655913981</v>
      </c>
      <c r="G12" s="16">
        <f>'Tech. Support level EP2050+'!J37</f>
        <v>1.6452795698924736</v>
      </c>
      <c r="H12" s="16">
        <f>'Tech. Support level EP2050+'!K37</f>
        <v>0.72355913978494646</v>
      </c>
      <c r="I12" s="16">
        <f>'Tech. Support level EP2050+'!L37</f>
        <v>0.72355913978494646</v>
      </c>
      <c r="J12" s="16">
        <f>'Tech. Support level EP2050+'!M37</f>
        <v>1.4712903225806455</v>
      </c>
      <c r="K12" s="16">
        <f>'Tech. Support level EP2050+'!N37</f>
        <v>0.72355913978494646</v>
      </c>
      <c r="L12" s="16">
        <f>'Tech. Support level EP2050+'!O37</f>
        <v>1.0202150537634411</v>
      </c>
      <c r="M12" s="16">
        <f>'Tech. Support level EP2050+'!P37</f>
        <v>9.6559139784946263E-2</v>
      </c>
      <c r="N12" s="16">
        <f>'Tech. Support level EP2050+'!Q37</f>
        <v>1.4712903225806455</v>
      </c>
      <c r="O12" s="19">
        <f>'Tech. Support level EP2050+'!R37</f>
        <v>2.0024193548387101</v>
      </c>
      <c r="P12" s="19">
        <f>'Tech. Support level EP2050+'!S37</f>
        <v>1.3566236559139788</v>
      </c>
      <c r="Q12" s="19">
        <f>'Tech. Support level EP2050+'!T37</f>
        <v>1.5766129032258067</v>
      </c>
      <c r="R12" s="19">
        <f>'Tech. Support level EP2050+'!U37</f>
        <v>0.80931182795698953</v>
      </c>
    </row>
    <row r="13" spans="1:18" x14ac:dyDescent="0.35">
      <c r="A13" t="s">
        <v>237</v>
      </c>
      <c r="B13" s="17">
        <f>B$12*(1+B3)</f>
        <v>0.86689466662960291</v>
      </c>
      <c r="C13" s="17">
        <f t="shared" ref="C13:R13" si="0">C$12*(1+C3)</f>
        <v>1.7648127313057176</v>
      </c>
      <c r="D13" s="17">
        <f t="shared" si="0"/>
        <v>0.44720404917743595</v>
      </c>
      <c r="E13" s="17">
        <f t="shared" si="0"/>
        <v>0.57221505376344106</v>
      </c>
      <c r="F13" s="17">
        <f t="shared" si="0"/>
        <v>1.126462376044854</v>
      </c>
      <c r="G13" s="17">
        <f t="shared" si="0"/>
        <v>1.6185918416571428</v>
      </c>
      <c r="H13" s="17">
        <f t="shared" si="0"/>
        <v>0.72987794017511787</v>
      </c>
      <c r="I13" s="17">
        <f t="shared" si="0"/>
        <v>0.72355913978494646</v>
      </c>
      <c r="J13" s="17">
        <f t="shared" si="0"/>
        <v>1.438292540665751</v>
      </c>
      <c r="K13" s="17">
        <f t="shared" si="0"/>
        <v>0.7343298222681931</v>
      </c>
      <c r="L13" s="17">
        <f t="shared" si="0"/>
        <v>1.0423537602515416</v>
      </c>
      <c r="M13" s="17">
        <f t="shared" si="0"/>
        <v>0.10464024171899627</v>
      </c>
      <c r="N13" s="17">
        <f t="shared" si="0"/>
        <v>1.4712903225806455</v>
      </c>
      <c r="O13" s="18">
        <f t="shared" si="0"/>
        <v>2.0024193548387101</v>
      </c>
      <c r="P13" s="18">
        <f t="shared" si="0"/>
        <v>1.3566236559139788</v>
      </c>
      <c r="Q13" s="18">
        <f t="shared" si="0"/>
        <v>1.5766129032258067</v>
      </c>
      <c r="R13" s="18">
        <f t="shared" si="0"/>
        <v>0.80931182795698953</v>
      </c>
    </row>
    <row r="14" spans="1:18" x14ac:dyDescent="0.35">
      <c r="A14" t="s">
        <v>238</v>
      </c>
      <c r="B14" s="17">
        <f t="shared" ref="B14:R14" si="1">B$12*(1+B4)</f>
        <v>1.0004074433676713</v>
      </c>
      <c r="C14" s="17">
        <f t="shared" si="1"/>
        <v>1.5561182934219193</v>
      </c>
      <c r="D14" s="17">
        <f t="shared" si="1"/>
        <v>0.44720404917743595</v>
      </c>
      <c r="E14" s="17">
        <f t="shared" si="1"/>
        <v>0.58841784063136804</v>
      </c>
      <c r="F14" s="17">
        <f t="shared" si="1"/>
        <v>1.1264623782093426</v>
      </c>
      <c r="G14" s="17">
        <f t="shared" si="1"/>
        <v>1.6185919950273289</v>
      </c>
      <c r="H14" s="17">
        <f t="shared" si="1"/>
        <v>0.72355913978494646</v>
      </c>
      <c r="I14" s="17">
        <f t="shared" si="1"/>
        <v>0.72355913978494646</v>
      </c>
      <c r="J14" s="17">
        <f t="shared" si="1"/>
        <v>1.4385845564349093</v>
      </c>
      <c r="K14" s="17">
        <f t="shared" si="1"/>
        <v>0.72858545827712828</v>
      </c>
      <c r="L14" s="17">
        <f t="shared" si="1"/>
        <v>1.047213476309905</v>
      </c>
      <c r="M14" s="17">
        <f t="shared" si="1"/>
        <v>9.6559139784946263E-2</v>
      </c>
      <c r="N14" s="17">
        <f t="shared" si="1"/>
        <v>1.540011366922579</v>
      </c>
      <c r="O14" s="18">
        <f t="shared" si="1"/>
        <v>2.0024193548387101</v>
      </c>
      <c r="P14" s="18">
        <f t="shared" si="1"/>
        <v>1.3566236559139788</v>
      </c>
      <c r="Q14" s="18">
        <f t="shared" si="1"/>
        <v>1.5766129032258067</v>
      </c>
      <c r="R14" s="18">
        <f t="shared" si="1"/>
        <v>0.80931182795698953</v>
      </c>
    </row>
    <row r="15" spans="1:18" x14ac:dyDescent="0.35">
      <c r="A15" t="s">
        <v>239</v>
      </c>
      <c r="B15" s="17">
        <f>B$12*(1+B5)</f>
        <v>1.1219889796406604</v>
      </c>
      <c r="C15" s="17">
        <f>C$12*(1+C5)</f>
        <v>1.2626504164686929</v>
      </c>
      <c r="D15" s="17">
        <f t="shared" ref="B15:R15" si="2">D$12*(1+D5)</f>
        <v>0.5032068466183568</v>
      </c>
      <c r="E15" s="17">
        <f t="shared" si="2"/>
        <v>0.57221505376344106</v>
      </c>
      <c r="F15" s="17">
        <f t="shared" si="2"/>
        <v>1.1264623230242465</v>
      </c>
      <c r="G15" s="17">
        <f t="shared" si="2"/>
        <v>1.6452797538585953</v>
      </c>
      <c r="H15" s="17">
        <f t="shared" si="2"/>
        <v>0.73413834346849094</v>
      </c>
      <c r="I15" s="17">
        <f t="shared" si="2"/>
        <v>0.72355913978494646</v>
      </c>
      <c r="J15" s="17">
        <f t="shared" si="2"/>
        <v>1.4712903225806455</v>
      </c>
      <c r="K15" s="17">
        <f t="shared" si="2"/>
        <v>0.72556966718181926</v>
      </c>
      <c r="L15" s="17">
        <f t="shared" si="2"/>
        <v>1.0207550222143704</v>
      </c>
      <c r="M15" s="17">
        <f t="shared" si="2"/>
        <v>9.6559139784946263E-2</v>
      </c>
      <c r="N15" s="17">
        <f t="shared" si="2"/>
        <v>1.4712903225806455</v>
      </c>
      <c r="O15" s="18">
        <f t="shared" si="2"/>
        <v>1.920258283733647</v>
      </c>
      <c r="P15" s="18">
        <f t="shared" si="2"/>
        <v>1.4122871473734575</v>
      </c>
      <c r="Q15" s="18">
        <f t="shared" si="2"/>
        <v>1.4640121355508773</v>
      </c>
      <c r="R15" s="18">
        <f t="shared" si="2"/>
        <v>0.86711240343744123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3AD5-0AA3-461C-9841-00DEF4A1034B}">
  <dimension ref="A1:F188"/>
  <sheetViews>
    <sheetView workbookViewId="0">
      <pane xSplit="1" topLeftCell="B1" activePane="topRight" state="frozen"/>
      <selection pane="topRight" activeCell="B41" sqref="B41"/>
    </sheetView>
  </sheetViews>
  <sheetFormatPr defaultRowHeight="14.5" x14ac:dyDescent="0.35"/>
  <cols>
    <col min="1" max="1" width="8.7265625" style="1"/>
    <col min="3" max="3" width="12.26953125" bestFit="1" customWidth="1"/>
    <col min="4" max="4" width="21.08984375" bestFit="1" customWidth="1"/>
    <col min="5" max="5" width="32" bestFit="1" customWidth="1"/>
    <col min="6" max="6" width="20.453125" bestFit="1" customWidth="1"/>
  </cols>
  <sheetData>
    <row r="1" spans="1:6" ht="15" thickBot="1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 thickBot="1" x14ac:dyDescent="0.4">
      <c r="A2" s="1" t="s">
        <v>6</v>
      </c>
      <c r="B2" s="2">
        <v>5</v>
      </c>
      <c r="C2" s="2">
        <v>2</v>
      </c>
      <c r="D2" s="2">
        <v>4</v>
      </c>
      <c r="E2" s="2">
        <v>4</v>
      </c>
      <c r="F2" s="2">
        <v>4</v>
      </c>
    </row>
    <row r="3" spans="1:6" ht="15" thickBot="1" x14ac:dyDescent="0.4">
      <c r="A3" s="1" t="s">
        <v>7</v>
      </c>
      <c r="B3" s="2">
        <v>5</v>
      </c>
      <c r="C3" s="2">
        <v>3</v>
      </c>
      <c r="D3" s="2">
        <v>4</v>
      </c>
      <c r="E3" s="2">
        <v>3</v>
      </c>
      <c r="F3" s="2">
        <v>4</v>
      </c>
    </row>
    <row r="4" spans="1:6" ht="15" thickBot="1" x14ac:dyDescent="0.4">
      <c r="A4" s="1" t="s">
        <v>8</v>
      </c>
      <c r="B4" s="2">
        <v>5</v>
      </c>
      <c r="C4" s="2">
        <v>4</v>
      </c>
      <c r="D4" s="2">
        <v>4</v>
      </c>
      <c r="E4" s="2">
        <v>2</v>
      </c>
      <c r="F4" s="2">
        <v>4</v>
      </c>
    </row>
    <row r="5" spans="1:6" ht="15" thickBot="1" x14ac:dyDescent="0.4">
      <c r="A5" s="1" t="s">
        <v>9</v>
      </c>
      <c r="B5" s="2">
        <v>5</v>
      </c>
      <c r="C5" s="2">
        <v>5</v>
      </c>
      <c r="D5" s="2">
        <v>4</v>
      </c>
      <c r="E5" s="2">
        <v>1</v>
      </c>
      <c r="F5" s="2">
        <v>4</v>
      </c>
    </row>
    <row r="6" spans="1:6" ht="15" thickBot="1" x14ac:dyDescent="0.4">
      <c r="A6" s="1" t="s">
        <v>10</v>
      </c>
      <c r="B6" s="2">
        <v>5</v>
      </c>
      <c r="C6" s="2">
        <v>5</v>
      </c>
      <c r="D6" s="2">
        <v>4</v>
      </c>
      <c r="E6" s="2">
        <v>1</v>
      </c>
      <c r="F6" s="2">
        <v>4</v>
      </c>
    </row>
    <row r="7" spans="1:6" ht="15" thickBot="1" x14ac:dyDescent="0.4">
      <c r="A7" s="1" t="s">
        <v>11</v>
      </c>
      <c r="B7" s="2">
        <v>5</v>
      </c>
      <c r="C7" s="2">
        <v>2</v>
      </c>
      <c r="D7" s="2">
        <v>4</v>
      </c>
      <c r="E7" s="2">
        <v>2</v>
      </c>
      <c r="F7" s="2">
        <v>3</v>
      </c>
    </row>
    <row r="8" spans="1:6" ht="15" thickBot="1" x14ac:dyDescent="0.4">
      <c r="A8" s="1" t="s">
        <v>12</v>
      </c>
      <c r="B8" s="2">
        <v>5</v>
      </c>
      <c r="C8" s="2">
        <v>3</v>
      </c>
      <c r="D8" s="2">
        <v>4</v>
      </c>
      <c r="E8" s="2">
        <v>1</v>
      </c>
      <c r="F8" s="2">
        <v>3</v>
      </c>
    </row>
    <row r="9" spans="1:6" ht="15" thickBot="1" x14ac:dyDescent="0.4">
      <c r="A9" s="1" t="s">
        <v>13</v>
      </c>
      <c r="B9" s="2">
        <v>4</v>
      </c>
      <c r="C9" s="2">
        <v>2</v>
      </c>
      <c r="D9" s="2">
        <v>4</v>
      </c>
      <c r="E9" s="2">
        <v>4</v>
      </c>
      <c r="F9" s="2">
        <v>3</v>
      </c>
    </row>
    <row r="10" spans="1:6" ht="15" thickBot="1" x14ac:dyDescent="0.4">
      <c r="A10" s="1" t="s">
        <v>14</v>
      </c>
      <c r="B10" s="2">
        <v>3</v>
      </c>
      <c r="C10" s="2">
        <v>3</v>
      </c>
      <c r="D10" s="2">
        <v>4</v>
      </c>
      <c r="E10" s="2">
        <v>4</v>
      </c>
      <c r="F10" s="2">
        <v>3</v>
      </c>
    </row>
    <row r="11" spans="1:6" ht="15" thickBot="1" x14ac:dyDescent="0.4">
      <c r="A11" s="1" t="s">
        <v>15</v>
      </c>
      <c r="B11" s="2">
        <v>2</v>
      </c>
      <c r="C11" s="2">
        <v>4</v>
      </c>
      <c r="D11" s="2">
        <v>4</v>
      </c>
      <c r="E11" s="2">
        <v>4</v>
      </c>
      <c r="F11" s="2">
        <v>3</v>
      </c>
    </row>
    <row r="12" spans="1:6" ht="15" thickBot="1" x14ac:dyDescent="0.4">
      <c r="A12" s="1" t="s">
        <v>16</v>
      </c>
      <c r="B12" s="2">
        <v>5</v>
      </c>
      <c r="C12" s="2">
        <v>1</v>
      </c>
      <c r="D12" s="2">
        <v>4</v>
      </c>
      <c r="E12" s="2">
        <v>4</v>
      </c>
      <c r="F12" s="2">
        <v>4</v>
      </c>
    </row>
    <row r="13" spans="1:6" ht="15" thickBot="1" x14ac:dyDescent="0.4">
      <c r="A13" s="1" t="s">
        <v>17</v>
      </c>
      <c r="B13" s="2">
        <v>5</v>
      </c>
      <c r="C13" s="2">
        <v>3</v>
      </c>
      <c r="D13" s="2">
        <v>4</v>
      </c>
      <c r="E13" s="2">
        <v>3</v>
      </c>
      <c r="F13" s="2">
        <v>4</v>
      </c>
    </row>
    <row r="14" spans="1:6" ht="15" thickBot="1" x14ac:dyDescent="0.4">
      <c r="A14" s="1" t="s">
        <v>18</v>
      </c>
      <c r="B14" s="2">
        <v>5</v>
      </c>
      <c r="C14" s="2">
        <v>4</v>
      </c>
      <c r="D14" s="2">
        <v>4</v>
      </c>
      <c r="E14" s="2">
        <v>2</v>
      </c>
      <c r="F14" s="2">
        <v>4</v>
      </c>
    </row>
    <row r="15" spans="1:6" ht="15" thickBot="1" x14ac:dyDescent="0.4">
      <c r="A15" s="1" t="s">
        <v>19</v>
      </c>
      <c r="B15" s="2">
        <v>5</v>
      </c>
      <c r="C15" s="2">
        <v>2</v>
      </c>
      <c r="D15" s="2">
        <v>4</v>
      </c>
      <c r="E15" s="2">
        <v>3</v>
      </c>
      <c r="F15" s="2">
        <v>4</v>
      </c>
    </row>
    <row r="16" spans="1:6" ht="15" thickBot="1" x14ac:dyDescent="0.4">
      <c r="A16" s="1" t="s">
        <v>20</v>
      </c>
      <c r="B16" s="2">
        <v>5</v>
      </c>
      <c r="C16" s="2">
        <v>3</v>
      </c>
      <c r="D16" s="2">
        <v>4</v>
      </c>
      <c r="E16" s="2">
        <v>2</v>
      </c>
      <c r="F16" s="2">
        <v>4</v>
      </c>
    </row>
    <row r="17" spans="1:6" ht="15" thickBot="1" x14ac:dyDescent="0.4">
      <c r="A17" s="1" t="s">
        <v>21</v>
      </c>
      <c r="B17" s="2">
        <v>5</v>
      </c>
      <c r="C17" s="2">
        <v>3</v>
      </c>
      <c r="D17" s="2">
        <v>4</v>
      </c>
      <c r="E17" s="2">
        <v>2</v>
      </c>
      <c r="F17" s="2">
        <v>4</v>
      </c>
    </row>
    <row r="18" spans="1:6" ht="15" thickBot="1" x14ac:dyDescent="0.4">
      <c r="A18" s="1" t="s">
        <v>22</v>
      </c>
      <c r="B18" s="2">
        <v>5</v>
      </c>
      <c r="C18" s="2">
        <v>4</v>
      </c>
      <c r="D18" s="2">
        <v>4</v>
      </c>
      <c r="E18" s="2">
        <v>1</v>
      </c>
      <c r="F18" s="2">
        <v>4</v>
      </c>
    </row>
    <row r="19" spans="1:6" ht="15" thickBot="1" x14ac:dyDescent="0.4">
      <c r="A19" s="1" t="s">
        <v>23</v>
      </c>
      <c r="B19" s="2">
        <v>5</v>
      </c>
      <c r="C19" s="2">
        <v>5</v>
      </c>
      <c r="D19" s="2">
        <v>4</v>
      </c>
      <c r="E19" s="2">
        <v>1</v>
      </c>
      <c r="F19" s="2">
        <v>4</v>
      </c>
    </row>
    <row r="20" spans="1:6" ht="15" thickBot="1" x14ac:dyDescent="0.4">
      <c r="A20" s="1" t="s">
        <v>24</v>
      </c>
      <c r="B20" s="2">
        <v>5</v>
      </c>
      <c r="C20" s="2">
        <v>3</v>
      </c>
      <c r="D20" s="2">
        <v>4</v>
      </c>
      <c r="E20" s="2">
        <v>4</v>
      </c>
      <c r="F20" s="2">
        <v>4</v>
      </c>
    </row>
    <row r="21" spans="1:6" ht="15" thickBot="1" x14ac:dyDescent="0.4">
      <c r="A21" s="1" t="s">
        <v>25</v>
      </c>
      <c r="B21" s="2">
        <v>5</v>
      </c>
      <c r="C21" s="2">
        <v>4</v>
      </c>
      <c r="D21" s="2">
        <v>4</v>
      </c>
      <c r="E21" s="2">
        <v>3</v>
      </c>
      <c r="F21" s="2">
        <v>4</v>
      </c>
    </row>
    <row r="22" spans="1:6" ht="15" thickBot="1" x14ac:dyDescent="0.4">
      <c r="A22" s="1" t="s">
        <v>26</v>
      </c>
      <c r="B22" s="2">
        <v>5</v>
      </c>
      <c r="C22" s="2">
        <v>4</v>
      </c>
      <c r="D22" s="2">
        <v>4</v>
      </c>
      <c r="E22" s="2">
        <v>3</v>
      </c>
      <c r="F22" s="2">
        <v>4</v>
      </c>
    </row>
    <row r="23" spans="1:6" ht="15" thickBot="1" x14ac:dyDescent="0.4">
      <c r="A23" s="1" t="s">
        <v>27</v>
      </c>
      <c r="B23" s="2">
        <v>5</v>
      </c>
      <c r="C23" s="2">
        <v>5</v>
      </c>
      <c r="D23" s="2">
        <v>4</v>
      </c>
      <c r="E23" s="2">
        <v>2</v>
      </c>
      <c r="F23" s="2">
        <v>4</v>
      </c>
    </row>
    <row r="24" spans="1:6" ht="15" thickBot="1" x14ac:dyDescent="0.4">
      <c r="A24" s="1" t="s">
        <v>28</v>
      </c>
      <c r="B24" s="2">
        <v>5</v>
      </c>
      <c r="C24" s="2">
        <v>5</v>
      </c>
      <c r="D24" s="2">
        <v>4</v>
      </c>
      <c r="E24" s="2">
        <v>2</v>
      </c>
      <c r="F24" s="2">
        <v>4</v>
      </c>
    </row>
    <row r="25" spans="1:6" ht="15" thickBot="1" x14ac:dyDescent="0.4">
      <c r="A25" s="1" t="s">
        <v>29</v>
      </c>
      <c r="B25" s="2">
        <v>4</v>
      </c>
      <c r="C25" s="2">
        <v>3</v>
      </c>
      <c r="D25" s="2">
        <v>3</v>
      </c>
      <c r="E25" s="2">
        <v>3</v>
      </c>
      <c r="F25" s="2">
        <v>1</v>
      </c>
    </row>
    <row r="26" spans="1:6" ht="15" thickBot="1" x14ac:dyDescent="0.4">
      <c r="A26" s="1" t="s">
        <v>30</v>
      </c>
      <c r="B26" s="2">
        <v>3</v>
      </c>
      <c r="C26" s="2">
        <v>5</v>
      </c>
      <c r="D26" s="2">
        <v>3</v>
      </c>
      <c r="E26" s="2">
        <v>2</v>
      </c>
      <c r="F26" s="2">
        <v>1</v>
      </c>
    </row>
    <row r="27" spans="1:6" ht="15" thickBot="1" x14ac:dyDescent="0.4">
      <c r="A27" s="1" t="s">
        <v>31</v>
      </c>
      <c r="B27" s="2">
        <v>3</v>
      </c>
      <c r="C27" s="2">
        <v>3</v>
      </c>
      <c r="D27" s="2">
        <v>3</v>
      </c>
      <c r="E27" s="2">
        <v>4</v>
      </c>
      <c r="F27" s="2">
        <v>1</v>
      </c>
    </row>
    <row r="28" spans="1:6" ht="15" thickBot="1" x14ac:dyDescent="0.4">
      <c r="A28" s="1" t="s">
        <v>32</v>
      </c>
      <c r="B28" s="2">
        <v>1</v>
      </c>
      <c r="C28" s="2">
        <v>4</v>
      </c>
      <c r="D28" s="2">
        <v>3</v>
      </c>
      <c r="E28" s="2">
        <v>4</v>
      </c>
      <c r="F28" s="2">
        <v>1</v>
      </c>
    </row>
    <row r="29" spans="1:6" ht="15" thickBot="1" x14ac:dyDescent="0.4">
      <c r="A29" s="1" t="s">
        <v>33</v>
      </c>
      <c r="B29" s="2">
        <v>4</v>
      </c>
      <c r="C29" s="2">
        <v>2</v>
      </c>
      <c r="D29" s="2">
        <v>5</v>
      </c>
      <c r="E29" s="2">
        <v>5</v>
      </c>
      <c r="F29" s="2">
        <v>4</v>
      </c>
    </row>
    <row r="30" spans="1:6" ht="15" thickBot="1" x14ac:dyDescent="0.4">
      <c r="A30" s="1" t="s">
        <v>34</v>
      </c>
      <c r="B30" s="2">
        <v>4</v>
      </c>
      <c r="C30" s="2">
        <v>2</v>
      </c>
      <c r="D30" s="2">
        <v>5</v>
      </c>
      <c r="E30" s="2">
        <v>5</v>
      </c>
      <c r="F30" s="2">
        <v>4</v>
      </c>
    </row>
    <row r="31" spans="1:6" ht="15" thickBot="1" x14ac:dyDescent="0.4">
      <c r="A31" s="1" t="s">
        <v>35</v>
      </c>
      <c r="B31" s="2">
        <v>3</v>
      </c>
      <c r="C31" s="2">
        <v>3</v>
      </c>
      <c r="D31" s="2">
        <v>5</v>
      </c>
      <c r="E31" s="2">
        <v>5</v>
      </c>
      <c r="F31" s="2">
        <v>4</v>
      </c>
    </row>
    <row r="32" spans="1:6" ht="15" thickBot="1" x14ac:dyDescent="0.4">
      <c r="A32" s="1" t="s">
        <v>36</v>
      </c>
      <c r="B32" s="2">
        <v>2</v>
      </c>
      <c r="C32" s="2">
        <v>4</v>
      </c>
      <c r="D32" s="2">
        <v>5</v>
      </c>
      <c r="E32" s="2">
        <v>5</v>
      </c>
      <c r="F32" s="2">
        <v>4</v>
      </c>
    </row>
    <row r="33" spans="1:6" ht="15" thickBot="1" x14ac:dyDescent="0.4">
      <c r="A33" s="1" t="s">
        <v>37</v>
      </c>
      <c r="B33" s="2">
        <v>1</v>
      </c>
      <c r="C33" s="2">
        <v>5</v>
      </c>
      <c r="D33" s="2">
        <v>5</v>
      </c>
      <c r="E33" s="2">
        <v>5</v>
      </c>
      <c r="F33" s="2">
        <v>4</v>
      </c>
    </row>
    <row r="34" spans="1:6" ht="15" thickBot="1" x14ac:dyDescent="0.4">
      <c r="A34" s="1" t="s">
        <v>38</v>
      </c>
      <c r="B34" s="2">
        <v>4</v>
      </c>
      <c r="C34" s="2">
        <v>2</v>
      </c>
      <c r="D34" s="2">
        <v>5</v>
      </c>
      <c r="E34" s="2">
        <v>5</v>
      </c>
      <c r="F34" s="2">
        <v>4</v>
      </c>
    </row>
    <row r="35" spans="1:6" ht="15" thickBot="1" x14ac:dyDescent="0.4">
      <c r="A35" s="1" t="s">
        <v>39</v>
      </c>
      <c r="B35" s="2">
        <v>4</v>
      </c>
      <c r="C35" s="2">
        <v>2</v>
      </c>
      <c r="D35" s="2">
        <v>5</v>
      </c>
      <c r="E35" s="2">
        <v>5</v>
      </c>
      <c r="F35" s="2">
        <v>4</v>
      </c>
    </row>
    <row r="36" spans="1:6" ht="15" thickBot="1" x14ac:dyDescent="0.4">
      <c r="A36" s="1" t="s">
        <v>40</v>
      </c>
      <c r="B36" s="2">
        <v>3</v>
      </c>
      <c r="C36" s="2">
        <v>3</v>
      </c>
      <c r="D36" s="2">
        <v>5</v>
      </c>
      <c r="E36" s="2">
        <v>5</v>
      </c>
      <c r="F36" s="2">
        <v>4</v>
      </c>
    </row>
    <row r="37" spans="1:6" ht="15" thickBot="1" x14ac:dyDescent="0.4">
      <c r="A37" s="1" t="s">
        <v>41</v>
      </c>
      <c r="B37" s="2">
        <v>2</v>
      </c>
      <c r="C37" s="2">
        <v>4</v>
      </c>
      <c r="D37" s="2">
        <v>5</v>
      </c>
      <c r="E37" s="2">
        <v>5</v>
      </c>
      <c r="F37" s="2">
        <v>4</v>
      </c>
    </row>
    <row r="38" spans="1:6" ht="15" thickBot="1" x14ac:dyDescent="0.4">
      <c r="A38" s="1" t="s">
        <v>42</v>
      </c>
      <c r="B38" s="2">
        <v>1</v>
      </c>
      <c r="C38" s="2">
        <v>5</v>
      </c>
      <c r="D38" s="2">
        <v>5</v>
      </c>
      <c r="E38" s="2">
        <v>5</v>
      </c>
      <c r="F38" s="2">
        <v>4</v>
      </c>
    </row>
    <row r="39" spans="1:6" ht="15" thickBot="1" x14ac:dyDescent="0.4">
      <c r="A39" s="1" t="s">
        <v>43</v>
      </c>
      <c r="B39" s="2">
        <v>4</v>
      </c>
      <c r="C39" s="2">
        <v>2</v>
      </c>
      <c r="D39" s="2">
        <v>5</v>
      </c>
      <c r="E39" s="2">
        <v>5</v>
      </c>
      <c r="F39" s="2">
        <v>4</v>
      </c>
    </row>
    <row r="40" spans="1:6" ht="15" thickBot="1" x14ac:dyDescent="0.4">
      <c r="A40" s="1" t="s">
        <v>44</v>
      </c>
      <c r="B40" s="2">
        <v>4</v>
      </c>
      <c r="C40" s="2">
        <v>2</v>
      </c>
      <c r="D40" s="2">
        <v>5</v>
      </c>
      <c r="E40" s="2">
        <v>5</v>
      </c>
      <c r="F40" s="2">
        <v>4</v>
      </c>
    </row>
    <row r="41" spans="1:6" ht="15" thickBot="1" x14ac:dyDescent="0.4">
      <c r="A41" s="1" t="s">
        <v>45</v>
      </c>
      <c r="B41" s="2">
        <v>3</v>
      </c>
      <c r="C41" s="2">
        <v>4</v>
      </c>
      <c r="D41" s="2">
        <v>5</v>
      </c>
      <c r="E41" s="2">
        <v>5</v>
      </c>
      <c r="F41" s="2">
        <v>4</v>
      </c>
    </row>
    <row r="42" spans="1:6" ht="15" thickBot="1" x14ac:dyDescent="0.4">
      <c r="A42" s="1" t="s">
        <v>46</v>
      </c>
      <c r="B42" s="2">
        <v>2</v>
      </c>
      <c r="C42" s="2">
        <v>4</v>
      </c>
      <c r="D42" s="2">
        <v>5</v>
      </c>
      <c r="E42" s="2">
        <v>5</v>
      </c>
      <c r="F42" s="2">
        <v>4</v>
      </c>
    </row>
    <row r="43" spans="1:6" ht="15" thickBot="1" x14ac:dyDescent="0.4">
      <c r="A43" s="1" t="s">
        <v>47</v>
      </c>
      <c r="B43" s="2">
        <v>1</v>
      </c>
      <c r="C43" s="2">
        <v>5</v>
      </c>
      <c r="D43" s="2">
        <v>5</v>
      </c>
      <c r="E43" s="2">
        <v>5</v>
      </c>
      <c r="F43" s="2">
        <v>4</v>
      </c>
    </row>
    <row r="44" spans="1:6" ht="15" thickBot="1" x14ac:dyDescent="0.4">
      <c r="A44" s="1" t="s">
        <v>48</v>
      </c>
      <c r="B44" s="2">
        <v>4</v>
      </c>
      <c r="C44" s="2">
        <v>2</v>
      </c>
      <c r="D44" s="2">
        <v>4</v>
      </c>
      <c r="E44" s="2">
        <v>5</v>
      </c>
      <c r="F44" s="2">
        <v>4</v>
      </c>
    </row>
    <row r="45" spans="1:6" ht="15" thickBot="1" x14ac:dyDescent="0.4">
      <c r="A45" s="1" t="s">
        <v>49</v>
      </c>
      <c r="B45" s="2">
        <v>4</v>
      </c>
      <c r="C45" s="2">
        <v>2</v>
      </c>
      <c r="D45" s="2">
        <v>4</v>
      </c>
      <c r="E45" s="2">
        <v>5</v>
      </c>
      <c r="F45" s="2">
        <v>4</v>
      </c>
    </row>
    <row r="46" spans="1:6" ht="15" thickBot="1" x14ac:dyDescent="0.4">
      <c r="A46" s="1" t="s">
        <v>50</v>
      </c>
      <c r="B46" s="2">
        <v>3</v>
      </c>
      <c r="C46" s="2">
        <v>3</v>
      </c>
      <c r="D46" s="2">
        <v>4</v>
      </c>
      <c r="E46" s="2">
        <v>5</v>
      </c>
      <c r="F46" s="2">
        <v>4</v>
      </c>
    </row>
    <row r="47" spans="1:6" ht="15" thickBot="1" x14ac:dyDescent="0.4">
      <c r="A47" s="1" t="s">
        <v>51</v>
      </c>
      <c r="B47" s="2">
        <v>2</v>
      </c>
      <c r="C47" s="2">
        <v>4</v>
      </c>
      <c r="D47" s="2">
        <v>4</v>
      </c>
      <c r="E47" s="2">
        <v>5</v>
      </c>
      <c r="F47" s="2">
        <v>4</v>
      </c>
    </row>
    <row r="48" spans="1:6" ht="15" thickBot="1" x14ac:dyDescent="0.4">
      <c r="A48" s="1" t="s">
        <v>52</v>
      </c>
      <c r="B48" s="2">
        <v>1</v>
      </c>
      <c r="C48" s="2">
        <v>4</v>
      </c>
      <c r="D48" s="2">
        <v>4</v>
      </c>
      <c r="E48" s="2">
        <v>5</v>
      </c>
      <c r="F48" s="2">
        <v>4</v>
      </c>
    </row>
    <row r="49" spans="1:6" ht="15" thickBot="1" x14ac:dyDescent="0.4">
      <c r="A49" s="1" t="s">
        <v>53</v>
      </c>
      <c r="B49" s="2">
        <v>5</v>
      </c>
      <c r="C49" s="2">
        <v>3</v>
      </c>
      <c r="D49" s="2">
        <v>4</v>
      </c>
      <c r="E49" s="2">
        <v>3</v>
      </c>
      <c r="F49" s="2">
        <v>3</v>
      </c>
    </row>
    <row r="50" spans="1:6" ht="15" thickBot="1" x14ac:dyDescent="0.4">
      <c r="A50" s="1" t="s">
        <v>54</v>
      </c>
      <c r="B50" s="2">
        <v>5</v>
      </c>
      <c r="C50" s="2">
        <v>4</v>
      </c>
      <c r="D50" s="2">
        <v>4</v>
      </c>
      <c r="E50" s="2">
        <v>2</v>
      </c>
      <c r="F50" s="2">
        <v>3</v>
      </c>
    </row>
    <row r="51" spans="1:6" ht="15" thickBot="1" x14ac:dyDescent="0.4">
      <c r="A51" s="1" t="s">
        <v>55</v>
      </c>
      <c r="B51" s="2">
        <v>5</v>
      </c>
      <c r="C51" s="2">
        <v>5</v>
      </c>
      <c r="D51" s="2">
        <v>4</v>
      </c>
      <c r="E51" s="2">
        <v>1</v>
      </c>
      <c r="F51" s="2">
        <v>3</v>
      </c>
    </row>
    <row r="52" spans="1:6" ht="15" thickBot="1" x14ac:dyDescent="0.4">
      <c r="A52" s="1" t="s">
        <v>56</v>
      </c>
      <c r="B52" s="2">
        <v>5</v>
      </c>
      <c r="C52" s="2">
        <v>2</v>
      </c>
      <c r="D52" s="2">
        <v>3</v>
      </c>
      <c r="E52" s="2">
        <v>4</v>
      </c>
      <c r="F52" s="2">
        <v>4</v>
      </c>
    </row>
    <row r="53" spans="1:6" ht="15" thickBot="1" x14ac:dyDescent="0.4">
      <c r="A53" s="1" t="s">
        <v>57</v>
      </c>
      <c r="B53" s="2">
        <v>5</v>
      </c>
      <c r="C53" s="2">
        <v>3</v>
      </c>
      <c r="D53" s="2">
        <v>3</v>
      </c>
      <c r="E53" s="2">
        <v>3</v>
      </c>
      <c r="F53" s="2">
        <v>4</v>
      </c>
    </row>
    <row r="54" spans="1:6" ht="15" thickBot="1" x14ac:dyDescent="0.4">
      <c r="A54" s="1" t="s">
        <v>58</v>
      </c>
      <c r="B54" s="2">
        <v>5</v>
      </c>
      <c r="C54" s="2">
        <v>4</v>
      </c>
      <c r="D54" s="2">
        <v>3</v>
      </c>
      <c r="E54" s="2">
        <v>2</v>
      </c>
      <c r="F54" s="2">
        <v>4</v>
      </c>
    </row>
    <row r="55" spans="1:6" ht="15" thickBot="1" x14ac:dyDescent="0.4">
      <c r="A55" s="1" t="s">
        <v>59</v>
      </c>
      <c r="B55" s="2">
        <v>4</v>
      </c>
      <c r="C55" s="2">
        <v>2</v>
      </c>
      <c r="D55" s="2">
        <v>4</v>
      </c>
      <c r="E55" s="2">
        <v>5</v>
      </c>
      <c r="F55" s="2">
        <v>4</v>
      </c>
    </row>
    <row r="56" spans="1:6" ht="15" thickBot="1" x14ac:dyDescent="0.4">
      <c r="A56" s="1" t="s">
        <v>60</v>
      </c>
      <c r="B56" s="2">
        <v>4</v>
      </c>
      <c r="C56" s="2">
        <v>2</v>
      </c>
      <c r="D56" s="2">
        <v>4</v>
      </c>
      <c r="E56" s="2">
        <v>5</v>
      </c>
      <c r="F56" s="2">
        <v>4</v>
      </c>
    </row>
    <row r="57" spans="1:6" ht="15" thickBot="1" x14ac:dyDescent="0.4">
      <c r="A57" s="1" t="s">
        <v>61</v>
      </c>
      <c r="B57" s="2">
        <v>3</v>
      </c>
      <c r="C57" s="2">
        <v>3</v>
      </c>
      <c r="D57" s="2">
        <v>4</v>
      </c>
      <c r="E57" s="2">
        <v>5</v>
      </c>
      <c r="F57" s="2">
        <v>4</v>
      </c>
    </row>
    <row r="58" spans="1:6" ht="15" thickBot="1" x14ac:dyDescent="0.4">
      <c r="A58" s="1" t="s">
        <v>62</v>
      </c>
      <c r="B58" s="2">
        <v>2</v>
      </c>
      <c r="C58" s="2">
        <v>4</v>
      </c>
      <c r="D58" s="2">
        <v>4</v>
      </c>
      <c r="E58" s="2">
        <v>5</v>
      </c>
      <c r="F58" s="2">
        <v>4</v>
      </c>
    </row>
    <row r="59" spans="1:6" ht="15" thickBot="1" x14ac:dyDescent="0.4">
      <c r="A59" s="1" t="s">
        <v>63</v>
      </c>
      <c r="B59" s="2">
        <v>1</v>
      </c>
      <c r="C59" s="2">
        <v>4</v>
      </c>
      <c r="D59" s="2">
        <v>4</v>
      </c>
      <c r="E59" s="2">
        <v>5</v>
      </c>
      <c r="F59" s="2">
        <v>4</v>
      </c>
    </row>
    <row r="60" spans="1:6" ht="15" thickBot="1" x14ac:dyDescent="0.4">
      <c r="A60" s="1" t="s">
        <v>64</v>
      </c>
      <c r="B60" s="2">
        <v>4</v>
      </c>
      <c r="C60" s="2">
        <v>2</v>
      </c>
      <c r="D60" s="2">
        <v>5</v>
      </c>
      <c r="E60" s="2">
        <v>5</v>
      </c>
      <c r="F60" s="2">
        <v>4</v>
      </c>
    </row>
    <row r="61" spans="1:6" ht="15" thickBot="1" x14ac:dyDescent="0.4">
      <c r="A61" s="1" t="s">
        <v>65</v>
      </c>
      <c r="B61" s="2">
        <v>4</v>
      </c>
      <c r="C61" s="2">
        <v>3</v>
      </c>
      <c r="D61" s="2">
        <v>5</v>
      </c>
      <c r="E61" s="2">
        <v>5</v>
      </c>
      <c r="F61" s="2">
        <v>4</v>
      </c>
    </row>
    <row r="62" spans="1:6" ht="15" thickBot="1" x14ac:dyDescent="0.4">
      <c r="A62" s="1" t="s">
        <v>66</v>
      </c>
      <c r="B62" s="2">
        <v>3</v>
      </c>
      <c r="C62" s="2">
        <v>4</v>
      </c>
      <c r="D62" s="2">
        <v>5</v>
      </c>
      <c r="E62" s="2">
        <v>5</v>
      </c>
      <c r="F62" s="2">
        <v>4</v>
      </c>
    </row>
    <row r="63" spans="1:6" ht="15" thickBot="1" x14ac:dyDescent="0.4">
      <c r="A63" s="1" t="s">
        <v>67</v>
      </c>
      <c r="B63" s="2">
        <v>2</v>
      </c>
      <c r="C63" s="2">
        <v>4</v>
      </c>
      <c r="D63" s="2">
        <v>5</v>
      </c>
      <c r="E63" s="2">
        <v>5</v>
      </c>
      <c r="F63" s="2">
        <v>4</v>
      </c>
    </row>
    <row r="64" spans="1:6" ht="15" thickBot="1" x14ac:dyDescent="0.4">
      <c r="A64" s="1" t="s">
        <v>68</v>
      </c>
      <c r="B64" s="2">
        <v>1</v>
      </c>
      <c r="C64" s="2">
        <v>5</v>
      </c>
      <c r="D64" s="2">
        <v>5</v>
      </c>
      <c r="E64" s="2">
        <v>5</v>
      </c>
      <c r="F64" s="2">
        <v>4</v>
      </c>
    </row>
    <row r="65" spans="1:6" ht="15" thickBot="1" x14ac:dyDescent="0.4">
      <c r="A65" s="1" t="s">
        <v>69</v>
      </c>
      <c r="B65" s="2">
        <v>4</v>
      </c>
      <c r="C65" s="2">
        <v>3</v>
      </c>
      <c r="D65" s="2">
        <v>5</v>
      </c>
      <c r="E65" s="2">
        <v>4</v>
      </c>
      <c r="F65" s="2">
        <v>3</v>
      </c>
    </row>
    <row r="66" spans="1:6" ht="15" thickBot="1" x14ac:dyDescent="0.4">
      <c r="A66" s="1" t="s">
        <v>70</v>
      </c>
      <c r="B66" s="2">
        <v>3</v>
      </c>
      <c r="C66" s="2">
        <v>4</v>
      </c>
      <c r="D66" s="2">
        <v>5</v>
      </c>
      <c r="E66" s="2">
        <v>4</v>
      </c>
      <c r="F66" s="2">
        <v>3</v>
      </c>
    </row>
    <row r="67" spans="1:6" ht="15" thickBot="1" x14ac:dyDescent="0.4">
      <c r="A67" s="1" t="s">
        <v>71</v>
      </c>
      <c r="B67" s="2">
        <v>2</v>
      </c>
      <c r="C67" s="2">
        <v>4</v>
      </c>
      <c r="D67" s="2">
        <v>5</v>
      </c>
      <c r="E67" s="2">
        <v>4</v>
      </c>
      <c r="F67" s="2">
        <v>3</v>
      </c>
    </row>
    <row r="68" spans="1:6" ht="15" thickBot="1" x14ac:dyDescent="0.4">
      <c r="A68" s="1" t="s">
        <v>72</v>
      </c>
      <c r="B68" s="2">
        <v>2</v>
      </c>
      <c r="C68" s="2">
        <v>5</v>
      </c>
      <c r="D68" s="2">
        <v>5</v>
      </c>
      <c r="E68" s="2">
        <v>4</v>
      </c>
      <c r="F68" s="2">
        <v>3</v>
      </c>
    </row>
    <row r="69" spans="1:6" ht="15" thickBot="1" x14ac:dyDescent="0.4">
      <c r="A69" s="1" t="s">
        <v>73</v>
      </c>
      <c r="B69" s="2">
        <v>1</v>
      </c>
      <c r="C69" s="2">
        <v>5</v>
      </c>
      <c r="D69" s="2">
        <v>5</v>
      </c>
      <c r="E69" s="2">
        <v>4</v>
      </c>
      <c r="F69" s="2">
        <v>3</v>
      </c>
    </row>
    <row r="70" spans="1:6" ht="15" thickBot="1" x14ac:dyDescent="0.4">
      <c r="A70" s="1" t="s">
        <v>74</v>
      </c>
      <c r="B70" s="2">
        <v>4</v>
      </c>
      <c r="C70" s="2">
        <v>2</v>
      </c>
      <c r="D70" s="2">
        <v>5</v>
      </c>
      <c r="E70" s="2">
        <v>4</v>
      </c>
      <c r="F70" s="2">
        <v>3</v>
      </c>
    </row>
    <row r="71" spans="1:6" ht="15" thickBot="1" x14ac:dyDescent="0.4">
      <c r="A71" s="1" t="s">
        <v>75</v>
      </c>
      <c r="B71" s="2">
        <v>4</v>
      </c>
      <c r="C71" s="2">
        <v>3</v>
      </c>
      <c r="D71" s="2">
        <v>5</v>
      </c>
      <c r="E71" s="2">
        <v>4</v>
      </c>
      <c r="F71" s="2">
        <v>3</v>
      </c>
    </row>
    <row r="72" spans="1:6" ht="15" thickBot="1" x14ac:dyDescent="0.4">
      <c r="A72" s="1" t="s">
        <v>76</v>
      </c>
      <c r="B72" s="2">
        <v>3</v>
      </c>
      <c r="C72" s="2">
        <v>4</v>
      </c>
      <c r="D72" s="2">
        <v>5</v>
      </c>
      <c r="E72" s="2">
        <v>4</v>
      </c>
      <c r="F72" s="2">
        <v>3</v>
      </c>
    </row>
    <row r="73" spans="1:6" ht="15" thickBot="1" x14ac:dyDescent="0.4">
      <c r="A73" s="1" t="s">
        <v>77</v>
      </c>
      <c r="B73" s="2">
        <v>2</v>
      </c>
      <c r="C73" s="2">
        <v>4</v>
      </c>
      <c r="D73" s="2">
        <v>5</v>
      </c>
      <c r="E73" s="2">
        <v>4</v>
      </c>
      <c r="F73" s="2">
        <v>3</v>
      </c>
    </row>
    <row r="74" spans="1:6" ht="15" thickBot="1" x14ac:dyDescent="0.4">
      <c r="A74" s="1" t="s">
        <v>78</v>
      </c>
      <c r="B74" s="2">
        <v>1</v>
      </c>
      <c r="C74" s="2">
        <v>5</v>
      </c>
      <c r="D74" s="2">
        <v>5</v>
      </c>
      <c r="E74" s="2">
        <v>4</v>
      </c>
      <c r="F74" s="2">
        <v>3</v>
      </c>
    </row>
    <row r="75" spans="1:6" ht="15" thickBot="1" x14ac:dyDescent="0.4">
      <c r="A75" s="1" t="s">
        <v>79</v>
      </c>
      <c r="B75" s="2">
        <v>4</v>
      </c>
      <c r="C75" s="2">
        <v>2</v>
      </c>
      <c r="D75" s="2">
        <v>5</v>
      </c>
      <c r="E75" s="2">
        <v>4</v>
      </c>
      <c r="F75" s="2">
        <v>3</v>
      </c>
    </row>
    <row r="76" spans="1:6" ht="15" thickBot="1" x14ac:dyDescent="0.4">
      <c r="A76" s="1" t="s">
        <v>80</v>
      </c>
      <c r="B76" s="2">
        <v>4</v>
      </c>
      <c r="C76" s="2">
        <v>3</v>
      </c>
      <c r="D76" s="2">
        <v>5</v>
      </c>
      <c r="E76" s="2">
        <v>4</v>
      </c>
      <c r="F76" s="2">
        <v>3</v>
      </c>
    </row>
    <row r="77" spans="1:6" ht="15" thickBot="1" x14ac:dyDescent="0.4">
      <c r="A77" s="1" t="s">
        <v>81</v>
      </c>
      <c r="B77" s="2">
        <v>3</v>
      </c>
      <c r="C77" s="2">
        <v>4</v>
      </c>
      <c r="D77" s="2">
        <v>5</v>
      </c>
      <c r="E77" s="2">
        <v>4</v>
      </c>
      <c r="F77" s="2">
        <v>3</v>
      </c>
    </row>
    <row r="78" spans="1:6" ht="15" thickBot="1" x14ac:dyDescent="0.4">
      <c r="A78" s="1" t="s">
        <v>82</v>
      </c>
      <c r="B78" s="2">
        <v>2</v>
      </c>
      <c r="C78" s="2">
        <v>4</v>
      </c>
      <c r="D78" s="2">
        <v>5</v>
      </c>
      <c r="E78" s="2">
        <v>4</v>
      </c>
      <c r="F78" s="2">
        <v>3</v>
      </c>
    </row>
    <row r="79" spans="1:6" ht="15" thickBot="1" x14ac:dyDescent="0.4">
      <c r="A79" s="1" t="s">
        <v>83</v>
      </c>
      <c r="B79" s="2">
        <v>1</v>
      </c>
      <c r="C79" s="2">
        <v>5</v>
      </c>
      <c r="D79" s="2">
        <v>5</v>
      </c>
      <c r="E79" s="2">
        <v>4</v>
      </c>
      <c r="F79" s="2">
        <v>3</v>
      </c>
    </row>
    <row r="80" spans="1:6" ht="15" thickBot="1" x14ac:dyDescent="0.4">
      <c r="A80" s="1" t="s">
        <v>84</v>
      </c>
      <c r="B80" s="2">
        <v>4</v>
      </c>
      <c r="C80" s="2">
        <v>2</v>
      </c>
      <c r="D80" s="2">
        <v>5</v>
      </c>
      <c r="E80" s="2">
        <v>4</v>
      </c>
      <c r="F80" s="2">
        <v>4</v>
      </c>
    </row>
    <row r="81" spans="1:6" ht="15" thickBot="1" x14ac:dyDescent="0.4">
      <c r="A81" s="1" t="s">
        <v>85</v>
      </c>
      <c r="B81" s="2">
        <v>4</v>
      </c>
      <c r="C81" s="2">
        <v>2</v>
      </c>
      <c r="D81" s="2">
        <v>5</v>
      </c>
      <c r="E81" s="2">
        <v>4</v>
      </c>
      <c r="F81" s="2">
        <v>4</v>
      </c>
    </row>
    <row r="82" spans="1:6" ht="15" thickBot="1" x14ac:dyDescent="0.4">
      <c r="A82" s="1" t="s">
        <v>86</v>
      </c>
      <c r="B82" s="2">
        <v>3</v>
      </c>
      <c r="C82" s="2">
        <v>3</v>
      </c>
      <c r="D82" s="2">
        <v>5</v>
      </c>
      <c r="E82" s="2">
        <v>4</v>
      </c>
      <c r="F82" s="2">
        <v>4</v>
      </c>
    </row>
    <row r="83" spans="1:6" ht="15" thickBot="1" x14ac:dyDescent="0.4">
      <c r="A83" s="1" t="s">
        <v>87</v>
      </c>
      <c r="B83" s="2">
        <v>2</v>
      </c>
      <c r="C83" s="2">
        <v>4</v>
      </c>
      <c r="D83" s="2">
        <v>5</v>
      </c>
      <c r="E83" s="2">
        <v>4</v>
      </c>
      <c r="F83" s="2">
        <v>4</v>
      </c>
    </row>
    <row r="84" spans="1:6" ht="15" thickBot="1" x14ac:dyDescent="0.4">
      <c r="A84" s="1" t="s">
        <v>88</v>
      </c>
      <c r="B84" s="2">
        <v>1</v>
      </c>
      <c r="C84" s="2">
        <v>5</v>
      </c>
      <c r="D84" s="2">
        <v>5</v>
      </c>
      <c r="E84" s="2">
        <v>4</v>
      </c>
      <c r="F84" s="2">
        <v>4</v>
      </c>
    </row>
    <row r="85" spans="1:6" ht="15" thickBot="1" x14ac:dyDescent="0.4">
      <c r="A85" s="1" t="s">
        <v>89</v>
      </c>
      <c r="B85" s="2">
        <v>3</v>
      </c>
      <c r="C85" s="2">
        <v>4</v>
      </c>
      <c r="D85" s="2">
        <v>3</v>
      </c>
      <c r="E85" s="2">
        <v>4</v>
      </c>
      <c r="F85" s="2">
        <v>2</v>
      </c>
    </row>
    <row r="86" spans="1:6" ht="15" thickBot="1" x14ac:dyDescent="0.4">
      <c r="A86" s="1" t="s">
        <v>90</v>
      </c>
      <c r="B86" s="2">
        <v>1</v>
      </c>
      <c r="C86" s="2">
        <v>5</v>
      </c>
      <c r="D86" s="2">
        <v>3</v>
      </c>
      <c r="E86" s="2">
        <v>4</v>
      </c>
      <c r="F86" s="2">
        <v>2</v>
      </c>
    </row>
    <row r="87" spans="1:6" ht="15" thickBot="1" x14ac:dyDescent="0.4">
      <c r="A87" s="1" t="s">
        <v>91</v>
      </c>
      <c r="B87" s="2">
        <v>4</v>
      </c>
      <c r="C87" s="2">
        <v>2</v>
      </c>
      <c r="D87" s="2">
        <v>4</v>
      </c>
      <c r="E87" s="2">
        <v>4</v>
      </c>
      <c r="F87" s="2">
        <v>3</v>
      </c>
    </row>
    <row r="88" spans="1:6" ht="15" thickBot="1" x14ac:dyDescent="0.4">
      <c r="A88" s="1" t="s">
        <v>92</v>
      </c>
      <c r="B88" s="2">
        <v>4</v>
      </c>
      <c r="C88" s="2">
        <v>2</v>
      </c>
      <c r="D88" s="2">
        <v>4</v>
      </c>
      <c r="E88" s="2">
        <v>4</v>
      </c>
      <c r="F88" s="2">
        <v>3</v>
      </c>
    </row>
    <row r="89" spans="1:6" ht="15" thickBot="1" x14ac:dyDescent="0.4">
      <c r="A89" s="1" t="s">
        <v>93</v>
      </c>
      <c r="B89" s="2">
        <v>3</v>
      </c>
      <c r="C89" s="2">
        <v>3</v>
      </c>
      <c r="D89" s="2">
        <v>4</v>
      </c>
      <c r="E89" s="2">
        <v>4</v>
      </c>
      <c r="F89" s="2">
        <v>3</v>
      </c>
    </row>
    <row r="90" spans="1:6" ht="15" thickBot="1" x14ac:dyDescent="0.4">
      <c r="A90" s="1" t="s">
        <v>94</v>
      </c>
      <c r="B90" s="2">
        <v>2</v>
      </c>
      <c r="C90" s="2">
        <v>4</v>
      </c>
      <c r="D90" s="2">
        <v>4</v>
      </c>
      <c r="E90" s="2">
        <v>4</v>
      </c>
      <c r="F90" s="2">
        <v>3</v>
      </c>
    </row>
    <row r="91" spans="1:6" ht="15" thickBot="1" x14ac:dyDescent="0.4">
      <c r="A91" s="1" t="s">
        <v>95</v>
      </c>
      <c r="B91" s="2">
        <v>1</v>
      </c>
      <c r="C91" s="2">
        <v>4</v>
      </c>
      <c r="D91" s="2">
        <v>4</v>
      </c>
      <c r="E91" s="2">
        <v>4</v>
      </c>
      <c r="F91" s="2">
        <v>3</v>
      </c>
    </row>
    <row r="92" spans="1:6" ht="15" thickBot="1" x14ac:dyDescent="0.4">
      <c r="A92" s="1" t="s">
        <v>96</v>
      </c>
      <c r="B92" s="2">
        <v>4</v>
      </c>
      <c r="C92" s="2">
        <v>2</v>
      </c>
      <c r="D92" s="2">
        <v>4</v>
      </c>
      <c r="E92" s="2">
        <v>4</v>
      </c>
      <c r="F92" s="2">
        <v>4</v>
      </c>
    </row>
    <row r="93" spans="1:6" ht="15" thickBot="1" x14ac:dyDescent="0.4">
      <c r="A93" s="1" t="s">
        <v>97</v>
      </c>
      <c r="B93" s="2">
        <v>4</v>
      </c>
      <c r="C93" s="2">
        <v>2</v>
      </c>
      <c r="D93" s="2">
        <v>4</v>
      </c>
      <c r="E93" s="2">
        <v>4</v>
      </c>
      <c r="F93" s="2">
        <v>4</v>
      </c>
    </row>
    <row r="94" spans="1:6" ht="15" thickBot="1" x14ac:dyDescent="0.4">
      <c r="A94" s="1" t="s">
        <v>98</v>
      </c>
      <c r="B94" s="2">
        <v>3</v>
      </c>
      <c r="C94" s="2">
        <v>3</v>
      </c>
      <c r="D94" s="2">
        <v>4</v>
      </c>
      <c r="E94" s="2">
        <v>4</v>
      </c>
      <c r="F94" s="2">
        <v>4</v>
      </c>
    </row>
    <row r="95" spans="1:6" ht="15" thickBot="1" x14ac:dyDescent="0.4">
      <c r="A95" s="1" t="s">
        <v>99</v>
      </c>
      <c r="B95" s="2">
        <v>2</v>
      </c>
      <c r="C95" s="2">
        <v>4</v>
      </c>
      <c r="D95" s="2">
        <v>4</v>
      </c>
      <c r="E95" s="2">
        <v>4</v>
      </c>
      <c r="F95" s="2">
        <v>4</v>
      </c>
    </row>
    <row r="96" spans="1:6" ht="15" thickBot="1" x14ac:dyDescent="0.4">
      <c r="A96" s="1" t="s">
        <v>100</v>
      </c>
      <c r="B96" s="2">
        <v>1</v>
      </c>
      <c r="C96" s="2">
        <v>4</v>
      </c>
      <c r="D96" s="2">
        <v>4</v>
      </c>
      <c r="E96" s="2">
        <v>4</v>
      </c>
      <c r="F96" s="2">
        <v>4</v>
      </c>
    </row>
    <row r="97" spans="1:6" ht="15" thickBot="1" x14ac:dyDescent="0.4">
      <c r="A97" s="1" t="s">
        <v>101</v>
      </c>
      <c r="B97" s="2">
        <v>4</v>
      </c>
      <c r="C97" s="2">
        <v>2</v>
      </c>
      <c r="D97" s="2">
        <v>4</v>
      </c>
      <c r="E97" s="2">
        <v>5</v>
      </c>
      <c r="F97" s="2">
        <v>4</v>
      </c>
    </row>
    <row r="98" spans="1:6" ht="15" thickBot="1" x14ac:dyDescent="0.4">
      <c r="A98" s="1" t="s">
        <v>102</v>
      </c>
      <c r="B98" s="2">
        <v>3</v>
      </c>
      <c r="C98" s="2">
        <v>3</v>
      </c>
      <c r="D98" s="2">
        <v>4</v>
      </c>
      <c r="E98" s="2">
        <v>5</v>
      </c>
      <c r="F98" s="2">
        <v>4</v>
      </c>
    </row>
    <row r="99" spans="1:6" ht="15" thickBot="1" x14ac:dyDescent="0.4">
      <c r="A99" s="1" t="s">
        <v>103</v>
      </c>
      <c r="B99" s="2">
        <v>2</v>
      </c>
      <c r="C99" s="2">
        <v>4</v>
      </c>
      <c r="D99" s="2">
        <v>4</v>
      </c>
      <c r="E99" s="2">
        <v>5</v>
      </c>
      <c r="F99" s="2">
        <v>4</v>
      </c>
    </row>
    <row r="100" spans="1:6" ht="15" thickBot="1" x14ac:dyDescent="0.4">
      <c r="A100" s="1" t="s">
        <v>104</v>
      </c>
      <c r="B100" s="2">
        <v>2</v>
      </c>
      <c r="C100" s="2">
        <v>4</v>
      </c>
      <c r="D100" s="2">
        <v>4</v>
      </c>
      <c r="E100" s="2">
        <v>5</v>
      </c>
      <c r="F100" s="2">
        <v>4</v>
      </c>
    </row>
    <row r="101" spans="1:6" ht="15" thickBot="1" x14ac:dyDescent="0.4">
      <c r="A101" s="1" t="s">
        <v>105</v>
      </c>
      <c r="B101" s="2">
        <v>1</v>
      </c>
      <c r="C101" s="2">
        <v>5</v>
      </c>
      <c r="D101" s="2">
        <v>4</v>
      </c>
      <c r="E101" s="2">
        <v>5</v>
      </c>
      <c r="F101" s="2">
        <v>4</v>
      </c>
    </row>
    <row r="102" spans="1:6" ht="15" thickBot="1" x14ac:dyDescent="0.4">
      <c r="A102" s="1" t="s">
        <v>106</v>
      </c>
      <c r="B102" s="2">
        <v>4</v>
      </c>
      <c r="C102" s="2">
        <v>2</v>
      </c>
      <c r="D102" s="2">
        <v>5</v>
      </c>
      <c r="E102" s="2">
        <v>4</v>
      </c>
      <c r="F102" s="2">
        <v>3</v>
      </c>
    </row>
    <row r="103" spans="1:6" ht="15" thickBot="1" x14ac:dyDescent="0.4">
      <c r="A103" s="1" t="s">
        <v>107</v>
      </c>
      <c r="B103" s="2">
        <v>4</v>
      </c>
      <c r="C103" s="2">
        <v>2</v>
      </c>
      <c r="D103" s="2">
        <v>5</v>
      </c>
      <c r="E103" s="2">
        <v>4</v>
      </c>
      <c r="F103" s="2">
        <v>3</v>
      </c>
    </row>
    <row r="104" spans="1:6" ht="15" thickBot="1" x14ac:dyDescent="0.4">
      <c r="A104" s="1" t="s">
        <v>108</v>
      </c>
      <c r="B104" s="2">
        <v>3</v>
      </c>
      <c r="C104" s="2">
        <v>3</v>
      </c>
      <c r="D104" s="2">
        <v>5</v>
      </c>
      <c r="E104" s="2">
        <v>4</v>
      </c>
      <c r="F104" s="2">
        <v>3</v>
      </c>
    </row>
    <row r="105" spans="1:6" ht="15" thickBot="1" x14ac:dyDescent="0.4">
      <c r="A105" s="1" t="s">
        <v>109</v>
      </c>
      <c r="B105" s="2">
        <v>2</v>
      </c>
      <c r="C105" s="2">
        <v>4</v>
      </c>
      <c r="D105" s="2">
        <v>5</v>
      </c>
      <c r="E105" s="2">
        <v>4</v>
      </c>
      <c r="F105" s="2">
        <v>3</v>
      </c>
    </row>
    <row r="106" spans="1:6" ht="15" thickBot="1" x14ac:dyDescent="0.4">
      <c r="A106" s="1" t="s">
        <v>110</v>
      </c>
      <c r="B106" s="2">
        <v>1</v>
      </c>
      <c r="C106" s="2">
        <v>4</v>
      </c>
      <c r="D106" s="2">
        <v>5</v>
      </c>
      <c r="E106" s="2">
        <v>4</v>
      </c>
      <c r="F106" s="2">
        <v>3</v>
      </c>
    </row>
    <row r="107" spans="1:6" ht="15" thickBot="1" x14ac:dyDescent="0.4">
      <c r="A107" s="1" t="s">
        <v>111</v>
      </c>
      <c r="B107" s="2">
        <v>4</v>
      </c>
      <c r="C107" s="2">
        <v>2</v>
      </c>
      <c r="D107" s="2">
        <v>5</v>
      </c>
      <c r="E107" s="2">
        <v>5</v>
      </c>
      <c r="F107" s="2">
        <v>4</v>
      </c>
    </row>
    <row r="108" spans="1:6" ht="15" thickBot="1" x14ac:dyDescent="0.4">
      <c r="A108" s="1" t="s">
        <v>112</v>
      </c>
      <c r="B108" s="2">
        <v>3</v>
      </c>
      <c r="C108" s="2">
        <v>3</v>
      </c>
      <c r="D108" s="2">
        <v>5</v>
      </c>
      <c r="E108" s="2">
        <v>5</v>
      </c>
      <c r="F108" s="2">
        <v>4</v>
      </c>
    </row>
    <row r="109" spans="1:6" ht="15" thickBot="1" x14ac:dyDescent="0.4">
      <c r="A109" s="1" t="s">
        <v>113</v>
      </c>
      <c r="B109" s="2">
        <v>3</v>
      </c>
      <c r="C109" s="2">
        <v>4</v>
      </c>
      <c r="D109" s="2">
        <v>5</v>
      </c>
      <c r="E109" s="2">
        <v>5</v>
      </c>
      <c r="F109" s="2">
        <v>4</v>
      </c>
    </row>
    <row r="110" spans="1:6" ht="15" thickBot="1" x14ac:dyDescent="0.4">
      <c r="A110" s="1" t="s">
        <v>114</v>
      </c>
      <c r="B110" s="2">
        <v>2</v>
      </c>
      <c r="C110" s="2">
        <v>4</v>
      </c>
      <c r="D110" s="2">
        <v>5</v>
      </c>
      <c r="E110" s="2">
        <v>5</v>
      </c>
      <c r="F110" s="2">
        <v>4</v>
      </c>
    </row>
    <row r="111" spans="1:6" ht="15" thickBot="1" x14ac:dyDescent="0.4">
      <c r="A111" s="1" t="s">
        <v>115</v>
      </c>
      <c r="B111" s="2">
        <v>1</v>
      </c>
      <c r="C111" s="2">
        <v>5</v>
      </c>
      <c r="D111" s="2">
        <v>5</v>
      </c>
      <c r="E111" s="2">
        <v>5</v>
      </c>
      <c r="F111" s="2">
        <v>4</v>
      </c>
    </row>
    <row r="112" spans="1:6" ht="15" thickBot="1" x14ac:dyDescent="0.4">
      <c r="A112" s="1" t="s">
        <v>116</v>
      </c>
      <c r="B112" s="2">
        <v>4</v>
      </c>
      <c r="C112" s="2">
        <v>2</v>
      </c>
      <c r="D112" s="2">
        <v>5</v>
      </c>
      <c r="E112" s="2">
        <v>5</v>
      </c>
      <c r="F112" s="2">
        <v>4</v>
      </c>
    </row>
    <row r="113" spans="1:6" ht="15" thickBot="1" x14ac:dyDescent="0.4">
      <c r="A113" s="1" t="s">
        <v>117</v>
      </c>
      <c r="B113" s="2">
        <v>4</v>
      </c>
      <c r="C113" s="2">
        <v>3</v>
      </c>
      <c r="D113" s="2">
        <v>5</v>
      </c>
      <c r="E113" s="2">
        <v>5</v>
      </c>
      <c r="F113" s="2">
        <v>4</v>
      </c>
    </row>
    <row r="114" spans="1:6" ht="15" thickBot="1" x14ac:dyDescent="0.4">
      <c r="A114" s="1" t="s">
        <v>118</v>
      </c>
      <c r="B114" s="2">
        <v>3</v>
      </c>
      <c r="C114" s="2">
        <v>3</v>
      </c>
      <c r="D114" s="2">
        <v>5</v>
      </c>
      <c r="E114" s="2">
        <v>5</v>
      </c>
      <c r="F114" s="2">
        <v>4</v>
      </c>
    </row>
    <row r="115" spans="1:6" ht="15" thickBot="1" x14ac:dyDescent="0.4">
      <c r="A115" s="1" t="s">
        <v>119</v>
      </c>
      <c r="B115" s="2">
        <v>3</v>
      </c>
      <c r="C115" s="2">
        <v>4</v>
      </c>
      <c r="D115" s="2">
        <v>5</v>
      </c>
      <c r="E115" s="2">
        <v>5</v>
      </c>
      <c r="F115" s="2">
        <v>4</v>
      </c>
    </row>
    <row r="116" spans="1:6" ht="15" thickBot="1" x14ac:dyDescent="0.4">
      <c r="A116" s="1" t="s">
        <v>120</v>
      </c>
      <c r="B116" s="2">
        <v>2</v>
      </c>
      <c r="C116" s="2">
        <v>4</v>
      </c>
      <c r="D116" s="2">
        <v>5</v>
      </c>
      <c r="E116" s="2">
        <v>5</v>
      </c>
      <c r="F116" s="2">
        <v>4</v>
      </c>
    </row>
    <row r="117" spans="1:6" ht="15" thickBot="1" x14ac:dyDescent="0.4">
      <c r="A117" s="1" t="s">
        <v>121</v>
      </c>
      <c r="B117" s="2">
        <v>4</v>
      </c>
      <c r="C117" s="2">
        <v>1</v>
      </c>
      <c r="D117" s="2">
        <v>2</v>
      </c>
      <c r="E117" s="2">
        <v>4</v>
      </c>
      <c r="F117" s="2">
        <v>3</v>
      </c>
    </row>
    <row r="118" spans="1:6" ht="15" thickBot="1" x14ac:dyDescent="0.4">
      <c r="A118" s="1" t="s">
        <v>122</v>
      </c>
      <c r="B118" s="2">
        <v>4</v>
      </c>
      <c r="C118" s="2">
        <v>2</v>
      </c>
      <c r="D118" s="2">
        <v>2</v>
      </c>
      <c r="E118" s="2">
        <v>4</v>
      </c>
      <c r="F118" s="2">
        <v>3</v>
      </c>
    </row>
    <row r="119" spans="1:6" ht="15" thickBot="1" x14ac:dyDescent="0.4">
      <c r="A119" s="1" t="s">
        <v>123</v>
      </c>
      <c r="B119" s="2">
        <v>3</v>
      </c>
      <c r="C119" s="2">
        <v>3</v>
      </c>
      <c r="D119" s="2">
        <v>2</v>
      </c>
      <c r="E119" s="2">
        <v>4</v>
      </c>
      <c r="F119" s="2">
        <v>3</v>
      </c>
    </row>
    <row r="120" spans="1:6" ht="15" thickBot="1" x14ac:dyDescent="0.4">
      <c r="A120" s="1" t="s">
        <v>124</v>
      </c>
      <c r="B120" s="2">
        <v>2</v>
      </c>
      <c r="C120" s="2">
        <v>3</v>
      </c>
      <c r="D120" s="2">
        <v>2</v>
      </c>
      <c r="E120" s="2">
        <v>4</v>
      </c>
      <c r="F120" s="2">
        <v>3</v>
      </c>
    </row>
    <row r="121" spans="1:6" ht="15" thickBot="1" x14ac:dyDescent="0.4">
      <c r="A121" s="1" t="s">
        <v>125</v>
      </c>
      <c r="B121" s="2">
        <v>1</v>
      </c>
      <c r="C121" s="2">
        <v>4</v>
      </c>
      <c r="D121" s="2">
        <v>2</v>
      </c>
      <c r="E121" s="2">
        <v>4</v>
      </c>
      <c r="F121" s="2">
        <v>3</v>
      </c>
    </row>
    <row r="122" spans="1:6" ht="15" thickBot="1" x14ac:dyDescent="0.4">
      <c r="A122" s="1" t="s">
        <v>126</v>
      </c>
      <c r="B122" s="2">
        <v>4</v>
      </c>
      <c r="C122" s="2">
        <v>2</v>
      </c>
      <c r="D122" s="2">
        <v>2</v>
      </c>
      <c r="E122" s="2">
        <v>5</v>
      </c>
      <c r="F122" s="2">
        <v>4</v>
      </c>
    </row>
    <row r="123" spans="1:6" ht="15" thickBot="1" x14ac:dyDescent="0.4">
      <c r="A123" s="1" t="s">
        <v>127</v>
      </c>
      <c r="B123" s="2">
        <v>4</v>
      </c>
      <c r="C123" s="2">
        <v>2</v>
      </c>
      <c r="D123" s="2">
        <v>2</v>
      </c>
      <c r="E123" s="2">
        <v>5</v>
      </c>
      <c r="F123" s="2">
        <v>4</v>
      </c>
    </row>
    <row r="124" spans="1:6" ht="15" thickBot="1" x14ac:dyDescent="0.4">
      <c r="A124" s="1" t="s">
        <v>128</v>
      </c>
      <c r="B124" s="2">
        <v>3</v>
      </c>
      <c r="C124" s="2">
        <v>3</v>
      </c>
      <c r="D124" s="2">
        <v>2</v>
      </c>
      <c r="E124" s="2">
        <v>5</v>
      </c>
      <c r="F124" s="2">
        <v>4</v>
      </c>
    </row>
    <row r="125" spans="1:6" ht="15" thickBot="1" x14ac:dyDescent="0.4">
      <c r="A125" s="1" t="s">
        <v>129</v>
      </c>
      <c r="B125" s="2">
        <v>2</v>
      </c>
      <c r="C125" s="2">
        <v>4</v>
      </c>
      <c r="D125" s="2">
        <v>2</v>
      </c>
      <c r="E125" s="2">
        <v>5</v>
      </c>
      <c r="F125" s="2">
        <v>4</v>
      </c>
    </row>
    <row r="126" spans="1:6" ht="15" thickBot="1" x14ac:dyDescent="0.4">
      <c r="A126" s="1" t="s">
        <v>130</v>
      </c>
      <c r="B126" s="2">
        <v>1</v>
      </c>
      <c r="C126" s="2">
        <v>4</v>
      </c>
      <c r="D126" s="2">
        <v>2</v>
      </c>
      <c r="E126" s="2">
        <v>5</v>
      </c>
      <c r="F126" s="2">
        <v>4</v>
      </c>
    </row>
    <row r="127" spans="1:6" ht="15" thickBot="1" x14ac:dyDescent="0.4">
      <c r="A127" s="1" t="s">
        <v>131</v>
      </c>
      <c r="B127" s="2">
        <v>4</v>
      </c>
      <c r="C127" s="2">
        <v>2</v>
      </c>
      <c r="D127" s="2">
        <v>2</v>
      </c>
      <c r="E127" s="2">
        <v>5</v>
      </c>
      <c r="F127" s="2">
        <v>4</v>
      </c>
    </row>
    <row r="128" spans="1:6" ht="15" thickBot="1" x14ac:dyDescent="0.4">
      <c r="A128" s="1" t="s">
        <v>132</v>
      </c>
      <c r="B128" s="2">
        <v>4</v>
      </c>
      <c r="C128" s="2">
        <v>2</v>
      </c>
      <c r="D128" s="2">
        <v>2</v>
      </c>
      <c r="E128" s="2">
        <v>5</v>
      </c>
      <c r="F128" s="2">
        <v>4</v>
      </c>
    </row>
    <row r="129" spans="1:6" ht="15" thickBot="1" x14ac:dyDescent="0.4">
      <c r="A129" s="1" t="s">
        <v>133</v>
      </c>
      <c r="B129" s="2">
        <v>3</v>
      </c>
      <c r="C129" s="2">
        <v>3</v>
      </c>
      <c r="D129" s="2">
        <v>2</v>
      </c>
      <c r="E129" s="2">
        <v>5</v>
      </c>
      <c r="F129" s="2">
        <v>4</v>
      </c>
    </row>
    <row r="130" spans="1:6" ht="15" thickBot="1" x14ac:dyDescent="0.4">
      <c r="A130" s="1" t="s">
        <v>134</v>
      </c>
      <c r="B130" s="2">
        <v>3</v>
      </c>
      <c r="C130" s="2">
        <v>3</v>
      </c>
      <c r="D130" s="2">
        <v>2</v>
      </c>
      <c r="E130" s="2">
        <v>5</v>
      </c>
      <c r="F130" s="2">
        <v>4</v>
      </c>
    </row>
    <row r="131" spans="1:6" ht="15" thickBot="1" x14ac:dyDescent="0.4">
      <c r="A131" s="1" t="s">
        <v>135</v>
      </c>
      <c r="B131" s="2">
        <v>2</v>
      </c>
      <c r="C131" s="2">
        <v>4</v>
      </c>
      <c r="D131" s="2">
        <v>2</v>
      </c>
      <c r="E131" s="2">
        <v>5</v>
      </c>
      <c r="F131" s="2">
        <v>4</v>
      </c>
    </row>
    <row r="132" spans="1:6" ht="15" thickBot="1" x14ac:dyDescent="0.4">
      <c r="A132" s="1" t="s">
        <v>136</v>
      </c>
      <c r="B132" s="2">
        <v>3</v>
      </c>
      <c r="C132" s="2">
        <v>3</v>
      </c>
      <c r="D132" s="2">
        <v>2</v>
      </c>
      <c r="E132" s="2">
        <v>4</v>
      </c>
      <c r="F132" s="2">
        <v>2</v>
      </c>
    </row>
    <row r="133" spans="1:6" ht="15" thickBot="1" x14ac:dyDescent="0.4">
      <c r="A133" s="1" t="s">
        <v>137</v>
      </c>
      <c r="B133" s="2">
        <v>2</v>
      </c>
      <c r="C133" s="2">
        <v>4</v>
      </c>
      <c r="D133" s="2">
        <v>2</v>
      </c>
      <c r="E133" s="2">
        <v>4</v>
      </c>
      <c r="F133" s="2">
        <v>2</v>
      </c>
    </row>
    <row r="134" spans="1:6" ht="15" thickBot="1" x14ac:dyDescent="0.4">
      <c r="A134" s="1" t="s">
        <v>138</v>
      </c>
      <c r="B134" s="2">
        <v>3</v>
      </c>
      <c r="C134" s="2">
        <v>3</v>
      </c>
      <c r="D134" s="2">
        <v>2</v>
      </c>
      <c r="E134" s="2">
        <v>4</v>
      </c>
      <c r="F134" s="2">
        <v>2</v>
      </c>
    </row>
    <row r="135" spans="1:6" ht="15" thickBot="1" x14ac:dyDescent="0.4">
      <c r="A135" s="1" t="s">
        <v>139</v>
      </c>
      <c r="B135" s="2">
        <v>2</v>
      </c>
      <c r="C135" s="2">
        <v>4</v>
      </c>
      <c r="D135" s="2">
        <v>2</v>
      </c>
      <c r="E135" s="2">
        <v>4</v>
      </c>
      <c r="F135" s="2">
        <v>2</v>
      </c>
    </row>
    <row r="136" spans="1:6" ht="15" thickBot="1" x14ac:dyDescent="0.4">
      <c r="A136" s="1" t="s">
        <v>140</v>
      </c>
      <c r="B136" s="2">
        <v>3</v>
      </c>
      <c r="C136" s="2">
        <v>3</v>
      </c>
      <c r="D136" s="2">
        <v>4</v>
      </c>
      <c r="E136" s="2">
        <v>4</v>
      </c>
      <c r="F136" s="2">
        <v>3</v>
      </c>
    </row>
    <row r="137" spans="1:6" ht="15" thickBot="1" x14ac:dyDescent="0.4">
      <c r="A137" s="1" t="s">
        <v>141</v>
      </c>
      <c r="B137" s="2">
        <v>2</v>
      </c>
      <c r="C137" s="2">
        <v>4</v>
      </c>
      <c r="D137" s="2">
        <v>4</v>
      </c>
      <c r="E137" s="2">
        <v>4</v>
      </c>
      <c r="F137" s="2">
        <v>3</v>
      </c>
    </row>
    <row r="138" spans="1:6" ht="15" thickBot="1" x14ac:dyDescent="0.4">
      <c r="A138" s="1" t="s">
        <v>142</v>
      </c>
      <c r="B138" s="2">
        <v>1</v>
      </c>
      <c r="C138" s="2">
        <v>5</v>
      </c>
      <c r="D138" s="2">
        <v>4</v>
      </c>
      <c r="E138" s="2">
        <v>4</v>
      </c>
      <c r="F138" s="2">
        <v>3</v>
      </c>
    </row>
    <row r="139" spans="1:6" ht="15" thickBot="1" x14ac:dyDescent="0.4">
      <c r="A139" s="1" t="s">
        <v>143</v>
      </c>
      <c r="B139" s="2">
        <v>5</v>
      </c>
      <c r="C139" s="2">
        <v>2</v>
      </c>
      <c r="D139" s="2">
        <v>4</v>
      </c>
      <c r="E139" s="2">
        <v>3</v>
      </c>
      <c r="F139" s="2">
        <v>3</v>
      </c>
    </row>
    <row r="140" spans="1:6" ht="15" thickBot="1" x14ac:dyDescent="0.4">
      <c r="A140" s="1" t="s">
        <v>144</v>
      </c>
      <c r="B140" s="2">
        <v>5</v>
      </c>
      <c r="C140" s="2">
        <v>3</v>
      </c>
      <c r="D140" s="2">
        <v>4</v>
      </c>
      <c r="E140" s="2">
        <v>3</v>
      </c>
      <c r="F140" s="2">
        <v>3</v>
      </c>
    </row>
    <row r="141" spans="1:6" ht="15" thickBot="1" x14ac:dyDescent="0.4">
      <c r="A141" s="1" t="s">
        <v>145</v>
      </c>
      <c r="B141" s="2">
        <v>5</v>
      </c>
      <c r="C141" s="2">
        <v>4</v>
      </c>
      <c r="D141" s="2">
        <v>4</v>
      </c>
      <c r="E141" s="2">
        <v>2</v>
      </c>
      <c r="F141" s="2">
        <v>3</v>
      </c>
    </row>
    <row r="142" spans="1:6" ht="15" thickBot="1" x14ac:dyDescent="0.4">
      <c r="A142" s="1" t="s">
        <v>146</v>
      </c>
      <c r="B142" s="2">
        <v>5</v>
      </c>
      <c r="C142" s="2">
        <v>4</v>
      </c>
      <c r="D142" s="2">
        <v>4</v>
      </c>
      <c r="E142" s="2">
        <v>2</v>
      </c>
      <c r="F142" s="2">
        <v>3</v>
      </c>
    </row>
    <row r="143" spans="1:6" ht="15" thickBot="1" x14ac:dyDescent="0.4">
      <c r="A143" s="1" t="s">
        <v>147</v>
      </c>
      <c r="B143" s="2">
        <v>5</v>
      </c>
      <c r="C143" s="2">
        <v>5</v>
      </c>
      <c r="D143" s="2">
        <v>4</v>
      </c>
      <c r="E143" s="2">
        <v>1</v>
      </c>
      <c r="F143" s="2">
        <v>3</v>
      </c>
    </row>
    <row r="144" spans="1:6" ht="15" thickBot="1" x14ac:dyDescent="0.4">
      <c r="A144" s="1" t="s">
        <v>148</v>
      </c>
      <c r="B144" s="2">
        <v>5</v>
      </c>
      <c r="C144" s="2">
        <v>2</v>
      </c>
      <c r="D144" s="2">
        <v>5</v>
      </c>
      <c r="E144" s="2">
        <v>4</v>
      </c>
      <c r="F144" s="2">
        <v>4</v>
      </c>
    </row>
    <row r="145" spans="1:6" ht="15" thickBot="1" x14ac:dyDescent="0.4">
      <c r="A145" s="1" t="s">
        <v>149</v>
      </c>
      <c r="B145" s="2">
        <v>5</v>
      </c>
      <c r="C145" s="2">
        <v>3</v>
      </c>
      <c r="D145" s="2">
        <v>5</v>
      </c>
      <c r="E145" s="2">
        <v>4</v>
      </c>
      <c r="F145" s="2">
        <v>4</v>
      </c>
    </row>
    <row r="146" spans="1:6" ht="15" thickBot="1" x14ac:dyDescent="0.4">
      <c r="A146" s="1" t="s">
        <v>150</v>
      </c>
      <c r="B146" s="2">
        <v>5</v>
      </c>
      <c r="C146" s="2">
        <v>3</v>
      </c>
      <c r="D146" s="2">
        <v>5</v>
      </c>
      <c r="E146" s="2">
        <v>4</v>
      </c>
      <c r="F146" s="2">
        <v>4</v>
      </c>
    </row>
    <row r="147" spans="1:6" ht="15" thickBot="1" x14ac:dyDescent="0.4">
      <c r="A147" s="1" t="s">
        <v>151</v>
      </c>
      <c r="B147" s="2">
        <v>5</v>
      </c>
      <c r="C147" s="2">
        <v>4</v>
      </c>
      <c r="D147" s="2">
        <v>5</v>
      </c>
      <c r="E147" s="2">
        <v>3</v>
      </c>
      <c r="F147" s="2">
        <v>4</v>
      </c>
    </row>
    <row r="148" spans="1:6" ht="15" thickBot="1" x14ac:dyDescent="0.4">
      <c r="A148" s="1" t="s">
        <v>152</v>
      </c>
      <c r="B148" s="2">
        <v>5</v>
      </c>
      <c r="C148" s="2">
        <v>5</v>
      </c>
      <c r="D148" s="2">
        <v>5</v>
      </c>
      <c r="E148" s="2">
        <v>2</v>
      </c>
      <c r="F148" s="2">
        <v>4</v>
      </c>
    </row>
    <row r="149" spans="1:6" ht="15" thickBot="1" x14ac:dyDescent="0.4">
      <c r="A149" s="1" t="s">
        <v>153</v>
      </c>
      <c r="B149" s="2">
        <v>5</v>
      </c>
      <c r="C149" s="2">
        <v>2</v>
      </c>
      <c r="D149" s="2">
        <v>5</v>
      </c>
      <c r="E149" s="2">
        <v>4</v>
      </c>
      <c r="F149" s="2">
        <v>4</v>
      </c>
    </row>
    <row r="150" spans="1:6" ht="15" thickBot="1" x14ac:dyDescent="0.4">
      <c r="A150" s="1" t="s">
        <v>154</v>
      </c>
      <c r="B150" s="2">
        <v>5</v>
      </c>
      <c r="C150" s="2">
        <v>3</v>
      </c>
      <c r="D150" s="2">
        <v>5</v>
      </c>
      <c r="E150" s="2">
        <v>4</v>
      </c>
      <c r="F150" s="2">
        <v>4</v>
      </c>
    </row>
    <row r="151" spans="1:6" ht="15" thickBot="1" x14ac:dyDescent="0.4">
      <c r="A151" s="1" t="s">
        <v>155</v>
      </c>
      <c r="B151" s="2">
        <v>5</v>
      </c>
      <c r="C151" s="2">
        <v>3</v>
      </c>
      <c r="D151" s="2">
        <v>5</v>
      </c>
      <c r="E151" s="2">
        <v>4</v>
      </c>
      <c r="F151" s="2">
        <v>4</v>
      </c>
    </row>
    <row r="152" spans="1:6" ht="15" thickBot="1" x14ac:dyDescent="0.4">
      <c r="A152" s="1" t="s">
        <v>156</v>
      </c>
      <c r="B152" s="2">
        <v>5</v>
      </c>
      <c r="C152" s="2">
        <v>4</v>
      </c>
      <c r="D152" s="2">
        <v>5</v>
      </c>
      <c r="E152" s="2">
        <v>3</v>
      </c>
      <c r="F152" s="2">
        <v>4</v>
      </c>
    </row>
    <row r="153" spans="1:6" ht="15" thickBot="1" x14ac:dyDescent="0.4">
      <c r="A153" s="1" t="s">
        <v>157</v>
      </c>
      <c r="B153" s="2">
        <v>5</v>
      </c>
      <c r="C153" s="2">
        <v>5</v>
      </c>
      <c r="D153" s="2">
        <v>5</v>
      </c>
      <c r="E153" s="2">
        <v>2</v>
      </c>
      <c r="F153" s="2">
        <v>4</v>
      </c>
    </row>
    <row r="154" spans="1:6" ht="15" thickBot="1" x14ac:dyDescent="0.4">
      <c r="A154" s="1" t="s">
        <v>158</v>
      </c>
      <c r="B154" s="2">
        <v>4</v>
      </c>
      <c r="C154" s="2">
        <v>2</v>
      </c>
      <c r="D154" s="2">
        <v>5</v>
      </c>
      <c r="E154" s="2">
        <v>4</v>
      </c>
      <c r="F154" s="2">
        <v>4</v>
      </c>
    </row>
    <row r="155" spans="1:6" ht="15" thickBot="1" x14ac:dyDescent="0.4">
      <c r="A155" s="1" t="s">
        <v>159</v>
      </c>
      <c r="B155" s="2">
        <v>4</v>
      </c>
      <c r="C155" s="2">
        <v>2</v>
      </c>
      <c r="D155" s="2">
        <v>5</v>
      </c>
      <c r="E155" s="2">
        <v>4</v>
      </c>
      <c r="F155" s="2">
        <v>4</v>
      </c>
    </row>
    <row r="156" spans="1:6" ht="15" thickBot="1" x14ac:dyDescent="0.4">
      <c r="A156" s="1" t="s">
        <v>160</v>
      </c>
      <c r="B156" s="2">
        <v>3</v>
      </c>
      <c r="C156" s="2">
        <v>3</v>
      </c>
      <c r="D156" s="2">
        <v>5</v>
      </c>
      <c r="E156" s="2">
        <v>4</v>
      </c>
      <c r="F156" s="2">
        <v>4</v>
      </c>
    </row>
    <row r="157" spans="1:6" ht="15" thickBot="1" x14ac:dyDescent="0.4">
      <c r="A157" s="1" t="s">
        <v>161</v>
      </c>
      <c r="B157" s="2">
        <v>2</v>
      </c>
      <c r="C157" s="2">
        <v>4</v>
      </c>
      <c r="D157" s="2">
        <v>5</v>
      </c>
      <c r="E157" s="2">
        <v>3</v>
      </c>
      <c r="F157" s="2">
        <v>4</v>
      </c>
    </row>
    <row r="158" spans="1:6" ht="15" thickBot="1" x14ac:dyDescent="0.4">
      <c r="A158" s="1" t="s">
        <v>162</v>
      </c>
      <c r="B158" s="2">
        <v>1</v>
      </c>
      <c r="C158" s="2">
        <v>5</v>
      </c>
      <c r="D158" s="2">
        <v>5</v>
      </c>
      <c r="E158" s="2">
        <v>2</v>
      </c>
      <c r="F158" s="2">
        <v>4</v>
      </c>
    </row>
    <row r="159" spans="1:6" ht="15" thickBot="1" x14ac:dyDescent="0.4">
      <c r="A159" s="1" t="s">
        <v>163</v>
      </c>
      <c r="B159" s="2">
        <v>4</v>
      </c>
      <c r="C159" s="2">
        <v>2</v>
      </c>
      <c r="D159" s="2">
        <v>5</v>
      </c>
      <c r="E159" s="2">
        <v>4</v>
      </c>
      <c r="F159" s="2">
        <v>4</v>
      </c>
    </row>
    <row r="160" spans="1:6" ht="15" thickBot="1" x14ac:dyDescent="0.4">
      <c r="A160" s="1" t="s">
        <v>164</v>
      </c>
      <c r="B160" s="2">
        <v>3</v>
      </c>
      <c r="C160" s="2">
        <v>3</v>
      </c>
      <c r="D160" s="2">
        <v>5</v>
      </c>
      <c r="E160" s="2">
        <v>4</v>
      </c>
      <c r="F160" s="2">
        <v>4</v>
      </c>
    </row>
    <row r="161" spans="1:6" ht="15" thickBot="1" x14ac:dyDescent="0.4">
      <c r="A161" s="1" t="s">
        <v>165</v>
      </c>
      <c r="B161" s="2">
        <v>3</v>
      </c>
      <c r="C161" s="2">
        <v>3</v>
      </c>
      <c r="D161" s="2">
        <v>5</v>
      </c>
      <c r="E161" s="2">
        <v>4</v>
      </c>
      <c r="F161" s="2">
        <v>4</v>
      </c>
    </row>
    <row r="162" spans="1:6" ht="15" thickBot="1" x14ac:dyDescent="0.4">
      <c r="A162" s="1" t="s">
        <v>166</v>
      </c>
      <c r="B162" s="2">
        <v>2</v>
      </c>
      <c r="C162" s="2">
        <v>4</v>
      </c>
      <c r="D162" s="2">
        <v>5</v>
      </c>
      <c r="E162" s="2">
        <v>4</v>
      </c>
      <c r="F162" s="2">
        <v>4</v>
      </c>
    </row>
    <row r="163" spans="1:6" ht="15" thickBot="1" x14ac:dyDescent="0.4">
      <c r="A163" s="1" t="s">
        <v>167</v>
      </c>
      <c r="B163" s="2">
        <v>1</v>
      </c>
      <c r="C163" s="2">
        <v>4</v>
      </c>
      <c r="D163" s="2">
        <v>5</v>
      </c>
      <c r="E163" s="2">
        <v>4</v>
      </c>
      <c r="F163" s="2">
        <v>4</v>
      </c>
    </row>
    <row r="164" spans="1:6" ht="15" thickBot="1" x14ac:dyDescent="0.4">
      <c r="A164" s="1" t="s">
        <v>168</v>
      </c>
      <c r="B164" s="2">
        <v>4</v>
      </c>
      <c r="C164" s="2">
        <v>2</v>
      </c>
      <c r="D164" s="2">
        <v>5</v>
      </c>
      <c r="E164" s="2">
        <v>5</v>
      </c>
      <c r="F164" s="2">
        <v>4</v>
      </c>
    </row>
    <row r="165" spans="1:6" ht="15" thickBot="1" x14ac:dyDescent="0.4">
      <c r="A165" s="1" t="s">
        <v>169</v>
      </c>
      <c r="B165" s="2">
        <v>3</v>
      </c>
      <c r="C165" s="2">
        <v>3</v>
      </c>
      <c r="D165" s="2">
        <v>5</v>
      </c>
      <c r="E165" s="2">
        <v>5</v>
      </c>
      <c r="F165" s="2">
        <v>4</v>
      </c>
    </row>
    <row r="166" spans="1:6" ht="15" thickBot="1" x14ac:dyDescent="0.4">
      <c r="A166" s="1" t="s">
        <v>170</v>
      </c>
      <c r="B166" s="2">
        <v>3</v>
      </c>
      <c r="C166" s="2">
        <v>3</v>
      </c>
      <c r="D166" s="2">
        <v>5</v>
      </c>
      <c r="E166" s="2">
        <v>5</v>
      </c>
      <c r="F166" s="2">
        <v>4</v>
      </c>
    </row>
    <row r="167" spans="1:6" ht="15" thickBot="1" x14ac:dyDescent="0.4">
      <c r="A167" s="1" t="s">
        <v>171</v>
      </c>
      <c r="B167" s="2">
        <v>2</v>
      </c>
      <c r="C167" s="2">
        <v>4</v>
      </c>
      <c r="D167" s="2">
        <v>5</v>
      </c>
      <c r="E167" s="2">
        <v>5</v>
      </c>
      <c r="F167" s="2">
        <v>4</v>
      </c>
    </row>
    <row r="168" spans="1:6" ht="15" thickBot="1" x14ac:dyDescent="0.4">
      <c r="A168" s="1" t="s">
        <v>172</v>
      </c>
      <c r="B168" s="2">
        <v>1</v>
      </c>
      <c r="C168" s="2">
        <v>5</v>
      </c>
      <c r="D168" s="2">
        <v>5</v>
      </c>
      <c r="E168" s="2">
        <v>5</v>
      </c>
      <c r="F168" s="2">
        <v>4</v>
      </c>
    </row>
    <row r="169" spans="1:6" ht="15" thickBot="1" x14ac:dyDescent="0.4">
      <c r="A169" s="1" t="s">
        <v>173</v>
      </c>
      <c r="B169" s="2">
        <v>4</v>
      </c>
      <c r="C169" s="2">
        <v>2</v>
      </c>
      <c r="D169" s="2">
        <v>4</v>
      </c>
      <c r="E169" s="2">
        <v>5</v>
      </c>
      <c r="F169" s="2">
        <v>3</v>
      </c>
    </row>
    <row r="170" spans="1:6" ht="15" thickBot="1" x14ac:dyDescent="0.4">
      <c r="A170" s="1" t="s">
        <v>174</v>
      </c>
      <c r="B170" s="2">
        <v>3</v>
      </c>
      <c r="C170" s="2">
        <v>3</v>
      </c>
      <c r="D170" s="2">
        <v>4</v>
      </c>
      <c r="E170" s="2">
        <v>5</v>
      </c>
      <c r="F170" s="2">
        <v>3</v>
      </c>
    </row>
    <row r="171" spans="1:6" ht="15" thickBot="1" x14ac:dyDescent="0.4">
      <c r="A171" s="1" t="s">
        <v>175</v>
      </c>
      <c r="B171" s="2">
        <v>3</v>
      </c>
      <c r="C171" s="2">
        <v>3</v>
      </c>
      <c r="D171" s="2">
        <v>4</v>
      </c>
      <c r="E171" s="2">
        <v>4</v>
      </c>
      <c r="F171" s="2">
        <v>2</v>
      </c>
    </row>
    <row r="172" spans="1:6" ht="15" thickBot="1" x14ac:dyDescent="0.4">
      <c r="A172" s="1" t="s">
        <v>176</v>
      </c>
      <c r="B172" s="2">
        <v>1</v>
      </c>
      <c r="C172" s="2">
        <v>4</v>
      </c>
      <c r="D172" s="2">
        <v>4</v>
      </c>
      <c r="E172" s="2">
        <v>4</v>
      </c>
      <c r="F172" s="2">
        <v>2</v>
      </c>
    </row>
    <row r="173" spans="1:6" ht="15" thickBot="1" x14ac:dyDescent="0.4">
      <c r="A173" s="1" t="s">
        <v>177</v>
      </c>
      <c r="B173" s="2">
        <v>4</v>
      </c>
      <c r="C173" s="2">
        <v>2</v>
      </c>
      <c r="D173" s="2">
        <v>5</v>
      </c>
      <c r="E173" s="2">
        <v>5</v>
      </c>
      <c r="F173" s="2">
        <v>4</v>
      </c>
    </row>
    <row r="174" spans="1:6" ht="15" thickBot="1" x14ac:dyDescent="0.4">
      <c r="A174" s="1" t="s">
        <v>178</v>
      </c>
      <c r="B174" s="2">
        <v>4</v>
      </c>
      <c r="C174" s="2">
        <v>3</v>
      </c>
      <c r="D174" s="2">
        <v>5</v>
      </c>
      <c r="E174" s="2">
        <v>5</v>
      </c>
      <c r="F174" s="2">
        <v>4</v>
      </c>
    </row>
    <row r="175" spans="1:6" ht="15" thickBot="1" x14ac:dyDescent="0.4">
      <c r="A175" s="1" t="s">
        <v>179</v>
      </c>
      <c r="B175" s="2">
        <v>3</v>
      </c>
      <c r="C175" s="2">
        <v>3</v>
      </c>
      <c r="D175" s="2">
        <v>5</v>
      </c>
      <c r="E175" s="2">
        <v>5</v>
      </c>
      <c r="F175" s="2">
        <v>4</v>
      </c>
    </row>
    <row r="176" spans="1:6" ht="15" thickBot="1" x14ac:dyDescent="0.4">
      <c r="A176" s="1" t="s">
        <v>180</v>
      </c>
      <c r="B176" s="2">
        <v>2</v>
      </c>
      <c r="C176" s="2">
        <v>4</v>
      </c>
      <c r="D176" s="2">
        <v>5</v>
      </c>
      <c r="E176" s="2">
        <v>5</v>
      </c>
      <c r="F176" s="2">
        <v>4</v>
      </c>
    </row>
    <row r="177" spans="1:6" ht="15" thickBot="1" x14ac:dyDescent="0.4">
      <c r="A177" s="1" t="s">
        <v>181</v>
      </c>
      <c r="B177" s="2">
        <v>1</v>
      </c>
      <c r="C177" s="2">
        <v>5</v>
      </c>
      <c r="D177" s="2">
        <v>5</v>
      </c>
      <c r="E177" s="2">
        <v>5</v>
      </c>
      <c r="F177" s="2">
        <v>4</v>
      </c>
    </row>
    <row r="178" spans="1:6" ht="15" thickBot="1" x14ac:dyDescent="0.4">
      <c r="A178" s="1" t="s">
        <v>182</v>
      </c>
      <c r="B178" s="2">
        <v>4</v>
      </c>
      <c r="C178" s="2">
        <v>2</v>
      </c>
      <c r="D178" s="2">
        <v>5</v>
      </c>
      <c r="E178" s="2">
        <v>5</v>
      </c>
      <c r="F178" s="2">
        <v>4</v>
      </c>
    </row>
    <row r="179" spans="1:6" ht="15" thickBot="1" x14ac:dyDescent="0.4">
      <c r="A179" s="1" t="s">
        <v>183</v>
      </c>
      <c r="B179" s="2">
        <v>4</v>
      </c>
      <c r="C179" s="2">
        <v>3</v>
      </c>
      <c r="D179" s="2">
        <v>5</v>
      </c>
      <c r="E179" s="2">
        <v>5</v>
      </c>
      <c r="F179" s="2">
        <v>4</v>
      </c>
    </row>
    <row r="180" spans="1:6" ht="15" thickBot="1" x14ac:dyDescent="0.4">
      <c r="A180" s="1" t="s">
        <v>184</v>
      </c>
      <c r="B180" s="2">
        <v>3</v>
      </c>
      <c r="C180" s="2">
        <v>4</v>
      </c>
      <c r="D180" s="2">
        <v>5</v>
      </c>
      <c r="E180" s="2">
        <v>5</v>
      </c>
      <c r="F180" s="2">
        <v>4</v>
      </c>
    </row>
    <row r="181" spans="1:6" ht="15" thickBot="1" x14ac:dyDescent="0.4">
      <c r="A181" s="1" t="s">
        <v>185</v>
      </c>
      <c r="B181" s="2">
        <v>2</v>
      </c>
      <c r="C181" s="2">
        <v>4</v>
      </c>
      <c r="D181" s="2">
        <v>5</v>
      </c>
      <c r="E181" s="2">
        <v>5</v>
      </c>
      <c r="F181" s="2">
        <v>4</v>
      </c>
    </row>
    <row r="182" spans="1:6" ht="15" thickBot="1" x14ac:dyDescent="0.4">
      <c r="A182" s="1" t="s">
        <v>186</v>
      </c>
      <c r="B182" s="2">
        <v>1</v>
      </c>
      <c r="C182" s="2">
        <v>5</v>
      </c>
      <c r="D182" s="2">
        <v>5</v>
      </c>
      <c r="E182" s="2">
        <v>5</v>
      </c>
      <c r="F182" s="2">
        <v>4</v>
      </c>
    </row>
    <row r="183" spans="1:6" ht="15" thickBot="1" x14ac:dyDescent="0.4">
      <c r="A183" s="1" t="s">
        <v>187</v>
      </c>
      <c r="B183" s="2">
        <v>3</v>
      </c>
      <c r="C183" s="2">
        <v>3</v>
      </c>
      <c r="D183" s="2">
        <v>4</v>
      </c>
      <c r="E183" s="2">
        <v>4</v>
      </c>
      <c r="F183" s="2">
        <v>3</v>
      </c>
    </row>
    <row r="184" spans="1:6" ht="15" thickBot="1" x14ac:dyDescent="0.4">
      <c r="A184" s="1" t="s">
        <v>188</v>
      </c>
      <c r="B184" s="2">
        <v>1</v>
      </c>
      <c r="C184" s="2">
        <v>4</v>
      </c>
      <c r="D184" s="2">
        <v>4</v>
      </c>
      <c r="E184" s="2">
        <v>4</v>
      </c>
      <c r="F184" s="2">
        <v>3</v>
      </c>
    </row>
    <row r="185" spans="1:6" ht="15" thickBot="1" x14ac:dyDescent="0.4">
      <c r="A185" s="1" t="s">
        <v>189</v>
      </c>
      <c r="B185" s="2">
        <v>5</v>
      </c>
      <c r="C185" s="2">
        <v>4</v>
      </c>
      <c r="D185" s="2">
        <v>4</v>
      </c>
      <c r="E185" s="2">
        <v>2</v>
      </c>
      <c r="F185" s="2">
        <v>1</v>
      </c>
    </row>
    <row r="186" spans="1:6" ht="15" thickBot="1" x14ac:dyDescent="0.4">
      <c r="A186" s="1" t="s">
        <v>190</v>
      </c>
      <c r="B186" s="2">
        <v>5</v>
      </c>
      <c r="C186" s="2">
        <v>5</v>
      </c>
      <c r="D186" s="2">
        <v>4</v>
      </c>
      <c r="E186" s="2">
        <v>1</v>
      </c>
      <c r="F186" s="2">
        <v>1</v>
      </c>
    </row>
    <row r="187" spans="1:6" ht="15" thickBot="1" x14ac:dyDescent="0.4">
      <c r="A187" s="1" t="s">
        <v>191</v>
      </c>
      <c r="B187" s="2">
        <v>3</v>
      </c>
      <c r="C187" s="2">
        <v>3</v>
      </c>
      <c r="D187" s="2">
        <v>4</v>
      </c>
      <c r="E187" s="2">
        <v>4</v>
      </c>
      <c r="F187" s="2">
        <v>3</v>
      </c>
    </row>
    <row r="188" spans="1:6" ht="15" thickBot="1" x14ac:dyDescent="0.4">
      <c r="A188" s="1" t="s">
        <v>192</v>
      </c>
      <c r="B188" s="2">
        <v>2</v>
      </c>
      <c r="C188" s="2">
        <v>4</v>
      </c>
      <c r="D188" s="2">
        <v>4</v>
      </c>
      <c r="E188" s="2">
        <v>4</v>
      </c>
      <c r="F188" s="2">
        <v>3</v>
      </c>
    </row>
  </sheetData>
  <autoFilter ref="A1:F188" xr:uid="{8126830C-7C8E-4CDA-A4F1-A296092FDD31}"/>
  <conditionalFormatting sqref="A2:A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9:A1048576 A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9:B1048576 B1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89:C1048576 C1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89:D1048576 D1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89:E1048576 E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89:F1048576 F1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1:I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2030-2040</vt:lpstr>
      <vt:lpstr>Criteria</vt:lpstr>
      <vt:lpstr>Result</vt:lpstr>
      <vt:lpstr>data preparation</vt:lpstr>
      <vt:lpstr>Tech. Support level</vt:lpstr>
      <vt:lpstr>Tech. Support level EP2050+</vt:lpstr>
      <vt:lpstr>Relative tech support level</vt:lpstr>
      <vt:lpstr>2040-2050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 Tianci</dc:creator>
  <cp:lastModifiedBy>Wang  Tianci</cp:lastModifiedBy>
  <dcterms:created xsi:type="dcterms:W3CDTF">2026-05-21T08:27:37Z</dcterms:created>
  <dcterms:modified xsi:type="dcterms:W3CDTF">2026-05-21T13:08:24Z</dcterms:modified>
</cp:coreProperties>
</file>